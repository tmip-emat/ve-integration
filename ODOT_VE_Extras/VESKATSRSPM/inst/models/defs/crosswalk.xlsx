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lients\odot\VisionEval\GitHub\OregScenPlanning_VE\test\models\VERSPM-skatsref_sc1.1\defs\"/>
    </mc:Choice>
  </mc:AlternateContent>
  <xr:revisionPtr revIDLastSave="0" documentId="13_ncr:1_{4C56594E-E5C9-47DF-84EF-4316B2C4C765}" xr6:coauthVersionLast="47" xr6:coauthVersionMax="47" xr10:uidLastSave="{00000000-0000-0000-0000-000000000000}"/>
  <bookViews>
    <workbookView xWindow="-120" yWindow="-120" windowWidth="29040" windowHeight="15840" tabRatio="700" firstSheet="10" activeTab="13" xr2:uid="{F18E6660-03DC-442E-B61C-700EAFE8654E}"/>
  </bookViews>
  <sheets>
    <sheet name="TAZ to Census" sheetId="1" r:id="rId1"/>
    <sheet name="TAZ2005 to Bzone" sheetId="2" r:id="rId2"/>
    <sheet name="TAZ to Bzone" sheetId="10" r:id="rId3"/>
    <sheet name="TAZ to Azone" sheetId="8" r:id="rId4"/>
    <sheet name="Census to Bzone" sheetId="3" r:id="rId5"/>
    <sheet name="Bzone to Census" sheetId="22" r:id="rId6"/>
    <sheet name="Latch" sheetId="16" r:id="rId7"/>
    <sheet name="Tract 2010 to Bzone" sheetId="17" r:id="rId8"/>
    <sheet name="Bzone to Tract 2010" sheetId="19" r:id="rId9"/>
    <sheet name="Bzone to Tract 2020" sheetId="20" r:id="rId10"/>
    <sheet name="Census2013 to Bzone" sheetId="12" r:id="rId11"/>
    <sheet name="Bzone to UGB" sheetId="18" r:id="rId12"/>
    <sheet name="Census to Azone" sheetId="11" r:id="rId13"/>
    <sheet name="VE" sheetId="9" r:id="rId14"/>
    <sheet name="Sheet1" sheetId="23" r:id="rId15"/>
    <sheet name="VE to Census 2000" sheetId="6" r:id="rId16"/>
    <sheet name="Census to Census 2000" sheetId="7" r:id="rId17"/>
    <sheet name="PlaceTypes" sheetId="14" r:id="rId18"/>
    <sheet name="Bzone to Zip Code" sheetId="21" r:id="rId19"/>
  </sheets>
  <definedNames>
    <definedName name="_xlnm._FilterDatabase" localSheetId="12" hidden="1">'Census to Azone'!$A$1:$E$273</definedName>
    <definedName name="_xlnm._FilterDatabase" localSheetId="7" hidden="1">'Tract 2010 to Bzone'!$A$1:$C$650</definedName>
  </definedNames>
  <calcPr calcId="191029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3" l="1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449" i="23"/>
  <c r="H450" i="23"/>
  <c r="H451" i="23"/>
  <c r="H452" i="23"/>
  <c r="H453" i="23"/>
  <c r="H454" i="23"/>
  <c r="H455" i="23"/>
  <c r="H456" i="23"/>
  <c r="H457" i="23"/>
  <c r="H458" i="23"/>
  <c r="H459" i="23"/>
  <c r="H460" i="23"/>
  <c r="H461" i="23"/>
  <c r="H462" i="23"/>
  <c r="H463" i="23"/>
  <c r="H464" i="23"/>
  <c r="H465" i="23"/>
  <c r="H466" i="23"/>
  <c r="H467" i="23"/>
  <c r="H468" i="23"/>
  <c r="H469" i="23"/>
  <c r="H470" i="23"/>
  <c r="H471" i="23"/>
  <c r="H472" i="23"/>
  <c r="H473" i="23"/>
  <c r="H474" i="23"/>
  <c r="H475" i="23"/>
  <c r="H476" i="23"/>
  <c r="H477" i="23"/>
  <c r="H478" i="23"/>
  <c r="H479" i="23"/>
  <c r="H480" i="23"/>
  <c r="H481" i="23"/>
  <c r="H482" i="23"/>
  <c r="H483" i="23"/>
  <c r="H484" i="23"/>
  <c r="H485" i="23"/>
  <c r="H486" i="23"/>
  <c r="H487" i="23"/>
  <c r="H488" i="23"/>
  <c r="H489" i="23"/>
  <c r="H490" i="23"/>
  <c r="H491" i="23"/>
  <c r="H492" i="23"/>
  <c r="H493" i="23"/>
  <c r="H494" i="23"/>
  <c r="H495" i="23"/>
  <c r="H496" i="23"/>
  <c r="H497" i="23"/>
  <c r="H498" i="23"/>
  <c r="H499" i="23"/>
  <c r="H500" i="23"/>
  <c r="H501" i="23"/>
  <c r="H502" i="23"/>
  <c r="H503" i="23"/>
  <c r="H504" i="23"/>
  <c r="H505" i="23"/>
  <c r="H506" i="23"/>
  <c r="H507" i="23"/>
  <c r="H508" i="23"/>
  <c r="H509" i="23"/>
  <c r="H510" i="23"/>
  <c r="H511" i="23"/>
  <c r="H512" i="23"/>
  <c r="H513" i="23"/>
  <c r="H514" i="23"/>
  <c r="H515" i="23"/>
  <c r="H516" i="23"/>
  <c r="H517" i="23"/>
  <c r="H518" i="23"/>
  <c r="H519" i="23"/>
  <c r="H520" i="23"/>
  <c r="H521" i="23"/>
  <c r="H522" i="23"/>
  <c r="H523" i="23"/>
  <c r="H524" i="23"/>
  <c r="H525" i="23"/>
  <c r="H526" i="23"/>
  <c r="H527" i="23"/>
  <c r="H528" i="23"/>
  <c r="H529" i="23"/>
  <c r="H530" i="23"/>
  <c r="H531" i="23"/>
  <c r="H532" i="23"/>
  <c r="H533" i="23"/>
  <c r="H534" i="23"/>
  <c r="H535" i="23"/>
  <c r="H536" i="23"/>
  <c r="H537" i="23"/>
  <c r="H538" i="23"/>
  <c r="H539" i="23"/>
  <c r="H540" i="23"/>
  <c r="H541" i="23"/>
  <c r="H542" i="23"/>
  <c r="H543" i="23"/>
  <c r="H544" i="23"/>
  <c r="H545" i="23"/>
  <c r="H546" i="23"/>
  <c r="H547" i="23"/>
  <c r="H548" i="23"/>
  <c r="H549" i="23"/>
  <c r="H550" i="23"/>
  <c r="H551" i="23"/>
  <c r="H552" i="23"/>
  <c r="H553" i="23"/>
  <c r="H554" i="23"/>
  <c r="H555" i="23"/>
  <c r="H556" i="23"/>
  <c r="H557" i="23"/>
  <c r="H558" i="23"/>
  <c r="H559" i="23"/>
  <c r="H560" i="23"/>
  <c r="H561" i="23"/>
  <c r="H562" i="23"/>
  <c r="H563" i="23"/>
  <c r="H564" i="23"/>
  <c r="H565" i="23"/>
  <c r="H566" i="23"/>
  <c r="H567" i="23"/>
  <c r="H568" i="23"/>
  <c r="H569" i="23"/>
  <c r="H570" i="23"/>
  <c r="H571" i="23"/>
  <c r="H572" i="23"/>
  <c r="H573" i="23"/>
  <c r="H574" i="23"/>
  <c r="H575" i="23"/>
  <c r="H576" i="23"/>
  <c r="H577" i="23"/>
  <c r="H578" i="23"/>
  <c r="H579" i="23"/>
  <c r="H580" i="23"/>
  <c r="H581" i="23"/>
  <c r="H582" i="23"/>
  <c r="H583" i="23"/>
  <c r="H584" i="23"/>
  <c r="H585" i="23"/>
  <c r="H586" i="23"/>
  <c r="H587" i="23"/>
  <c r="H588" i="23"/>
  <c r="H589" i="23"/>
  <c r="H590" i="23"/>
  <c r="H591" i="23"/>
  <c r="H592" i="23"/>
  <c r="H593" i="23"/>
  <c r="H594" i="23"/>
  <c r="H595" i="23"/>
  <c r="H596" i="23"/>
  <c r="H597" i="23"/>
  <c r="H598" i="23"/>
  <c r="H599" i="23"/>
  <c r="H600" i="23"/>
  <c r="H601" i="23"/>
  <c r="H602" i="23"/>
  <c r="H603" i="23"/>
  <c r="H604" i="23"/>
  <c r="H605" i="23"/>
  <c r="H606" i="23"/>
  <c r="H607" i="23"/>
  <c r="H608" i="23"/>
  <c r="H609" i="23"/>
  <c r="H610" i="23"/>
  <c r="H611" i="23"/>
  <c r="H612" i="23"/>
  <c r="H613" i="23"/>
  <c r="H614" i="23"/>
  <c r="H615" i="23"/>
  <c r="H616" i="23"/>
  <c r="H617" i="23"/>
  <c r="H618" i="23"/>
  <c r="H619" i="23"/>
  <c r="H620" i="23"/>
  <c r="H621" i="23"/>
  <c r="H622" i="23"/>
  <c r="H623" i="23"/>
  <c r="H624" i="23"/>
  <c r="H625" i="23"/>
  <c r="H626" i="23"/>
  <c r="H627" i="23"/>
  <c r="H628" i="23"/>
  <c r="H629" i="23"/>
  <c r="H630" i="23"/>
  <c r="H631" i="23"/>
  <c r="H632" i="23"/>
  <c r="H633" i="23"/>
  <c r="H634" i="23"/>
  <c r="H635" i="23"/>
  <c r="H636" i="23"/>
  <c r="H637" i="23"/>
  <c r="H638" i="23"/>
  <c r="H639" i="23"/>
  <c r="H640" i="23"/>
  <c r="H641" i="23"/>
  <c r="H642" i="23"/>
  <c r="H643" i="23"/>
  <c r="H644" i="23"/>
  <c r="H645" i="23"/>
  <c r="H646" i="23"/>
  <c r="H647" i="23"/>
  <c r="H648" i="23"/>
  <c r="H649" i="23"/>
  <c r="H650" i="23"/>
  <c r="H651" i="23"/>
  <c r="H652" i="23"/>
  <c r="H653" i="23"/>
  <c r="H654" i="23"/>
  <c r="H655" i="23"/>
  <c r="H656" i="23"/>
  <c r="H657" i="23"/>
  <c r="H658" i="23"/>
  <c r="H659" i="23"/>
  <c r="H660" i="23"/>
  <c r="H661" i="23"/>
  <c r="H662" i="23"/>
  <c r="H663" i="23"/>
  <c r="H664" i="23"/>
  <c r="H665" i="23"/>
  <c r="H666" i="23"/>
  <c r="H667" i="23"/>
  <c r="H668" i="23"/>
  <c r="H669" i="23"/>
  <c r="H670" i="23"/>
  <c r="H671" i="23"/>
  <c r="H672" i="23"/>
  <c r="H673" i="23"/>
  <c r="H674" i="23"/>
  <c r="H675" i="23"/>
  <c r="H676" i="23"/>
  <c r="H677" i="23"/>
  <c r="H678" i="23"/>
  <c r="H679" i="23"/>
  <c r="H680" i="23"/>
  <c r="H681" i="23"/>
  <c r="H682" i="23"/>
  <c r="H683" i="23"/>
  <c r="H684" i="23"/>
  <c r="H685" i="23"/>
  <c r="H686" i="23"/>
  <c r="H687" i="23"/>
  <c r="H688" i="23"/>
  <c r="H689" i="23"/>
  <c r="H690" i="23"/>
  <c r="H691" i="23"/>
  <c r="H692" i="23"/>
  <c r="H693" i="23"/>
  <c r="H694" i="23"/>
  <c r="H695" i="23"/>
  <c r="H696" i="23"/>
  <c r="H697" i="23"/>
  <c r="H698" i="23"/>
  <c r="H699" i="23"/>
  <c r="H700" i="23"/>
  <c r="H701" i="23"/>
  <c r="H702" i="23"/>
  <c r="H703" i="23"/>
  <c r="H704" i="23"/>
  <c r="H705" i="23"/>
  <c r="H706" i="23"/>
  <c r="H707" i="23"/>
  <c r="H708" i="23"/>
  <c r="H709" i="23"/>
  <c r="H710" i="23"/>
  <c r="H711" i="23"/>
  <c r="H712" i="23"/>
  <c r="H713" i="23"/>
  <c r="H714" i="23"/>
  <c r="H715" i="23"/>
  <c r="H716" i="23"/>
  <c r="H717" i="23"/>
  <c r="H718" i="23"/>
  <c r="H719" i="23"/>
  <c r="H720" i="23"/>
  <c r="H721" i="23"/>
  <c r="H722" i="23"/>
  <c r="H723" i="23"/>
  <c r="H724" i="23"/>
  <c r="H725" i="23"/>
  <c r="H726" i="23"/>
  <c r="H727" i="23"/>
  <c r="H728" i="23"/>
  <c r="H729" i="23"/>
  <c r="H730" i="23"/>
  <c r="H731" i="23"/>
  <c r="H732" i="23"/>
  <c r="H733" i="23"/>
  <c r="H734" i="23"/>
  <c r="H735" i="23"/>
  <c r="H736" i="23"/>
  <c r="H737" i="23"/>
  <c r="H738" i="23"/>
  <c r="H739" i="23"/>
  <c r="H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2" i="23"/>
  <c r="F3" i="23" a="1"/>
  <c r="F3" i="23" s="1"/>
  <c r="F4" i="23" a="1"/>
  <c r="F4" i="23" s="1"/>
  <c r="F5" i="23" a="1"/>
  <c r="F5" i="23" s="1"/>
  <c r="F6" i="23" a="1"/>
  <c r="F6" i="23" s="1"/>
  <c r="F7" i="23" a="1"/>
  <c r="F7" i="23" s="1"/>
  <c r="F8" i="23" a="1"/>
  <c r="F8" i="23" s="1"/>
  <c r="F9" i="23" a="1"/>
  <c r="F9" i="23" s="1"/>
  <c r="F10" i="23" a="1"/>
  <c r="F10" i="23" s="1"/>
  <c r="F11" i="23" a="1"/>
  <c r="F11" i="23" s="1"/>
  <c r="F12" i="23" a="1"/>
  <c r="F12" i="23" s="1"/>
  <c r="F13" i="23" a="1"/>
  <c r="F13" i="23" s="1"/>
  <c r="F14" i="23" a="1"/>
  <c r="F14" i="23" s="1"/>
  <c r="F15" i="23" a="1"/>
  <c r="F15" i="23" s="1"/>
  <c r="F16" i="23" a="1"/>
  <c r="F16" i="23" s="1"/>
  <c r="F17" i="23" a="1"/>
  <c r="F17" i="23" s="1"/>
  <c r="F18" i="23" a="1"/>
  <c r="F18" i="23" s="1"/>
  <c r="F19" i="23" a="1"/>
  <c r="F19" i="23" s="1"/>
  <c r="F20" i="23" a="1"/>
  <c r="F20" i="23" s="1"/>
  <c r="F21" i="23" a="1"/>
  <c r="F21" i="23" s="1"/>
  <c r="F22" i="23" a="1"/>
  <c r="F22" i="23" s="1"/>
  <c r="F23" i="23" a="1"/>
  <c r="F23" i="23" s="1"/>
  <c r="F24" i="23" a="1"/>
  <c r="F24" i="23" s="1"/>
  <c r="F25" i="23" a="1"/>
  <c r="F25" i="23" s="1"/>
  <c r="F26" i="23" a="1"/>
  <c r="F26" i="23" s="1"/>
  <c r="F27" i="23" a="1"/>
  <c r="F27" i="23" s="1"/>
  <c r="F28" i="23" a="1"/>
  <c r="F28" i="23" s="1"/>
  <c r="F29" i="23" a="1"/>
  <c r="F29" i="23" s="1"/>
  <c r="F30" i="23" a="1"/>
  <c r="F30" i="23" s="1"/>
  <c r="F31" i="23" a="1"/>
  <c r="F31" i="23" s="1"/>
  <c r="F32" i="23" a="1"/>
  <c r="F32" i="23" s="1"/>
  <c r="F33" i="23" a="1"/>
  <c r="F33" i="23" s="1"/>
  <c r="F34" i="23" a="1"/>
  <c r="F34" i="23" s="1"/>
  <c r="F35" i="23" a="1"/>
  <c r="F35" i="23" s="1"/>
  <c r="F36" i="23" a="1"/>
  <c r="F36" i="23" s="1"/>
  <c r="F37" i="23" a="1"/>
  <c r="F37" i="23" s="1"/>
  <c r="F38" i="23" a="1"/>
  <c r="F38" i="23" s="1"/>
  <c r="F39" i="23" a="1"/>
  <c r="F39" i="23" s="1"/>
  <c r="F40" i="23" a="1"/>
  <c r="F40" i="23" s="1"/>
  <c r="F41" i="23" a="1"/>
  <c r="F41" i="23" s="1"/>
  <c r="F42" i="23" a="1"/>
  <c r="F42" i="23" s="1"/>
  <c r="F43" i="23" a="1"/>
  <c r="F43" i="23" s="1"/>
  <c r="F44" i="23" a="1"/>
  <c r="F44" i="23" s="1"/>
  <c r="F45" i="23" a="1"/>
  <c r="F45" i="23" s="1"/>
  <c r="F46" i="23" a="1"/>
  <c r="F46" i="23" s="1"/>
  <c r="F47" i="23" a="1"/>
  <c r="F47" i="23" s="1"/>
  <c r="F48" i="23" a="1"/>
  <c r="F48" i="23" s="1"/>
  <c r="F49" i="23" a="1"/>
  <c r="F49" i="23" s="1"/>
  <c r="F50" i="23" a="1"/>
  <c r="F50" i="23" s="1"/>
  <c r="F51" i="23" a="1"/>
  <c r="F51" i="23" s="1"/>
  <c r="F52" i="23" a="1"/>
  <c r="F52" i="23" s="1"/>
  <c r="F53" i="23" a="1"/>
  <c r="F53" i="23" s="1"/>
  <c r="F54" i="23" a="1"/>
  <c r="F54" i="23" s="1"/>
  <c r="F55" i="23" a="1"/>
  <c r="F55" i="23" s="1"/>
  <c r="F56" i="23" a="1"/>
  <c r="F56" i="23" s="1"/>
  <c r="F57" i="23" a="1"/>
  <c r="F57" i="23" s="1"/>
  <c r="F58" i="23" a="1"/>
  <c r="F58" i="23" s="1"/>
  <c r="F59" i="23" a="1"/>
  <c r="F59" i="23" s="1"/>
  <c r="F60" i="23" a="1"/>
  <c r="F60" i="23" s="1"/>
  <c r="F61" i="23" a="1"/>
  <c r="F61" i="23" s="1"/>
  <c r="F62" i="23" a="1"/>
  <c r="F62" i="23" s="1"/>
  <c r="F63" i="23" a="1"/>
  <c r="F63" i="23" s="1"/>
  <c r="F64" i="23" a="1"/>
  <c r="F64" i="23" s="1"/>
  <c r="F65" i="23" a="1"/>
  <c r="F65" i="23" s="1"/>
  <c r="F66" i="23" a="1"/>
  <c r="F66" i="23" s="1"/>
  <c r="F67" i="23" a="1"/>
  <c r="F67" i="23" s="1"/>
  <c r="F68" i="23" a="1"/>
  <c r="F68" i="23" s="1"/>
  <c r="F69" i="23" a="1"/>
  <c r="F69" i="23" s="1"/>
  <c r="F70" i="23" a="1"/>
  <c r="F70" i="23" s="1"/>
  <c r="F71" i="23" a="1"/>
  <c r="F71" i="23" s="1"/>
  <c r="F72" i="23" a="1"/>
  <c r="F72" i="23" s="1"/>
  <c r="F73" i="23" a="1"/>
  <c r="F73" i="23" s="1"/>
  <c r="F74" i="23" a="1"/>
  <c r="F74" i="23" s="1"/>
  <c r="F75" i="23" a="1"/>
  <c r="F75" i="23" s="1"/>
  <c r="F76" i="23" a="1"/>
  <c r="F76" i="23" s="1"/>
  <c r="F77" i="23" a="1"/>
  <c r="F77" i="23" s="1"/>
  <c r="F78" i="23" a="1"/>
  <c r="F78" i="23" s="1"/>
  <c r="F79" i="23" a="1"/>
  <c r="F79" i="23" s="1"/>
  <c r="F80" i="23" a="1"/>
  <c r="F80" i="23" s="1"/>
  <c r="F81" i="23" a="1"/>
  <c r="F81" i="23" s="1"/>
  <c r="F82" i="23" a="1"/>
  <c r="F82" i="23" s="1"/>
  <c r="F83" i="23" a="1"/>
  <c r="F83" i="23" s="1"/>
  <c r="F84" i="23" a="1"/>
  <c r="F84" i="23" s="1"/>
  <c r="F85" i="23" a="1"/>
  <c r="F85" i="23" s="1"/>
  <c r="F86" i="23" a="1"/>
  <c r="F86" i="23" s="1"/>
  <c r="F87" i="23" a="1"/>
  <c r="F87" i="23" s="1"/>
  <c r="F88" i="23" a="1"/>
  <c r="F88" i="23" s="1"/>
  <c r="F89" i="23" a="1"/>
  <c r="F89" i="23" s="1"/>
  <c r="F90" i="23" a="1"/>
  <c r="F90" i="23" s="1"/>
  <c r="F91" i="23" a="1"/>
  <c r="F91" i="23" s="1"/>
  <c r="F92" i="23" a="1"/>
  <c r="F92" i="23" s="1"/>
  <c r="F93" i="23" a="1"/>
  <c r="F93" i="23" s="1"/>
  <c r="F94" i="23" a="1"/>
  <c r="F94" i="23" s="1"/>
  <c r="F95" i="23" a="1"/>
  <c r="F95" i="23" s="1"/>
  <c r="F96" i="23" a="1"/>
  <c r="F96" i="23" s="1"/>
  <c r="F97" i="23" a="1"/>
  <c r="F97" i="23" s="1"/>
  <c r="F98" i="23" a="1"/>
  <c r="F98" i="23" s="1"/>
  <c r="F99" i="23" a="1"/>
  <c r="F99" i="23" s="1"/>
  <c r="F100" i="23" a="1"/>
  <c r="F100" i="23" s="1"/>
  <c r="F101" i="23" a="1"/>
  <c r="F101" i="23" s="1"/>
  <c r="F102" i="23" a="1"/>
  <c r="F102" i="23" s="1"/>
  <c r="F103" i="23" a="1"/>
  <c r="F103" i="23" s="1"/>
  <c r="F104" i="23" a="1"/>
  <c r="F104" i="23" s="1"/>
  <c r="F105" i="23" a="1"/>
  <c r="F105" i="23" s="1"/>
  <c r="F106" i="23" a="1"/>
  <c r="F106" i="23" s="1"/>
  <c r="F107" i="23" a="1"/>
  <c r="F107" i="23" s="1"/>
  <c r="F108" i="23" a="1"/>
  <c r="F108" i="23" s="1"/>
  <c r="F109" i="23" a="1"/>
  <c r="F109" i="23" s="1"/>
  <c r="F110" i="23" a="1"/>
  <c r="F110" i="23" s="1"/>
  <c r="F111" i="23" a="1"/>
  <c r="F111" i="23" s="1"/>
  <c r="F112" i="23" a="1"/>
  <c r="F112" i="23" s="1"/>
  <c r="F113" i="23" a="1"/>
  <c r="F113" i="23" s="1"/>
  <c r="F114" i="23" a="1"/>
  <c r="F114" i="23" s="1"/>
  <c r="F115" i="23" a="1"/>
  <c r="F115" i="23" s="1"/>
  <c r="F116" i="23" a="1"/>
  <c r="F116" i="23" s="1"/>
  <c r="F117" i="23" a="1"/>
  <c r="F117" i="23" s="1"/>
  <c r="F118" i="23" a="1"/>
  <c r="F118" i="23" s="1"/>
  <c r="F119" i="23" a="1"/>
  <c r="F119" i="23" s="1"/>
  <c r="F120" i="23" a="1"/>
  <c r="F120" i="23" s="1"/>
  <c r="F121" i="23" a="1"/>
  <c r="F121" i="23" s="1"/>
  <c r="F122" i="23" a="1"/>
  <c r="F122" i="23" s="1"/>
  <c r="F123" i="23" a="1"/>
  <c r="F123" i="23" s="1"/>
  <c r="F124" i="23" a="1"/>
  <c r="F124" i="23" s="1"/>
  <c r="F125" i="23" a="1"/>
  <c r="F125" i="23" s="1"/>
  <c r="F126" i="23" a="1"/>
  <c r="F126" i="23" s="1"/>
  <c r="F127" i="23" a="1"/>
  <c r="F127" i="23" s="1"/>
  <c r="F128" i="23" a="1"/>
  <c r="F128" i="23" s="1"/>
  <c r="F129" i="23" a="1"/>
  <c r="F129" i="23" s="1"/>
  <c r="F130" i="23" a="1"/>
  <c r="F130" i="23" s="1"/>
  <c r="F131" i="23" a="1"/>
  <c r="F131" i="23" s="1"/>
  <c r="F132" i="23" a="1"/>
  <c r="F132" i="23" s="1"/>
  <c r="F133" i="23" a="1"/>
  <c r="F133" i="23" s="1"/>
  <c r="F134" i="23" a="1"/>
  <c r="F134" i="23" s="1"/>
  <c r="F135" i="23" a="1"/>
  <c r="F135" i="23" s="1"/>
  <c r="F136" i="23" a="1"/>
  <c r="F136" i="23" s="1"/>
  <c r="F137" i="23" a="1"/>
  <c r="F137" i="23" s="1"/>
  <c r="F138" i="23" a="1"/>
  <c r="F138" i="23" s="1"/>
  <c r="F139" i="23" a="1"/>
  <c r="F139" i="23" s="1"/>
  <c r="F140" i="23" a="1"/>
  <c r="F140" i="23" s="1"/>
  <c r="F141" i="23" a="1"/>
  <c r="F141" i="23" s="1"/>
  <c r="F142" i="23" a="1"/>
  <c r="F142" i="23" s="1"/>
  <c r="F143" i="23" a="1"/>
  <c r="F143" i="23" s="1"/>
  <c r="F144" i="23" a="1"/>
  <c r="F144" i="23" s="1"/>
  <c r="F145" i="23" a="1"/>
  <c r="F145" i="23" s="1"/>
  <c r="F146" i="23" a="1"/>
  <c r="F146" i="23" s="1"/>
  <c r="F147" i="23" a="1"/>
  <c r="F147" i="23" s="1"/>
  <c r="F148" i="23" a="1"/>
  <c r="F148" i="23" s="1"/>
  <c r="F149" i="23" a="1"/>
  <c r="F149" i="23" s="1"/>
  <c r="F150" i="23" a="1"/>
  <c r="F150" i="23" s="1"/>
  <c r="F151" i="23" a="1"/>
  <c r="F151" i="23" s="1"/>
  <c r="F152" i="23" a="1"/>
  <c r="F152" i="23" s="1"/>
  <c r="F153" i="23" a="1"/>
  <c r="F153" i="23" s="1"/>
  <c r="F154" i="23" a="1"/>
  <c r="F154" i="23" s="1"/>
  <c r="F155" i="23" a="1"/>
  <c r="F155" i="23" s="1"/>
  <c r="F156" i="23" a="1"/>
  <c r="F156" i="23" s="1"/>
  <c r="F157" i="23" a="1"/>
  <c r="F157" i="23" s="1"/>
  <c r="F158" i="23" a="1"/>
  <c r="F158" i="23" s="1"/>
  <c r="F159" i="23" a="1"/>
  <c r="F159" i="23" s="1"/>
  <c r="F160" i="23" a="1"/>
  <c r="F160" i="23" s="1"/>
  <c r="F161" i="23" a="1"/>
  <c r="F161" i="23" s="1"/>
  <c r="F162" i="23" a="1"/>
  <c r="F162" i="23" s="1"/>
  <c r="F163" i="23" a="1"/>
  <c r="F163" i="23" s="1"/>
  <c r="F164" i="23" a="1"/>
  <c r="F164" i="23" s="1"/>
  <c r="F165" i="23" a="1"/>
  <c r="F165" i="23" s="1"/>
  <c r="F166" i="23" a="1"/>
  <c r="F166" i="23" s="1"/>
  <c r="F167" i="23" a="1"/>
  <c r="F167" i="23" s="1"/>
  <c r="F168" i="23" a="1"/>
  <c r="F168" i="23" s="1"/>
  <c r="F169" i="23" a="1"/>
  <c r="F169" i="23" s="1"/>
  <c r="F170" i="23" a="1"/>
  <c r="F170" i="23" s="1"/>
  <c r="F171" i="23" a="1"/>
  <c r="F171" i="23" s="1"/>
  <c r="F172" i="23" a="1"/>
  <c r="F172" i="23" s="1"/>
  <c r="F173" i="23" a="1"/>
  <c r="F173" i="23" s="1"/>
  <c r="F174" i="23" a="1"/>
  <c r="F174" i="23" s="1"/>
  <c r="F175" i="23" a="1"/>
  <c r="F175" i="23" s="1"/>
  <c r="F176" i="23" a="1"/>
  <c r="F176" i="23" s="1"/>
  <c r="F177" i="23" a="1"/>
  <c r="F177" i="23" s="1"/>
  <c r="F178" i="23" a="1"/>
  <c r="F178" i="23" s="1"/>
  <c r="F179" i="23" a="1"/>
  <c r="F179" i="23" s="1"/>
  <c r="F180" i="23" a="1"/>
  <c r="F180" i="23" s="1"/>
  <c r="F181" i="23" a="1"/>
  <c r="F181" i="23" s="1"/>
  <c r="F182" i="23" a="1"/>
  <c r="F182" i="23" s="1"/>
  <c r="F183" i="23" a="1"/>
  <c r="F183" i="23" s="1"/>
  <c r="F184" i="23" a="1"/>
  <c r="F184" i="23" s="1"/>
  <c r="F185" i="23" a="1"/>
  <c r="F185" i="23" s="1"/>
  <c r="F186" i="23" a="1"/>
  <c r="F186" i="23" s="1"/>
  <c r="F187" i="23" a="1"/>
  <c r="F187" i="23" s="1"/>
  <c r="F188" i="23" a="1"/>
  <c r="F188" i="23" s="1"/>
  <c r="F189" i="23" a="1"/>
  <c r="F189" i="23" s="1"/>
  <c r="F190" i="23" a="1"/>
  <c r="F190" i="23" s="1"/>
  <c r="F191" i="23" a="1"/>
  <c r="F191" i="23" s="1"/>
  <c r="F192" i="23" a="1"/>
  <c r="F192" i="23" s="1"/>
  <c r="F193" i="23" a="1"/>
  <c r="F193" i="23" s="1"/>
  <c r="F194" i="23" a="1"/>
  <c r="F194" i="23" s="1"/>
  <c r="F195" i="23" a="1"/>
  <c r="F195" i="23" s="1"/>
  <c r="F196" i="23" a="1"/>
  <c r="F196" i="23" s="1"/>
  <c r="F197" i="23" a="1"/>
  <c r="F197" i="23" s="1"/>
  <c r="F198" i="23" a="1"/>
  <c r="F198" i="23" s="1"/>
  <c r="F199" i="23" a="1"/>
  <c r="F199" i="23" s="1"/>
  <c r="F200" i="23" a="1"/>
  <c r="F200" i="23" s="1"/>
  <c r="F201" i="23" a="1"/>
  <c r="F201" i="23" s="1"/>
  <c r="F202" i="23" a="1"/>
  <c r="F202" i="23" s="1"/>
  <c r="F203" i="23" a="1"/>
  <c r="F203" i="23" s="1"/>
  <c r="F204" i="23" a="1"/>
  <c r="F204" i="23" s="1"/>
  <c r="F205" i="23" a="1"/>
  <c r="F205" i="23" s="1"/>
  <c r="F206" i="23" a="1"/>
  <c r="F206" i="23" s="1"/>
  <c r="F207" i="23" a="1"/>
  <c r="F207" i="23" s="1"/>
  <c r="F208" i="23" a="1"/>
  <c r="F208" i="23" s="1"/>
  <c r="F209" i="23" a="1"/>
  <c r="F209" i="23" s="1"/>
  <c r="F210" i="23" a="1"/>
  <c r="F210" i="23" s="1"/>
  <c r="F211" i="23" a="1"/>
  <c r="F211" i="23" s="1"/>
  <c r="F212" i="23" a="1"/>
  <c r="F212" i="23" s="1"/>
  <c r="F213" i="23" a="1"/>
  <c r="F213" i="23" s="1"/>
  <c r="F214" i="23" a="1"/>
  <c r="F214" i="23" s="1"/>
  <c r="F215" i="23" a="1"/>
  <c r="F215" i="23" s="1"/>
  <c r="F216" i="23" a="1"/>
  <c r="F216" i="23" s="1"/>
  <c r="F217" i="23" a="1"/>
  <c r="F217" i="23" s="1"/>
  <c r="F218" i="23" a="1"/>
  <c r="F218" i="23" s="1"/>
  <c r="F219" i="23" a="1"/>
  <c r="F219" i="23" s="1"/>
  <c r="F220" i="23" a="1"/>
  <c r="F220" i="23" s="1"/>
  <c r="F221" i="23" a="1"/>
  <c r="F221" i="23" s="1"/>
  <c r="F222" i="23" a="1"/>
  <c r="F222" i="23" s="1"/>
  <c r="F223" i="23" a="1"/>
  <c r="F223" i="23" s="1"/>
  <c r="F224" i="23" a="1"/>
  <c r="F224" i="23" s="1"/>
  <c r="F225" i="23" a="1"/>
  <c r="F225" i="23" s="1"/>
  <c r="F226" i="23" a="1"/>
  <c r="F226" i="23" s="1"/>
  <c r="F227" i="23" a="1"/>
  <c r="F227" i="23" s="1"/>
  <c r="F228" i="23" a="1"/>
  <c r="F228" i="23" s="1"/>
  <c r="F229" i="23" a="1"/>
  <c r="F229" i="23" s="1"/>
  <c r="F230" i="23" a="1"/>
  <c r="F230" i="23" s="1"/>
  <c r="F231" i="23" a="1"/>
  <c r="F231" i="23" s="1"/>
  <c r="F232" i="23" a="1"/>
  <c r="F232" i="23" s="1"/>
  <c r="F233" i="23" a="1"/>
  <c r="F233" i="23" s="1"/>
  <c r="F234" i="23" a="1"/>
  <c r="F234" i="23" s="1"/>
  <c r="F235" i="23" a="1"/>
  <c r="F235" i="23" s="1"/>
  <c r="F236" i="23" a="1"/>
  <c r="F236" i="23" s="1"/>
  <c r="F237" i="23" a="1"/>
  <c r="F237" i="23" s="1"/>
  <c r="F238" i="23" a="1"/>
  <c r="F238" i="23" s="1"/>
  <c r="F239" i="23" a="1"/>
  <c r="F239" i="23" s="1"/>
  <c r="F240" i="23" a="1"/>
  <c r="F240" i="23" s="1"/>
  <c r="F241" i="23" a="1"/>
  <c r="F241" i="23" s="1"/>
  <c r="F242" i="23" a="1"/>
  <c r="F242" i="23" s="1"/>
  <c r="F243" i="23" a="1"/>
  <c r="F243" i="23" s="1"/>
  <c r="F244" i="23" a="1"/>
  <c r="F244" i="23" s="1"/>
  <c r="F245" i="23" a="1"/>
  <c r="F245" i="23" s="1"/>
  <c r="F246" i="23" a="1"/>
  <c r="F246" i="23" s="1"/>
  <c r="F247" i="23" a="1"/>
  <c r="F247" i="23" s="1"/>
  <c r="F248" i="23" a="1"/>
  <c r="F248" i="23" s="1"/>
  <c r="F249" i="23" a="1"/>
  <c r="F249" i="23" s="1"/>
  <c r="F250" i="23" a="1"/>
  <c r="F250" i="23" s="1"/>
  <c r="F251" i="23" a="1"/>
  <c r="F251" i="23" s="1"/>
  <c r="F252" i="23" a="1"/>
  <c r="F252" i="23" s="1"/>
  <c r="F253" i="23" a="1"/>
  <c r="F253" i="23" s="1"/>
  <c r="F254" i="23" a="1"/>
  <c r="F254" i="23" s="1"/>
  <c r="F255" i="23" a="1"/>
  <c r="F255" i="23" s="1"/>
  <c r="F256" i="23" a="1"/>
  <c r="F256" i="23" s="1"/>
  <c r="F257" i="23" a="1"/>
  <c r="F257" i="23" s="1"/>
  <c r="F258" i="23" a="1"/>
  <c r="F258" i="23" s="1"/>
  <c r="F259" i="23" a="1"/>
  <c r="F259" i="23" s="1"/>
  <c r="F260" i="23" a="1"/>
  <c r="F260" i="23" s="1"/>
  <c r="F261" i="23" a="1"/>
  <c r="F261" i="23" s="1"/>
  <c r="F262" i="23" a="1"/>
  <c r="F262" i="23" s="1"/>
  <c r="F263" i="23" a="1"/>
  <c r="F263" i="23" s="1"/>
  <c r="F264" i="23" a="1"/>
  <c r="F264" i="23" s="1"/>
  <c r="F265" i="23" a="1"/>
  <c r="F265" i="23" s="1"/>
  <c r="F266" i="23" a="1"/>
  <c r="F266" i="23" s="1"/>
  <c r="F267" i="23" a="1"/>
  <c r="F267" i="23" s="1"/>
  <c r="F268" i="23" a="1"/>
  <c r="F268" i="23" s="1"/>
  <c r="F269" i="23" a="1"/>
  <c r="F269" i="23" s="1"/>
  <c r="F270" i="23" a="1"/>
  <c r="F270" i="23" s="1"/>
  <c r="F271" i="23" a="1"/>
  <c r="F271" i="23" s="1"/>
  <c r="F272" i="23" a="1"/>
  <c r="F272" i="23" s="1"/>
  <c r="F273" i="23" a="1"/>
  <c r="F273" i="23" s="1"/>
  <c r="F274" i="23" a="1"/>
  <c r="F274" i="23" s="1"/>
  <c r="F275" i="23" a="1"/>
  <c r="F275" i="23" s="1"/>
  <c r="F276" i="23" a="1"/>
  <c r="F276" i="23" s="1"/>
  <c r="F277" i="23" a="1"/>
  <c r="F277" i="23" s="1"/>
  <c r="F278" i="23" a="1"/>
  <c r="F278" i="23" s="1"/>
  <c r="F279" i="23" a="1"/>
  <c r="F279" i="23" s="1"/>
  <c r="F280" i="23" a="1"/>
  <c r="F280" i="23" s="1"/>
  <c r="F281" i="23" a="1"/>
  <c r="F281" i="23" s="1"/>
  <c r="F282" i="23" a="1"/>
  <c r="F282" i="23" s="1"/>
  <c r="F283" i="23" a="1"/>
  <c r="F283" i="23" s="1"/>
  <c r="F284" i="23" a="1"/>
  <c r="F284" i="23" s="1"/>
  <c r="F285" i="23" a="1"/>
  <c r="F285" i="23" s="1"/>
  <c r="F286" i="23" a="1"/>
  <c r="F286" i="23" s="1"/>
  <c r="F287" i="23" a="1"/>
  <c r="F287" i="23" s="1"/>
  <c r="F288" i="23" a="1"/>
  <c r="F288" i="23" s="1"/>
  <c r="F289" i="23" a="1"/>
  <c r="F289" i="23" s="1"/>
  <c r="F290" i="23" a="1"/>
  <c r="F290" i="23" s="1"/>
  <c r="F291" i="23" a="1"/>
  <c r="F291" i="23" s="1"/>
  <c r="F292" i="23" a="1"/>
  <c r="F292" i="23" s="1"/>
  <c r="F293" i="23" a="1"/>
  <c r="F293" i="23" s="1"/>
  <c r="F294" i="23" a="1"/>
  <c r="F294" i="23" s="1"/>
  <c r="F295" i="23" a="1"/>
  <c r="F295" i="23" s="1"/>
  <c r="F296" i="23" a="1"/>
  <c r="F296" i="23" s="1"/>
  <c r="F297" i="23" a="1"/>
  <c r="F297" i="23" s="1"/>
  <c r="F298" i="23" a="1"/>
  <c r="F298" i="23" s="1"/>
  <c r="F299" i="23" a="1"/>
  <c r="F299" i="23" s="1"/>
  <c r="F300" i="23" a="1"/>
  <c r="F300" i="23" s="1"/>
  <c r="F301" i="23" a="1"/>
  <c r="F301" i="23" s="1"/>
  <c r="F302" i="23" a="1"/>
  <c r="F302" i="23" s="1"/>
  <c r="F303" i="23" a="1"/>
  <c r="F303" i="23" s="1"/>
  <c r="F304" i="23" a="1"/>
  <c r="F304" i="23" s="1"/>
  <c r="F305" i="23" a="1"/>
  <c r="F305" i="23" s="1"/>
  <c r="F306" i="23" a="1"/>
  <c r="F306" i="23" s="1"/>
  <c r="F307" i="23" a="1"/>
  <c r="F307" i="23" s="1"/>
  <c r="F308" i="23" a="1"/>
  <c r="F308" i="23" s="1"/>
  <c r="F309" i="23" a="1"/>
  <c r="F309" i="23" s="1"/>
  <c r="F310" i="23" a="1"/>
  <c r="F310" i="23" s="1"/>
  <c r="F311" i="23" a="1"/>
  <c r="F311" i="23" s="1"/>
  <c r="F312" i="23" a="1"/>
  <c r="F312" i="23" s="1"/>
  <c r="F313" i="23" a="1"/>
  <c r="F313" i="23" s="1"/>
  <c r="F314" i="23" a="1"/>
  <c r="F314" i="23" s="1"/>
  <c r="F315" i="23" a="1"/>
  <c r="F315" i="23" s="1"/>
  <c r="F316" i="23" a="1"/>
  <c r="F316" i="23" s="1"/>
  <c r="F317" i="23" a="1"/>
  <c r="F317" i="23" s="1"/>
  <c r="F318" i="23" a="1"/>
  <c r="F318" i="23" s="1"/>
  <c r="F319" i="23" a="1"/>
  <c r="F319" i="23" s="1"/>
  <c r="F320" i="23" a="1"/>
  <c r="F320" i="23" s="1"/>
  <c r="F321" i="23" a="1"/>
  <c r="F321" i="23" s="1"/>
  <c r="F322" i="23" a="1"/>
  <c r="F322" i="23" s="1"/>
  <c r="F323" i="23" a="1"/>
  <c r="F323" i="23" s="1"/>
  <c r="F324" i="23" a="1"/>
  <c r="F324" i="23" s="1"/>
  <c r="F325" i="23" a="1"/>
  <c r="F325" i="23" s="1"/>
  <c r="F326" i="23" a="1"/>
  <c r="F326" i="23" s="1"/>
  <c r="F327" i="23" a="1"/>
  <c r="F327" i="23" s="1"/>
  <c r="F328" i="23" a="1"/>
  <c r="F328" i="23" s="1"/>
  <c r="F329" i="23" a="1"/>
  <c r="F329" i="23" s="1"/>
  <c r="F330" i="23" a="1"/>
  <c r="F330" i="23" s="1"/>
  <c r="F331" i="23" a="1"/>
  <c r="F331" i="23" s="1"/>
  <c r="F332" i="23" a="1"/>
  <c r="F332" i="23" s="1"/>
  <c r="F333" i="23" a="1"/>
  <c r="F333" i="23" s="1"/>
  <c r="F334" i="23" a="1"/>
  <c r="F334" i="23" s="1"/>
  <c r="F335" i="23" a="1"/>
  <c r="F335" i="23" s="1"/>
  <c r="F336" i="23" a="1"/>
  <c r="F336" i="23" s="1"/>
  <c r="F337" i="23" a="1"/>
  <c r="F337" i="23" s="1"/>
  <c r="F338" i="23" a="1"/>
  <c r="F338" i="23" s="1"/>
  <c r="F339" i="23" a="1"/>
  <c r="F339" i="23" s="1"/>
  <c r="F340" i="23" a="1"/>
  <c r="F340" i="23" s="1"/>
  <c r="F341" i="23" a="1"/>
  <c r="F341" i="23" s="1"/>
  <c r="F342" i="23" a="1"/>
  <c r="F342" i="23" s="1"/>
  <c r="F343" i="23" a="1"/>
  <c r="F343" i="23" s="1"/>
  <c r="F344" i="23" a="1"/>
  <c r="F344" i="23" s="1"/>
  <c r="F345" i="23" a="1"/>
  <c r="F345" i="23" s="1"/>
  <c r="F346" i="23" a="1"/>
  <c r="F346" i="23" s="1"/>
  <c r="F347" i="23" a="1"/>
  <c r="F347" i="23" s="1"/>
  <c r="F348" i="23" a="1"/>
  <c r="F348" i="23" s="1"/>
  <c r="F349" i="23" a="1"/>
  <c r="F349" i="23" s="1"/>
  <c r="F350" i="23" a="1"/>
  <c r="F350" i="23" s="1"/>
  <c r="F351" i="23" a="1"/>
  <c r="F351" i="23" s="1"/>
  <c r="F352" i="23" a="1"/>
  <c r="F352" i="23" s="1"/>
  <c r="F353" i="23" a="1"/>
  <c r="F353" i="23" s="1"/>
  <c r="F354" i="23" a="1"/>
  <c r="F354" i="23" s="1"/>
  <c r="F355" i="23" a="1"/>
  <c r="F355" i="23" s="1"/>
  <c r="F356" i="23" a="1"/>
  <c r="F356" i="23" s="1"/>
  <c r="F357" i="23" a="1"/>
  <c r="F357" i="23" s="1"/>
  <c r="F358" i="23" a="1"/>
  <c r="F358" i="23" s="1"/>
  <c r="F359" i="23" a="1"/>
  <c r="F359" i="23" s="1"/>
  <c r="F360" i="23" a="1"/>
  <c r="F360" i="23" s="1"/>
  <c r="F361" i="23" a="1"/>
  <c r="F361" i="23" s="1"/>
  <c r="F362" i="23" a="1"/>
  <c r="F362" i="23" s="1"/>
  <c r="F363" i="23" a="1"/>
  <c r="F363" i="23" s="1"/>
  <c r="F364" i="23" a="1"/>
  <c r="F364" i="23" s="1"/>
  <c r="F365" i="23" a="1"/>
  <c r="F365" i="23" s="1"/>
  <c r="F366" i="23" a="1"/>
  <c r="F366" i="23" s="1"/>
  <c r="F367" i="23" a="1"/>
  <c r="F367" i="23" s="1"/>
  <c r="F368" i="23" a="1"/>
  <c r="F368" i="23" s="1"/>
  <c r="F369" i="23" a="1"/>
  <c r="F369" i="23" s="1"/>
  <c r="F370" i="23" a="1"/>
  <c r="F370" i="23" s="1"/>
  <c r="F371" i="23" a="1"/>
  <c r="F371" i="23" s="1"/>
  <c r="F372" i="23" a="1"/>
  <c r="F372" i="23" s="1"/>
  <c r="F373" i="23" a="1"/>
  <c r="F373" i="23" s="1"/>
  <c r="F374" i="23" a="1"/>
  <c r="F374" i="23" s="1"/>
  <c r="F375" i="23" a="1"/>
  <c r="F375" i="23" s="1"/>
  <c r="F376" i="23" a="1"/>
  <c r="F376" i="23" s="1"/>
  <c r="F377" i="23" a="1"/>
  <c r="F377" i="23" s="1"/>
  <c r="F378" i="23" a="1"/>
  <c r="F378" i="23" s="1"/>
  <c r="F379" i="23" a="1"/>
  <c r="F379" i="23" s="1"/>
  <c r="F380" i="23" a="1"/>
  <c r="F380" i="23" s="1"/>
  <c r="F381" i="23" a="1"/>
  <c r="F381" i="23" s="1"/>
  <c r="F382" i="23" a="1"/>
  <c r="F382" i="23" s="1"/>
  <c r="F383" i="23" a="1"/>
  <c r="F383" i="23" s="1"/>
  <c r="F384" i="23" a="1"/>
  <c r="F384" i="23" s="1"/>
  <c r="F385" i="23" a="1"/>
  <c r="F385" i="23" s="1"/>
  <c r="F386" i="23" a="1"/>
  <c r="F386" i="23" s="1"/>
  <c r="F387" i="23" a="1"/>
  <c r="F387" i="23" s="1"/>
  <c r="F388" i="23" a="1"/>
  <c r="F388" i="23" s="1"/>
  <c r="F389" i="23" a="1"/>
  <c r="F389" i="23" s="1"/>
  <c r="F390" i="23" a="1"/>
  <c r="F390" i="23" s="1"/>
  <c r="F391" i="23" a="1"/>
  <c r="F391" i="23" s="1"/>
  <c r="F392" i="23" a="1"/>
  <c r="F392" i="23" s="1"/>
  <c r="F393" i="23" a="1"/>
  <c r="F393" i="23" s="1"/>
  <c r="F394" i="23" a="1"/>
  <c r="F394" i="23" s="1"/>
  <c r="F395" i="23" a="1"/>
  <c r="F395" i="23" s="1"/>
  <c r="F396" i="23" a="1"/>
  <c r="F396" i="23" s="1"/>
  <c r="F397" i="23" a="1"/>
  <c r="F397" i="23" s="1"/>
  <c r="F398" i="23" a="1"/>
  <c r="F398" i="23" s="1"/>
  <c r="F399" i="23" a="1"/>
  <c r="F399" i="23" s="1"/>
  <c r="F400" i="23" a="1"/>
  <c r="F400" i="23" s="1"/>
  <c r="F401" i="23" a="1"/>
  <c r="F401" i="23" s="1"/>
  <c r="F402" i="23" a="1"/>
  <c r="F402" i="23" s="1"/>
  <c r="F403" i="23" a="1"/>
  <c r="F403" i="23" s="1"/>
  <c r="F404" i="23" a="1"/>
  <c r="F404" i="23" s="1"/>
  <c r="F405" i="23" a="1"/>
  <c r="F405" i="23" s="1"/>
  <c r="F406" i="23" a="1"/>
  <c r="F406" i="23" s="1"/>
  <c r="F407" i="23" a="1"/>
  <c r="F407" i="23" s="1"/>
  <c r="F408" i="23" a="1"/>
  <c r="F408" i="23" s="1"/>
  <c r="F409" i="23" a="1"/>
  <c r="F409" i="23" s="1"/>
  <c r="F410" i="23" a="1"/>
  <c r="F410" i="23" s="1"/>
  <c r="F411" i="23" a="1"/>
  <c r="F411" i="23" s="1"/>
  <c r="F412" i="23" a="1"/>
  <c r="F412" i="23" s="1"/>
  <c r="F413" i="23" a="1"/>
  <c r="F413" i="23" s="1"/>
  <c r="F414" i="23" a="1"/>
  <c r="F414" i="23" s="1"/>
  <c r="F415" i="23" a="1"/>
  <c r="F415" i="23" s="1"/>
  <c r="F416" i="23" a="1"/>
  <c r="F416" i="23" s="1"/>
  <c r="F417" i="23" a="1"/>
  <c r="F417" i="23" s="1"/>
  <c r="F418" i="23" a="1"/>
  <c r="F418" i="23" s="1"/>
  <c r="F419" i="23" a="1"/>
  <c r="F419" i="23" s="1"/>
  <c r="F420" i="23" a="1"/>
  <c r="F420" i="23" s="1"/>
  <c r="F421" i="23" a="1"/>
  <c r="F421" i="23" s="1"/>
  <c r="F422" i="23" a="1"/>
  <c r="F422" i="23" s="1"/>
  <c r="F423" i="23" a="1"/>
  <c r="F423" i="23" s="1"/>
  <c r="F424" i="23" a="1"/>
  <c r="F424" i="23" s="1"/>
  <c r="F425" i="23" a="1"/>
  <c r="F425" i="23" s="1"/>
  <c r="F426" i="23" a="1"/>
  <c r="F426" i="23" s="1"/>
  <c r="F427" i="23" a="1"/>
  <c r="F427" i="23" s="1"/>
  <c r="F428" i="23" a="1"/>
  <c r="F428" i="23" s="1"/>
  <c r="F429" i="23" a="1"/>
  <c r="F429" i="23" s="1"/>
  <c r="F430" i="23" a="1"/>
  <c r="F430" i="23" s="1"/>
  <c r="F431" i="23" a="1"/>
  <c r="F431" i="23" s="1"/>
  <c r="F432" i="23" a="1"/>
  <c r="F432" i="23" s="1"/>
  <c r="F433" i="23" a="1"/>
  <c r="F433" i="23" s="1"/>
  <c r="F434" i="23" a="1"/>
  <c r="F434" i="23" s="1"/>
  <c r="F435" i="23" a="1"/>
  <c r="F435" i="23" s="1"/>
  <c r="F436" i="23" a="1"/>
  <c r="F436" i="23" s="1"/>
  <c r="F437" i="23" a="1"/>
  <c r="F437" i="23" s="1"/>
  <c r="F438" i="23" a="1"/>
  <c r="F438" i="23" s="1"/>
  <c r="F439" i="23" a="1"/>
  <c r="F439" i="23" s="1"/>
  <c r="F440" i="23" a="1"/>
  <c r="F440" i="23" s="1"/>
  <c r="F441" i="23" a="1"/>
  <c r="F441" i="23" s="1"/>
  <c r="F442" i="23" a="1"/>
  <c r="F442" i="23" s="1"/>
  <c r="F443" i="23" a="1"/>
  <c r="F443" i="23" s="1"/>
  <c r="F444" i="23" a="1"/>
  <c r="F444" i="23" s="1"/>
  <c r="F445" i="23" a="1"/>
  <c r="F445" i="23" s="1"/>
  <c r="F446" i="23" a="1"/>
  <c r="F446" i="23" s="1"/>
  <c r="F447" i="23" a="1"/>
  <c r="F447" i="23" s="1"/>
  <c r="F448" i="23" a="1"/>
  <c r="F448" i="23" s="1"/>
  <c r="F449" i="23" a="1"/>
  <c r="F449" i="23" s="1"/>
  <c r="F450" i="23" a="1"/>
  <c r="F450" i="23" s="1"/>
  <c r="F451" i="23" a="1"/>
  <c r="F451" i="23" s="1"/>
  <c r="F452" i="23" a="1"/>
  <c r="F452" i="23" s="1"/>
  <c r="F453" i="23" a="1"/>
  <c r="F453" i="23" s="1"/>
  <c r="F454" i="23" a="1"/>
  <c r="F454" i="23" s="1"/>
  <c r="F455" i="23" a="1"/>
  <c r="F455" i="23" s="1"/>
  <c r="F456" i="23" a="1"/>
  <c r="F456" i="23" s="1"/>
  <c r="F457" i="23" a="1"/>
  <c r="F457" i="23" s="1"/>
  <c r="F458" i="23" a="1"/>
  <c r="F458" i="23" s="1"/>
  <c r="F459" i="23" a="1"/>
  <c r="F459" i="23" s="1"/>
  <c r="F460" i="23" a="1"/>
  <c r="F460" i="23" s="1"/>
  <c r="F461" i="23" a="1"/>
  <c r="F461" i="23" s="1"/>
  <c r="F462" i="23" a="1"/>
  <c r="F462" i="23" s="1"/>
  <c r="F463" i="23" a="1"/>
  <c r="F463" i="23" s="1"/>
  <c r="F464" i="23" a="1"/>
  <c r="F464" i="23" s="1"/>
  <c r="F465" i="23" a="1"/>
  <c r="F465" i="23" s="1"/>
  <c r="F466" i="23" a="1"/>
  <c r="F466" i="23" s="1"/>
  <c r="F467" i="23" a="1"/>
  <c r="F467" i="23" s="1"/>
  <c r="F468" i="23" a="1"/>
  <c r="F468" i="23" s="1"/>
  <c r="F469" i="23" a="1"/>
  <c r="F469" i="23" s="1"/>
  <c r="F470" i="23" a="1"/>
  <c r="F470" i="23" s="1"/>
  <c r="F471" i="23" a="1"/>
  <c r="F471" i="23" s="1"/>
  <c r="F472" i="23" a="1"/>
  <c r="F472" i="23" s="1"/>
  <c r="F473" i="23" a="1"/>
  <c r="F473" i="23" s="1"/>
  <c r="F474" i="23" a="1"/>
  <c r="F474" i="23" s="1"/>
  <c r="F475" i="23" a="1"/>
  <c r="F475" i="23" s="1"/>
  <c r="F476" i="23" a="1"/>
  <c r="F476" i="23" s="1"/>
  <c r="F477" i="23" a="1"/>
  <c r="F477" i="23" s="1"/>
  <c r="F478" i="23" a="1"/>
  <c r="F478" i="23" s="1"/>
  <c r="F479" i="23" a="1"/>
  <c r="F479" i="23" s="1"/>
  <c r="F480" i="23" a="1"/>
  <c r="F480" i="23" s="1"/>
  <c r="F481" i="23" a="1"/>
  <c r="F481" i="23" s="1"/>
  <c r="F482" i="23" a="1"/>
  <c r="F482" i="23" s="1"/>
  <c r="F483" i="23" a="1"/>
  <c r="F483" i="23" s="1"/>
  <c r="F484" i="23" a="1"/>
  <c r="F484" i="23" s="1"/>
  <c r="F485" i="23" a="1"/>
  <c r="F485" i="23" s="1"/>
  <c r="F486" i="23" a="1"/>
  <c r="F486" i="23" s="1"/>
  <c r="F487" i="23" a="1"/>
  <c r="F487" i="23" s="1"/>
  <c r="F488" i="23" a="1"/>
  <c r="F488" i="23" s="1"/>
  <c r="F489" i="23" a="1"/>
  <c r="F489" i="23" s="1"/>
  <c r="F490" i="23" a="1"/>
  <c r="F490" i="23" s="1"/>
  <c r="F491" i="23" a="1"/>
  <c r="F491" i="23" s="1"/>
  <c r="F492" i="23" a="1"/>
  <c r="F492" i="23" s="1"/>
  <c r="F493" i="23" a="1"/>
  <c r="F493" i="23" s="1"/>
  <c r="F494" i="23" a="1"/>
  <c r="F494" i="23" s="1"/>
  <c r="F495" i="23" a="1"/>
  <c r="F495" i="23" s="1"/>
  <c r="F496" i="23" a="1"/>
  <c r="F496" i="23" s="1"/>
  <c r="F497" i="23" a="1"/>
  <c r="F497" i="23" s="1"/>
  <c r="F498" i="23" a="1"/>
  <c r="F498" i="23" s="1"/>
  <c r="F499" i="23" a="1"/>
  <c r="F499" i="23" s="1"/>
  <c r="F500" i="23" a="1"/>
  <c r="F500" i="23" s="1"/>
  <c r="F501" i="23" a="1"/>
  <c r="F501" i="23" s="1"/>
  <c r="F502" i="23" a="1"/>
  <c r="F502" i="23" s="1"/>
  <c r="F503" i="23" a="1"/>
  <c r="F503" i="23" s="1"/>
  <c r="F504" i="23" a="1"/>
  <c r="F504" i="23" s="1"/>
  <c r="F505" i="23" a="1"/>
  <c r="F505" i="23" s="1"/>
  <c r="F506" i="23" a="1"/>
  <c r="F506" i="23" s="1"/>
  <c r="F507" i="23" a="1"/>
  <c r="F507" i="23" s="1"/>
  <c r="F508" i="23" a="1"/>
  <c r="F508" i="23" s="1"/>
  <c r="F509" i="23" a="1"/>
  <c r="F509" i="23" s="1"/>
  <c r="F510" i="23" a="1"/>
  <c r="F510" i="23" s="1"/>
  <c r="F511" i="23" a="1"/>
  <c r="F511" i="23" s="1"/>
  <c r="F512" i="23" a="1"/>
  <c r="F512" i="23" s="1"/>
  <c r="F513" i="23" a="1"/>
  <c r="F513" i="23" s="1"/>
  <c r="F514" i="23" a="1"/>
  <c r="F514" i="23" s="1"/>
  <c r="F515" i="23" a="1"/>
  <c r="F515" i="23" s="1"/>
  <c r="F516" i="23" a="1"/>
  <c r="F516" i="23" s="1"/>
  <c r="F517" i="23" a="1"/>
  <c r="F517" i="23" s="1"/>
  <c r="F518" i="23" a="1"/>
  <c r="F518" i="23" s="1"/>
  <c r="F519" i="23" a="1"/>
  <c r="F519" i="23" s="1"/>
  <c r="F520" i="23" a="1"/>
  <c r="F520" i="23" s="1"/>
  <c r="F521" i="23" a="1"/>
  <c r="F521" i="23" s="1"/>
  <c r="F522" i="23" a="1"/>
  <c r="F522" i="23" s="1"/>
  <c r="F523" i="23" a="1"/>
  <c r="F523" i="23" s="1"/>
  <c r="F524" i="23" a="1"/>
  <c r="F524" i="23" s="1"/>
  <c r="F525" i="23" a="1"/>
  <c r="F525" i="23" s="1"/>
  <c r="F526" i="23" a="1"/>
  <c r="F526" i="23" s="1"/>
  <c r="F527" i="23" a="1"/>
  <c r="F527" i="23" s="1"/>
  <c r="F528" i="23" a="1"/>
  <c r="F528" i="23" s="1"/>
  <c r="F529" i="23" a="1"/>
  <c r="F529" i="23" s="1"/>
  <c r="F530" i="23" a="1"/>
  <c r="F530" i="23" s="1"/>
  <c r="F531" i="23" a="1"/>
  <c r="F531" i="23" s="1"/>
  <c r="F532" i="23" a="1"/>
  <c r="F532" i="23" s="1"/>
  <c r="F533" i="23" a="1"/>
  <c r="F533" i="23" s="1"/>
  <c r="F534" i="23" a="1"/>
  <c r="F534" i="23" s="1"/>
  <c r="F535" i="23" a="1"/>
  <c r="F535" i="23" s="1"/>
  <c r="F536" i="23" a="1"/>
  <c r="F536" i="23" s="1"/>
  <c r="F537" i="23" a="1"/>
  <c r="F537" i="23" s="1"/>
  <c r="F538" i="23" a="1"/>
  <c r="F538" i="23" s="1"/>
  <c r="F539" i="23" a="1"/>
  <c r="F539" i="23" s="1"/>
  <c r="F540" i="23" a="1"/>
  <c r="F540" i="23" s="1"/>
  <c r="F541" i="23" a="1"/>
  <c r="F541" i="23"/>
  <c r="F542" i="23" a="1"/>
  <c r="F542" i="23" s="1"/>
  <c r="F543" i="23" a="1"/>
  <c r="F543" i="23" s="1"/>
  <c r="F544" i="23" a="1"/>
  <c r="F544" i="23" s="1"/>
  <c r="F545" i="23" a="1"/>
  <c r="F545" i="23" s="1"/>
  <c r="F546" i="23" a="1"/>
  <c r="F546" i="23" s="1"/>
  <c r="F547" i="23" a="1"/>
  <c r="F547" i="23" s="1"/>
  <c r="F548" i="23" a="1"/>
  <c r="F548" i="23" s="1"/>
  <c r="F549" i="23" a="1"/>
  <c r="F549" i="23" s="1"/>
  <c r="F550" i="23" a="1"/>
  <c r="F550" i="23" s="1"/>
  <c r="F551" i="23" a="1"/>
  <c r="F551" i="23" s="1"/>
  <c r="F552" i="23" a="1"/>
  <c r="F552" i="23" s="1"/>
  <c r="F553" i="23" a="1"/>
  <c r="F553" i="23" s="1"/>
  <c r="F554" i="23" a="1"/>
  <c r="F554" i="23" s="1"/>
  <c r="F555" i="23" a="1"/>
  <c r="F555" i="23" s="1"/>
  <c r="F556" i="23" a="1"/>
  <c r="F556" i="23" s="1"/>
  <c r="F557" i="23" a="1"/>
  <c r="F557" i="23" s="1"/>
  <c r="F558" i="23" a="1"/>
  <c r="F558" i="23" s="1"/>
  <c r="F559" i="23" a="1"/>
  <c r="F559" i="23" s="1"/>
  <c r="F560" i="23" a="1"/>
  <c r="F560" i="23" s="1"/>
  <c r="F561" i="23" a="1"/>
  <c r="F561" i="23" s="1"/>
  <c r="F562" i="23" a="1"/>
  <c r="F562" i="23" s="1"/>
  <c r="F563" i="23" a="1"/>
  <c r="F563" i="23" s="1"/>
  <c r="F564" i="23" a="1"/>
  <c r="F564" i="23" s="1"/>
  <c r="F565" i="23" a="1"/>
  <c r="F565" i="23" s="1"/>
  <c r="F566" i="23" a="1"/>
  <c r="F566" i="23" s="1"/>
  <c r="F567" i="23" a="1"/>
  <c r="F567" i="23" s="1"/>
  <c r="F568" i="23" a="1"/>
  <c r="F568" i="23" s="1"/>
  <c r="F569" i="23" a="1"/>
  <c r="F569" i="23" s="1"/>
  <c r="F570" i="23" a="1"/>
  <c r="F570" i="23" s="1"/>
  <c r="F571" i="23" a="1"/>
  <c r="F571" i="23" s="1"/>
  <c r="F572" i="23" a="1"/>
  <c r="F572" i="23" s="1"/>
  <c r="F573" i="23" a="1"/>
  <c r="F573" i="23" s="1"/>
  <c r="F574" i="23" a="1"/>
  <c r="F574" i="23" s="1"/>
  <c r="F575" i="23" a="1"/>
  <c r="F575" i="23" s="1"/>
  <c r="F576" i="23" a="1"/>
  <c r="F576" i="23" s="1"/>
  <c r="F577" i="23" a="1"/>
  <c r="F577" i="23" s="1"/>
  <c r="F578" i="23" a="1"/>
  <c r="F578" i="23" s="1"/>
  <c r="F579" i="23" a="1"/>
  <c r="F579" i="23" s="1"/>
  <c r="F580" i="23" a="1"/>
  <c r="F580" i="23" s="1"/>
  <c r="F581" i="23" a="1"/>
  <c r="F581" i="23" s="1"/>
  <c r="F582" i="23" a="1"/>
  <c r="F582" i="23" s="1"/>
  <c r="F583" i="23" a="1"/>
  <c r="F583" i="23" s="1"/>
  <c r="F584" i="23" a="1"/>
  <c r="F584" i="23" s="1"/>
  <c r="F585" i="23" a="1"/>
  <c r="F585" i="23" s="1"/>
  <c r="F586" i="23" a="1"/>
  <c r="F586" i="23" s="1"/>
  <c r="F587" i="23" a="1"/>
  <c r="F587" i="23" s="1"/>
  <c r="F588" i="23" a="1"/>
  <c r="F588" i="23" s="1"/>
  <c r="F589" i="23" a="1"/>
  <c r="F589" i="23" s="1"/>
  <c r="F590" i="23" a="1"/>
  <c r="F590" i="23" s="1"/>
  <c r="F591" i="23" a="1"/>
  <c r="F591" i="23" s="1"/>
  <c r="F592" i="23" a="1"/>
  <c r="F592" i="23" s="1"/>
  <c r="F593" i="23" a="1"/>
  <c r="F593" i="23" s="1"/>
  <c r="F594" i="23" a="1"/>
  <c r="F594" i="23" s="1"/>
  <c r="F595" i="23" a="1"/>
  <c r="F595" i="23" s="1"/>
  <c r="F596" i="23" a="1"/>
  <c r="F596" i="23" s="1"/>
  <c r="F597" i="23" a="1"/>
  <c r="F597" i="23" s="1"/>
  <c r="F598" i="23" a="1"/>
  <c r="F598" i="23" s="1"/>
  <c r="F599" i="23" a="1"/>
  <c r="F599" i="23" s="1"/>
  <c r="F600" i="23" a="1"/>
  <c r="F600" i="23" s="1"/>
  <c r="F601" i="23" a="1"/>
  <c r="F601" i="23" s="1"/>
  <c r="F602" i="23" a="1"/>
  <c r="F602" i="23" s="1"/>
  <c r="F603" i="23" a="1"/>
  <c r="F603" i="23" s="1"/>
  <c r="F604" i="23" a="1"/>
  <c r="F604" i="23" s="1"/>
  <c r="F605" i="23" a="1"/>
  <c r="F605" i="23" s="1"/>
  <c r="F606" i="23" a="1"/>
  <c r="F606" i="23" s="1"/>
  <c r="F607" i="23" a="1"/>
  <c r="F607" i="23" s="1"/>
  <c r="F608" i="23" a="1"/>
  <c r="F608" i="23" s="1"/>
  <c r="F609" i="23" a="1"/>
  <c r="F609" i="23" s="1"/>
  <c r="F610" i="23" a="1"/>
  <c r="F610" i="23" s="1"/>
  <c r="F611" i="23" a="1"/>
  <c r="F611" i="23" s="1"/>
  <c r="F612" i="23" a="1"/>
  <c r="F612" i="23" s="1"/>
  <c r="F613" i="23" a="1"/>
  <c r="F613" i="23" s="1"/>
  <c r="F614" i="23" a="1"/>
  <c r="F614" i="23" s="1"/>
  <c r="F615" i="23" a="1"/>
  <c r="F615" i="23" s="1"/>
  <c r="F616" i="23" a="1"/>
  <c r="F616" i="23" s="1"/>
  <c r="F617" i="23" a="1"/>
  <c r="F617" i="23" s="1"/>
  <c r="F618" i="23" a="1"/>
  <c r="F618" i="23" s="1"/>
  <c r="F619" i="23" a="1"/>
  <c r="F619" i="23" s="1"/>
  <c r="F620" i="23" a="1"/>
  <c r="F620" i="23" s="1"/>
  <c r="F621" i="23" a="1"/>
  <c r="F621" i="23" s="1"/>
  <c r="F622" i="23" a="1"/>
  <c r="F622" i="23" s="1"/>
  <c r="F623" i="23" a="1"/>
  <c r="F623" i="23" s="1"/>
  <c r="F624" i="23" a="1"/>
  <c r="F624" i="23" s="1"/>
  <c r="F625" i="23" a="1"/>
  <c r="F625" i="23" s="1"/>
  <c r="F626" i="23" a="1"/>
  <c r="F626" i="23" s="1"/>
  <c r="F627" i="23" a="1"/>
  <c r="F627" i="23" s="1"/>
  <c r="F628" i="23" a="1"/>
  <c r="F628" i="23" s="1"/>
  <c r="F629" i="23" a="1"/>
  <c r="F629" i="23" s="1"/>
  <c r="F630" i="23" a="1"/>
  <c r="F630" i="23" s="1"/>
  <c r="F631" i="23" a="1"/>
  <c r="F631" i="23" s="1"/>
  <c r="F632" i="23" a="1"/>
  <c r="F632" i="23" s="1"/>
  <c r="F633" i="23" a="1"/>
  <c r="F633" i="23" s="1"/>
  <c r="F634" i="23" a="1"/>
  <c r="F634" i="23" s="1"/>
  <c r="F635" i="23" a="1"/>
  <c r="F635" i="23" s="1"/>
  <c r="F636" i="23" a="1"/>
  <c r="F636" i="23" s="1"/>
  <c r="F637" i="23" a="1"/>
  <c r="F637" i="23" s="1"/>
  <c r="F638" i="23" a="1"/>
  <c r="F638" i="23" s="1"/>
  <c r="F639" i="23" a="1"/>
  <c r="F639" i="23" s="1"/>
  <c r="F640" i="23" a="1"/>
  <c r="F640" i="23" s="1"/>
  <c r="F641" i="23" a="1"/>
  <c r="F641" i="23" s="1"/>
  <c r="F642" i="23" a="1"/>
  <c r="F642" i="23" s="1"/>
  <c r="F643" i="23" a="1"/>
  <c r="F643" i="23" s="1"/>
  <c r="F644" i="23" a="1"/>
  <c r="F644" i="23" s="1"/>
  <c r="F645" i="23" a="1"/>
  <c r="F645" i="23" s="1"/>
  <c r="F646" i="23" a="1"/>
  <c r="F646" i="23"/>
  <c r="F647" i="23" a="1"/>
  <c r="F647" i="23" s="1"/>
  <c r="F648" i="23" a="1"/>
  <c r="F648" i="23" s="1"/>
  <c r="F649" i="23" a="1"/>
  <c r="F649" i="23" s="1"/>
  <c r="F650" i="23" a="1"/>
  <c r="F650" i="23" s="1"/>
  <c r="F651" i="23" a="1"/>
  <c r="F651" i="23" s="1"/>
  <c r="F652" i="23" a="1"/>
  <c r="F652" i="23" s="1"/>
  <c r="F653" i="23" a="1"/>
  <c r="F653" i="23" s="1"/>
  <c r="F654" i="23" a="1"/>
  <c r="F654" i="23" s="1"/>
  <c r="F655" i="23" a="1"/>
  <c r="F655" i="23" s="1"/>
  <c r="F656" i="23" a="1"/>
  <c r="F656" i="23" s="1"/>
  <c r="F657" i="23" a="1"/>
  <c r="F657" i="23" s="1"/>
  <c r="F658" i="23" a="1"/>
  <c r="F658" i="23" s="1"/>
  <c r="F659" i="23" a="1"/>
  <c r="F659" i="23" s="1"/>
  <c r="F660" i="23" a="1"/>
  <c r="F660" i="23" s="1"/>
  <c r="F661" i="23" a="1"/>
  <c r="F661" i="23" s="1"/>
  <c r="F662" i="23" a="1"/>
  <c r="F662" i="23" s="1"/>
  <c r="F663" i="23" a="1"/>
  <c r="F663" i="23" s="1"/>
  <c r="F664" i="23" a="1"/>
  <c r="F664" i="23" s="1"/>
  <c r="F665" i="23" a="1"/>
  <c r="F665" i="23" s="1"/>
  <c r="F666" i="23" a="1"/>
  <c r="F666" i="23" s="1"/>
  <c r="F667" i="23" a="1"/>
  <c r="F667" i="23" s="1"/>
  <c r="F668" i="23" a="1"/>
  <c r="F668" i="23" s="1"/>
  <c r="F669" i="23" a="1"/>
  <c r="F669" i="23" s="1"/>
  <c r="F670" i="23" a="1"/>
  <c r="F670" i="23" s="1"/>
  <c r="F671" i="23" a="1"/>
  <c r="F671" i="23" s="1"/>
  <c r="F672" i="23" a="1"/>
  <c r="F672" i="23" s="1"/>
  <c r="F673" i="23" a="1"/>
  <c r="F673" i="23" s="1"/>
  <c r="F674" i="23" a="1"/>
  <c r="F674" i="23" s="1"/>
  <c r="F675" i="23" a="1"/>
  <c r="F675" i="23" s="1"/>
  <c r="F676" i="23" a="1"/>
  <c r="F676" i="23" s="1"/>
  <c r="F677" i="23" a="1"/>
  <c r="F677" i="23" s="1"/>
  <c r="F678" i="23" a="1"/>
  <c r="F678" i="23" s="1"/>
  <c r="F679" i="23" a="1"/>
  <c r="F679" i="23" s="1"/>
  <c r="F680" i="23" a="1"/>
  <c r="F680" i="23" s="1"/>
  <c r="F681" i="23" a="1"/>
  <c r="F681" i="23" s="1"/>
  <c r="F682" i="23" a="1"/>
  <c r="F682" i="23" s="1"/>
  <c r="F683" i="23" a="1"/>
  <c r="F683" i="23" s="1"/>
  <c r="F684" i="23" a="1"/>
  <c r="F684" i="23" s="1"/>
  <c r="F685" i="23" a="1"/>
  <c r="F685" i="23" s="1"/>
  <c r="F686" i="23" a="1"/>
  <c r="F686" i="23" s="1"/>
  <c r="F687" i="23" a="1"/>
  <c r="F687" i="23" s="1"/>
  <c r="F688" i="23" a="1"/>
  <c r="F688" i="23" s="1"/>
  <c r="F689" i="23" a="1"/>
  <c r="F689" i="23" s="1"/>
  <c r="F690" i="23" a="1"/>
  <c r="F690" i="23" s="1"/>
  <c r="F691" i="23" a="1"/>
  <c r="F691" i="23" s="1"/>
  <c r="F692" i="23" a="1"/>
  <c r="F692" i="23" s="1"/>
  <c r="F693" i="23" a="1"/>
  <c r="F693" i="23" s="1"/>
  <c r="F694" i="23" a="1"/>
  <c r="F694" i="23" s="1"/>
  <c r="F695" i="23" a="1"/>
  <c r="F695" i="23" s="1"/>
  <c r="F696" i="23" a="1"/>
  <c r="F696" i="23" s="1"/>
  <c r="F697" i="23" a="1"/>
  <c r="F697" i="23" s="1"/>
  <c r="F698" i="23" a="1"/>
  <c r="F698" i="23" s="1"/>
  <c r="F699" i="23" a="1"/>
  <c r="F699" i="23" s="1"/>
  <c r="F700" i="23" a="1"/>
  <c r="F700" i="23" s="1"/>
  <c r="F701" i="23" a="1"/>
  <c r="F701" i="23" s="1"/>
  <c r="F702" i="23" a="1"/>
  <c r="F702" i="23" s="1"/>
  <c r="F703" i="23" a="1"/>
  <c r="F703" i="23" s="1"/>
  <c r="F704" i="23" a="1"/>
  <c r="F704" i="23" s="1"/>
  <c r="F705" i="23" a="1"/>
  <c r="F705" i="23" s="1"/>
  <c r="F706" i="23" a="1"/>
  <c r="F706" i="23" s="1"/>
  <c r="F707" i="23" a="1"/>
  <c r="F707" i="23" s="1"/>
  <c r="F708" i="23" a="1"/>
  <c r="F708" i="23" s="1"/>
  <c r="F709" i="23" a="1"/>
  <c r="F709" i="23" s="1"/>
  <c r="F710" i="23" a="1"/>
  <c r="F710" i="23" s="1"/>
  <c r="F711" i="23" a="1"/>
  <c r="F711" i="23" s="1"/>
  <c r="F712" i="23" a="1"/>
  <c r="F712" i="23" s="1"/>
  <c r="F713" i="23" a="1"/>
  <c r="F713" i="23" s="1"/>
  <c r="F714" i="23" a="1"/>
  <c r="F714" i="23" s="1"/>
  <c r="F715" i="23" a="1"/>
  <c r="F715" i="23" s="1"/>
  <c r="F716" i="23" a="1"/>
  <c r="F716" i="23" s="1"/>
  <c r="F717" i="23" a="1"/>
  <c r="F717" i="23" s="1"/>
  <c r="F718" i="23" a="1"/>
  <c r="F718" i="23" s="1"/>
  <c r="F719" i="23" a="1"/>
  <c r="F719" i="23" s="1"/>
  <c r="F720" i="23" a="1"/>
  <c r="F720" i="23" s="1"/>
  <c r="F721" i="23" a="1"/>
  <c r="F721" i="23" s="1"/>
  <c r="F722" i="23" a="1"/>
  <c r="F722" i="23" s="1"/>
  <c r="F723" i="23" a="1"/>
  <c r="F723" i="23" s="1"/>
  <c r="F724" i="23" a="1"/>
  <c r="F724" i="23" s="1"/>
  <c r="F725" i="23" a="1"/>
  <c r="F725" i="23" s="1"/>
  <c r="F726" i="23" a="1"/>
  <c r="F726" i="23" s="1"/>
  <c r="F727" i="23" a="1"/>
  <c r="F727" i="23" s="1"/>
  <c r="F728" i="23" a="1"/>
  <c r="F728" i="23" s="1"/>
  <c r="F729" i="23" a="1"/>
  <c r="F729" i="23" s="1"/>
  <c r="F730" i="23" a="1"/>
  <c r="F730" i="23" s="1"/>
  <c r="F731" i="23" a="1"/>
  <c r="F731" i="23" s="1"/>
  <c r="F732" i="23" a="1"/>
  <c r="F732" i="23" s="1"/>
  <c r="F733" i="23" a="1"/>
  <c r="F733" i="23" s="1"/>
  <c r="F734" i="23" a="1"/>
  <c r="F734" i="23" s="1"/>
  <c r="F735" i="23" a="1"/>
  <c r="F735" i="23" s="1"/>
  <c r="F736" i="23" a="1"/>
  <c r="F736" i="23" s="1"/>
  <c r="F737" i="23" a="1"/>
  <c r="F737" i="23" s="1"/>
  <c r="F738" i="23" a="1"/>
  <c r="F738" i="23" s="1"/>
  <c r="F739" i="23" a="1"/>
  <c r="F739" i="23" s="1"/>
  <c r="F2" i="23" a="1"/>
  <c r="F2" i="23" s="1"/>
  <c r="I332" i="23" l="1" a="1"/>
  <c r="I332" i="23" s="1"/>
  <c r="I343" i="23" a="1"/>
  <c r="I343" i="23" s="1"/>
  <c r="I151" i="23" a="1"/>
  <c r="I151" i="23" s="1"/>
  <c r="I546" i="23" a="1"/>
  <c r="I546" i="23" s="1"/>
  <c r="I689" i="23" a="1"/>
  <c r="I689" i="23" s="1"/>
  <c r="I545" i="23" a="1"/>
  <c r="I545" i="23" s="1"/>
  <c r="I353" i="23" a="1"/>
  <c r="I353" i="23" s="1"/>
  <c r="I185" i="23" a="1"/>
  <c r="I185" i="23" s="1"/>
  <c r="I712" i="23" a="1"/>
  <c r="I712" i="23" s="1"/>
  <c r="I568" i="23" a="1"/>
  <c r="I568" i="23" s="1"/>
  <c r="I364" i="23" a="1"/>
  <c r="I364" i="23" s="1"/>
  <c r="I208" i="23" a="1"/>
  <c r="I208" i="23" s="1"/>
  <c r="I52" i="23" a="1"/>
  <c r="I52" i="23" s="1"/>
  <c r="I651" i="23" a="1"/>
  <c r="I651" i="23" s="1"/>
  <c r="I207" i="23" a="1"/>
  <c r="I207" i="23" s="1"/>
  <c r="I63" i="23" a="1"/>
  <c r="I63" i="23" s="1"/>
  <c r="S2" i="23" a="1"/>
  <c r="S2" i="23" s="1"/>
  <c r="I150" i="23" s="1" a="1"/>
  <c r="I150" i="23" s="1"/>
  <c r="I363" i="23" l="1" a="1"/>
  <c r="I363" i="23" s="1"/>
  <c r="I72" i="23" a="1"/>
  <c r="I72" i="23" s="1"/>
  <c r="I81" i="23" a="1"/>
  <c r="I81" i="23" s="1"/>
  <c r="I92" i="23" a="1"/>
  <c r="I92" i="23" s="1"/>
  <c r="I118" i="23" a="1"/>
  <c r="I118" i="23" s="1"/>
  <c r="I152" i="23" a="1"/>
  <c r="I152" i="23" s="1"/>
  <c r="I161" i="23" a="1"/>
  <c r="I161" i="23" s="1"/>
  <c r="I186" i="23" a="1"/>
  <c r="I186" i="23" s="1"/>
  <c r="I211" i="23" a="1"/>
  <c r="I211" i="23" s="1"/>
  <c r="I220" i="23" a="1"/>
  <c r="I220" i="23" s="1"/>
  <c r="I237" i="23" a="1"/>
  <c r="I237" i="23" s="1"/>
  <c r="I262" i="23" a="1"/>
  <c r="I262" i="23" s="1"/>
  <c r="I288" i="23" a="1"/>
  <c r="I288" i="23" s="1"/>
  <c r="I307" i="23" a="1"/>
  <c r="I307" i="23" s="1"/>
  <c r="I314" i="23" a="1"/>
  <c r="I314" i="23" s="1"/>
  <c r="I324" i="23" a="1"/>
  <c r="I324" i="23" s="1"/>
  <c r="I333" i="23" a="1"/>
  <c r="I333" i="23" s="1"/>
  <c r="I351" i="23" a="1"/>
  <c r="I351" i="23" s="1"/>
  <c r="I368" i="23" a="1"/>
  <c r="I368" i="23" s="1"/>
  <c r="I378" i="23" a="1"/>
  <c r="I378" i="23" s="1"/>
  <c r="I385" i="23" a="1"/>
  <c r="I385" i="23" s="1"/>
  <c r="I404" i="23" a="1"/>
  <c r="I404" i="23" s="1"/>
  <c r="I413" i="23" a="1"/>
  <c r="I413" i="23" s="1"/>
  <c r="I430" i="23" a="1"/>
  <c r="I430" i="23" s="1"/>
  <c r="I449" i="23" a="1"/>
  <c r="I449" i="23" s="1"/>
  <c r="I466" i="23" a="1"/>
  <c r="I466" i="23" s="1"/>
  <c r="I475" i="23" a="1"/>
  <c r="I475" i="23" s="1"/>
  <c r="I484" i="23" a="1"/>
  <c r="I484" i="23" s="1"/>
  <c r="I494" i="23" a="1"/>
  <c r="I494" i="23" s="1"/>
  <c r="I501" i="23" a="1"/>
  <c r="I501" i="23" s="1"/>
  <c r="I511" i="23" a="1"/>
  <c r="I511" i="23" s="1"/>
  <c r="I535" i="23" a="1"/>
  <c r="I535" i="23" s="1"/>
  <c r="I544" i="23" a="1"/>
  <c r="I544" i="23" s="1"/>
  <c r="I553" i="23" a="1"/>
  <c r="I553" i="23" s="1"/>
  <c r="I573" i="23" a="1"/>
  <c r="I573" i="23" s="1"/>
  <c r="I594" i="23" a="1"/>
  <c r="I594" i="23" s="1"/>
  <c r="I606" i="23" a="1"/>
  <c r="I606" i="23" s="1"/>
  <c r="I618" i="23" a="1"/>
  <c r="I618" i="23" s="1"/>
  <c r="I630" i="23" a="1"/>
  <c r="I630" i="23" s="1"/>
  <c r="I642" i="23" a="1"/>
  <c r="I642" i="23" s="1"/>
  <c r="I654" i="23" a="1"/>
  <c r="I654" i="23" s="1"/>
  <c r="I666" i="23" a="1"/>
  <c r="I666" i="23" s="1"/>
  <c r="I678" i="23" a="1"/>
  <c r="I678" i="23" s="1"/>
  <c r="I690" i="23" a="1"/>
  <c r="I690" i="23" s="1"/>
  <c r="I702" i="23" a="1"/>
  <c r="I702" i="23" s="1"/>
  <c r="I714" i="23" a="1"/>
  <c r="I714" i="23" s="1"/>
  <c r="I726" i="23" a="1"/>
  <c r="I726" i="23" s="1"/>
  <c r="I738" i="23" a="1"/>
  <c r="I738" i="23" s="1"/>
  <c r="I33" i="23" a="1"/>
  <c r="I33" i="23" s="1"/>
  <c r="I43" i="23" a="1"/>
  <c r="I43" i="23" s="1"/>
  <c r="I82" i="23" a="1"/>
  <c r="I82" i="23" s="1"/>
  <c r="I93" i="23" a="1"/>
  <c r="I93" i="23" s="1"/>
  <c r="I102" i="23" a="1"/>
  <c r="I102" i="23" s="1"/>
  <c r="I127" i="23" a="1"/>
  <c r="I127" i="23" s="1"/>
  <c r="I162" i="23" a="1"/>
  <c r="I162" i="23" s="1"/>
  <c r="I178" i="23" a="1"/>
  <c r="I178" i="23" s="1"/>
  <c r="I221" i="23" a="1"/>
  <c r="I221" i="23" s="1"/>
  <c r="I246" i="23" a="1"/>
  <c r="I246" i="23" s="1"/>
  <c r="I271" i="23" a="1"/>
  <c r="I271" i="23" s="1"/>
  <c r="I297" i="23" a="1"/>
  <c r="I297" i="23" s="1"/>
  <c r="I342" i="23" a="1"/>
  <c r="I342" i="23" s="1"/>
  <c r="I405" i="23" a="1"/>
  <c r="I405" i="23" s="1"/>
  <c r="I440" i="23" a="1"/>
  <c r="I440" i="23" s="1"/>
  <c r="I5" i="23" a="1"/>
  <c r="I5" i="23" s="1"/>
  <c r="I34" i="23" a="1"/>
  <c r="I34" i="23" s="1"/>
  <c r="I44" i="23" a="1"/>
  <c r="I44" i="23" s="1"/>
  <c r="I54" i="23" a="1"/>
  <c r="I54" i="23" s="1"/>
  <c r="I94" i="23" a="1"/>
  <c r="I94" i="23" s="1"/>
  <c r="I103" i="23" a="1"/>
  <c r="I103" i="23" s="1"/>
  <c r="I137" i="23" a="1"/>
  <c r="I137" i="23" s="1"/>
  <c r="I153" i="23" a="1"/>
  <c r="I153" i="23" s="1"/>
  <c r="I212" i="23" a="1"/>
  <c r="I212" i="23" s="1"/>
  <c r="I222" i="23" a="1"/>
  <c r="I222" i="23" s="1"/>
  <c r="I238" i="23" a="1"/>
  <c r="I238" i="23" s="1"/>
  <c r="I298" i="23" a="1"/>
  <c r="I298" i="23" s="1"/>
  <c r="I308" i="23" a="1"/>
  <c r="I308" i="23" s="1"/>
  <c r="I334" i="23" a="1"/>
  <c r="I334" i="23" s="1"/>
  <c r="I7" i="23" a="1"/>
  <c r="I7" i="23" s="1"/>
  <c r="I17" i="23" a="1"/>
  <c r="I17" i="23" s="1"/>
  <c r="I26" i="23" a="1"/>
  <c r="I26" i="23" s="1"/>
  <c r="I36" i="23" a="1"/>
  <c r="I36" i="23" s="1"/>
  <c r="I45" i="23" a="1"/>
  <c r="I45" i="23" s="1"/>
  <c r="I56" i="23" a="1"/>
  <c r="I56" i="23" s="1"/>
  <c r="I66" i="23" a="1"/>
  <c r="I66" i="23" s="1"/>
  <c r="I85" i="23" a="1"/>
  <c r="I85" i="23" s="1"/>
  <c r="I113" i="23" a="1"/>
  <c r="I113" i="23" s="1"/>
  <c r="I129" i="23" a="1"/>
  <c r="I129" i="23" s="1"/>
  <c r="I138" i="23" a="1"/>
  <c r="I138" i="23" s="1"/>
  <c r="I154" i="23" a="1"/>
  <c r="I154" i="23" s="1"/>
  <c r="I164" i="23" a="1"/>
  <c r="I164" i="23" s="1"/>
  <c r="I172" i="23" a="1"/>
  <c r="I172" i="23" s="1"/>
  <c r="I189" i="23" a="1"/>
  <c r="I189" i="23" s="1"/>
  <c r="I213" i="23" a="1"/>
  <c r="I213" i="23" s="1"/>
  <c r="I223" i="23" a="1"/>
  <c r="I223" i="23" s="1"/>
  <c r="I257" i="23" a="1"/>
  <c r="I257" i="23" s="1"/>
  <c r="I273" i="23" a="1"/>
  <c r="I273" i="23" s="1"/>
  <c r="I282" i="23" a="1"/>
  <c r="I282" i="23" s="1"/>
  <c r="I309" i="23" a="1"/>
  <c r="I309" i="23" s="1"/>
  <c r="I318" i="23" a="1"/>
  <c r="I318" i="23" s="1"/>
  <c r="I326" i="23" a="1"/>
  <c r="I326" i="23" s="1"/>
  <c r="I336" i="23" a="1"/>
  <c r="I336" i="23" s="1"/>
  <c r="I344" i="23" a="1"/>
  <c r="I344" i="23" s="1"/>
  <c r="I389" i="23" a="1"/>
  <c r="I389" i="23" s="1"/>
  <c r="I415" i="23" a="1"/>
  <c r="I415" i="23" s="1"/>
  <c r="I425" i="23" a="1"/>
  <c r="I425" i="23" s="1"/>
  <c r="I442" i="23" a="1"/>
  <c r="I442" i="23" s="1"/>
  <c r="I452" i="23" a="1"/>
  <c r="I452" i="23" s="1"/>
  <c r="I460" i="23" a="1"/>
  <c r="I460" i="23" s="1"/>
  <c r="I469" i="23" a="1"/>
  <c r="I469" i="23" s="1"/>
  <c r="I478" i="23" a="1"/>
  <c r="I478" i="23" s="1"/>
  <c r="I496" i="23" a="1"/>
  <c r="I496" i="23" s="1"/>
  <c r="I513" i="23" a="1"/>
  <c r="I513" i="23" s="1"/>
  <c r="I522" i="23" a="1"/>
  <c r="I522" i="23" s="1"/>
  <c r="I538" i="23" a="1"/>
  <c r="I538" i="23" s="1"/>
  <c r="I547" i="23" a="1"/>
  <c r="I547" i="23" s="1"/>
  <c r="I556" i="23" a="1"/>
  <c r="I556" i="23" s="1"/>
  <c r="I598" i="23" a="1"/>
  <c r="I598" i="23" s="1"/>
  <c r="I610" i="23" a="1"/>
  <c r="I610" i="23" s="1"/>
  <c r="I622" i="23" a="1"/>
  <c r="I622" i="23" s="1"/>
  <c r="I634" i="23" a="1"/>
  <c r="I634" i="23" s="1"/>
  <c r="I646" i="23" a="1"/>
  <c r="I646" i="23" s="1"/>
  <c r="I658" i="23" a="1"/>
  <c r="I658" i="23" s="1"/>
  <c r="I670" i="23" a="1"/>
  <c r="I670" i="23" s="1"/>
  <c r="I682" i="23" a="1"/>
  <c r="I682" i="23" s="1"/>
  <c r="I694" i="23" a="1"/>
  <c r="I694" i="23" s="1"/>
  <c r="I706" i="23" a="1"/>
  <c r="I706" i="23" s="1"/>
  <c r="I718" i="23" a="1"/>
  <c r="I718" i="23" s="1"/>
  <c r="I730" i="23" a="1"/>
  <c r="I730" i="23" s="1"/>
  <c r="I46" i="23" a="1"/>
  <c r="I46" i="23" s="1"/>
  <c r="I57" i="23" a="1"/>
  <c r="I57" i="23" s="1"/>
  <c r="I105" i="23" a="1"/>
  <c r="I105" i="23" s="1"/>
  <c r="I130" i="23" a="1"/>
  <c r="I130" i="23" s="1"/>
  <c r="I32" i="23" a="1"/>
  <c r="I32" i="23" s="1"/>
  <c r="I53" i="23" a="1"/>
  <c r="I53" i="23" s="1"/>
  <c r="I42" i="23" a="1"/>
  <c r="I42" i="23" s="1"/>
  <c r="I62" i="23" a="1"/>
  <c r="I62" i="23" s="1"/>
  <c r="I13" i="23" a="1"/>
  <c r="I13" i="23" s="1"/>
  <c r="I3" i="23" a="1"/>
  <c r="I3" i="23" s="1"/>
  <c r="I734" i="23" a="1"/>
  <c r="I734" i="23" s="1"/>
  <c r="I590" i="23" a="1"/>
  <c r="I590" i="23" s="1"/>
  <c r="I434" i="23" a="1"/>
  <c r="I434" i="23" s="1"/>
  <c r="I266" i="23" a="1"/>
  <c r="I266" i="23" s="1"/>
  <c r="I122" i="23" a="1"/>
  <c r="I122" i="23" s="1"/>
  <c r="I685" i="23" a="1"/>
  <c r="I685" i="23" s="1"/>
  <c r="I529" i="23" a="1"/>
  <c r="I529" i="23" s="1"/>
  <c r="I361" i="23" a="1"/>
  <c r="I361" i="23" s="1"/>
  <c r="I217" i="23" a="1"/>
  <c r="I217" i="23" s="1"/>
  <c r="I61" i="23" a="1"/>
  <c r="I61" i="23" s="1"/>
  <c r="I648" i="23" a="1"/>
  <c r="I648" i="23" s="1"/>
  <c r="I504" i="23" a="1"/>
  <c r="I504" i="23" s="1"/>
  <c r="I360" i="23" a="1"/>
  <c r="I360" i="23" s="1"/>
  <c r="I180" i="23" a="1"/>
  <c r="I180" i="23" s="1"/>
  <c r="I12" i="23" a="1"/>
  <c r="I12" i="23" s="1"/>
  <c r="I599" i="23" a="1"/>
  <c r="I599" i="23" s="1"/>
  <c r="I455" i="23" a="1"/>
  <c r="I455" i="23" s="1"/>
  <c r="I311" i="23" a="1"/>
  <c r="I311" i="23" s="1"/>
  <c r="I167" i="23" a="1"/>
  <c r="I167" i="23" s="1"/>
  <c r="I23" i="23" a="1"/>
  <c r="I23" i="23" s="1"/>
  <c r="I406" i="23" a="1"/>
  <c r="I406" i="23" s="1"/>
  <c r="I214" i="23" a="1"/>
  <c r="I214" i="23" s="1"/>
  <c r="I705" i="23" a="1"/>
  <c r="I705" i="23" s="1"/>
  <c r="I549" i="23" a="1"/>
  <c r="I549" i="23" s="1"/>
  <c r="I369" i="23" a="1"/>
  <c r="I369" i="23" s="1"/>
  <c r="I117" i="23" a="1"/>
  <c r="I117" i="23" s="1"/>
  <c r="I644" i="23" a="1"/>
  <c r="I644" i="23" s="1"/>
  <c r="I500" i="23" a="1"/>
  <c r="I500" i="23" s="1"/>
  <c r="I284" i="23" a="1"/>
  <c r="I284" i="23" s="1"/>
  <c r="I104" i="23" a="1"/>
  <c r="I104" i="23" s="1"/>
  <c r="I655" i="23" a="1"/>
  <c r="I655" i="23" s="1"/>
  <c r="I463" i="23" a="1"/>
  <c r="I463" i="23" s="1"/>
  <c r="I295" i="23" a="1"/>
  <c r="I295" i="23" s="1"/>
  <c r="I91" i="23" a="1"/>
  <c r="I91" i="23" s="1"/>
  <c r="I498" i="23" a="1"/>
  <c r="I498" i="23" s="1"/>
  <c r="I330" i="23" a="1"/>
  <c r="I330" i="23" s="1"/>
  <c r="I90" i="23" a="1"/>
  <c r="I90" i="23" s="1"/>
  <c r="I653" i="23" a="1"/>
  <c r="I653" i="23" s="1"/>
  <c r="I509" i="23" a="1"/>
  <c r="I509" i="23" s="1"/>
  <c r="I317" i="23" a="1"/>
  <c r="I317" i="23" s="1"/>
  <c r="I125" i="23" a="1"/>
  <c r="I125" i="23" s="1"/>
  <c r="I676" i="23" a="1"/>
  <c r="I676" i="23" s="1"/>
  <c r="I508" i="23" a="1"/>
  <c r="I508" i="23" s="1"/>
  <c r="I328" i="23" a="1"/>
  <c r="I328" i="23" s="1"/>
  <c r="I160" i="23" a="1"/>
  <c r="I160" i="23" s="1"/>
  <c r="I16" i="23" a="1"/>
  <c r="I16" i="23" s="1"/>
  <c r="I615" i="23" a="1"/>
  <c r="I615" i="23" s="1"/>
  <c r="I471" i="23" a="1"/>
  <c r="I471" i="23" s="1"/>
  <c r="I315" i="23" a="1"/>
  <c r="I315" i="23" s="1"/>
  <c r="I171" i="23" a="1"/>
  <c r="I171" i="23" s="1"/>
  <c r="I27" i="23" a="1"/>
  <c r="I27" i="23" s="1"/>
  <c r="I722" i="23" a="1"/>
  <c r="I722" i="23" s="1"/>
  <c r="I578" i="23" a="1"/>
  <c r="I578" i="23" s="1"/>
  <c r="I422" i="23" a="1"/>
  <c r="I422" i="23" s="1"/>
  <c r="I254" i="23" a="1"/>
  <c r="I254" i="23" s="1"/>
  <c r="I110" i="23" a="1"/>
  <c r="I110" i="23" s="1"/>
  <c r="I673" i="23" a="1"/>
  <c r="I673" i="23" s="1"/>
  <c r="I517" i="23" a="1"/>
  <c r="I517" i="23" s="1"/>
  <c r="I349" i="23" a="1"/>
  <c r="I349" i="23" s="1"/>
  <c r="I205" i="23" a="1"/>
  <c r="I205" i="23" s="1"/>
  <c r="I49" i="23" a="1"/>
  <c r="I49" i="23" s="1"/>
  <c r="I636" i="23" a="1"/>
  <c r="I636" i="23" s="1"/>
  <c r="I492" i="23" a="1"/>
  <c r="I492" i="23" s="1"/>
  <c r="I348" i="23" a="1"/>
  <c r="I348" i="23" s="1"/>
  <c r="I168" i="23" a="1"/>
  <c r="I168" i="23" s="1"/>
  <c r="I731" i="23" a="1"/>
  <c r="I731" i="23" s="1"/>
  <c r="I587" i="23" a="1"/>
  <c r="I587" i="23" s="1"/>
  <c r="I443" i="23" a="1"/>
  <c r="I443" i="23" s="1"/>
  <c r="I299" i="23" a="1"/>
  <c r="I299" i="23" s="1"/>
  <c r="I155" i="23" a="1"/>
  <c r="I155" i="23" s="1"/>
  <c r="I11" i="23" a="1"/>
  <c r="I11" i="23" s="1"/>
  <c r="I394" i="23" a="1"/>
  <c r="I394" i="23" s="1"/>
  <c r="I202" i="23" a="1"/>
  <c r="I202" i="23" s="1"/>
  <c r="I693" i="23" a="1"/>
  <c r="I693" i="23" s="1"/>
  <c r="I537" i="23" a="1"/>
  <c r="I537" i="23" s="1"/>
  <c r="I357" i="23" a="1"/>
  <c r="I357" i="23" s="1"/>
  <c r="I69" i="23" a="1"/>
  <c r="I69" i="23" s="1"/>
  <c r="I632" i="23" a="1"/>
  <c r="I632" i="23" s="1"/>
  <c r="I488" i="23" a="1"/>
  <c r="I488" i="23" s="1"/>
  <c r="I272" i="23" a="1"/>
  <c r="I272" i="23" s="1"/>
  <c r="I80" i="23" a="1"/>
  <c r="I80" i="23" s="1"/>
  <c r="I643" i="23" a="1"/>
  <c r="I643" i="23" s="1"/>
  <c r="I451" i="23" a="1"/>
  <c r="I451" i="23" s="1"/>
  <c r="I283" i="23" a="1"/>
  <c r="I283" i="23" s="1"/>
  <c r="I79" i="23" a="1"/>
  <c r="I79" i="23" s="1"/>
  <c r="I486" i="23" a="1"/>
  <c r="I486" i="23" s="1"/>
  <c r="I306" i="23" a="1"/>
  <c r="I306" i="23" s="1"/>
  <c r="I78" i="23" a="1"/>
  <c r="I78" i="23" s="1"/>
  <c r="I641" i="23" a="1"/>
  <c r="I641" i="23" s="1"/>
  <c r="I497" i="23" a="1"/>
  <c r="I497" i="23" s="1"/>
  <c r="I305" i="23" a="1"/>
  <c r="I305" i="23" s="1"/>
  <c r="I101" i="23" a="1"/>
  <c r="I101" i="23" s="1"/>
  <c r="I664" i="23" a="1"/>
  <c r="I664" i="23" s="1"/>
  <c r="I472" i="23" a="1"/>
  <c r="I472" i="23" s="1"/>
  <c r="I316" i="23" a="1"/>
  <c r="I316" i="23" s="1"/>
  <c r="I148" i="23" a="1"/>
  <c r="I148" i="23" s="1"/>
  <c r="I4" i="23" a="1"/>
  <c r="I4" i="23" s="1"/>
  <c r="I603" i="23" a="1"/>
  <c r="I603" i="23" s="1"/>
  <c r="I459" i="23" a="1"/>
  <c r="I459" i="23" s="1"/>
  <c r="I303" i="23" a="1"/>
  <c r="I303" i="23" s="1"/>
  <c r="I159" i="23" a="1"/>
  <c r="I159" i="23" s="1"/>
  <c r="I15" i="23" a="1"/>
  <c r="I15" i="23" s="1"/>
  <c r="I629" i="23" a="1"/>
  <c r="I629" i="23" s="1"/>
  <c r="I89" i="23" a="1"/>
  <c r="I89" i="23" s="1"/>
  <c r="I448" i="23" a="1"/>
  <c r="I448" i="23" s="1"/>
  <c r="I136" i="23" a="1"/>
  <c r="I136" i="23" s="1"/>
  <c r="I591" i="23" a="1"/>
  <c r="I591" i="23" s="1"/>
  <c r="I447" i="23" a="1"/>
  <c r="I447" i="23" s="1"/>
  <c r="I147" i="23" a="1"/>
  <c r="I147" i="23" s="1"/>
  <c r="I470" i="23" a="1"/>
  <c r="I470" i="23" s="1"/>
  <c r="I710" i="23" a="1"/>
  <c r="I710" i="23" s="1"/>
  <c r="I566" i="23" a="1"/>
  <c r="I566" i="23" s="1"/>
  <c r="I410" i="23" a="1"/>
  <c r="I410" i="23" s="1"/>
  <c r="I242" i="23" a="1"/>
  <c r="I242" i="23" s="1"/>
  <c r="I98" i="23" a="1"/>
  <c r="I98" i="23" s="1"/>
  <c r="I661" i="23" a="1"/>
  <c r="I661" i="23" s="1"/>
  <c r="I505" i="23" a="1"/>
  <c r="I505" i="23" s="1"/>
  <c r="I337" i="23" a="1"/>
  <c r="I337" i="23" s="1"/>
  <c r="I193" i="23" a="1"/>
  <c r="I193" i="23" s="1"/>
  <c r="I37" i="23" a="1"/>
  <c r="I37" i="23" s="1"/>
  <c r="I624" i="23" a="1"/>
  <c r="I624" i="23" s="1"/>
  <c r="I480" i="23" a="1"/>
  <c r="I480" i="23" s="1"/>
  <c r="I312" i="23" a="1"/>
  <c r="I312" i="23" s="1"/>
  <c r="I156" i="23" a="1"/>
  <c r="I156" i="23" s="1"/>
  <c r="I719" i="23" a="1"/>
  <c r="I719" i="23" s="1"/>
  <c r="I575" i="23" a="1"/>
  <c r="I575" i="23" s="1"/>
  <c r="I431" i="23" a="1"/>
  <c r="I431" i="23" s="1"/>
  <c r="I287" i="23" a="1"/>
  <c r="I287" i="23" s="1"/>
  <c r="I143" i="23" a="1"/>
  <c r="I143" i="23" s="1"/>
  <c r="I586" i="23" a="1"/>
  <c r="I586" i="23" s="1"/>
  <c r="I382" i="23" a="1"/>
  <c r="I382" i="23" s="1"/>
  <c r="I190" i="23" a="1"/>
  <c r="I190" i="23" s="1"/>
  <c r="I681" i="23" a="1"/>
  <c r="I681" i="23" s="1"/>
  <c r="I525" i="23" a="1"/>
  <c r="I525" i="23" s="1"/>
  <c r="I345" i="23" a="1"/>
  <c r="I345" i="23" s="1"/>
  <c r="I21" i="23" a="1"/>
  <c r="I21" i="23" s="1"/>
  <c r="I620" i="23" a="1"/>
  <c r="I620" i="23" s="1"/>
  <c r="I476" i="23" a="1"/>
  <c r="I476" i="23" s="1"/>
  <c r="I260" i="23" a="1"/>
  <c r="I260" i="23" s="1"/>
  <c r="I68" i="23" a="1"/>
  <c r="I68" i="23" s="1"/>
  <c r="I631" i="23" a="1"/>
  <c r="I631" i="23" s="1"/>
  <c r="I439" i="23" a="1"/>
  <c r="I439" i="23" s="1"/>
  <c r="I259" i="23" a="1"/>
  <c r="I259" i="23" s="1"/>
  <c r="I67" i="23" a="1"/>
  <c r="I67" i="23" s="1"/>
  <c r="I474" i="23" a="1"/>
  <c r="I474" i="23" s="1"/>
  <c r="I294" i="23" a="1"/>
  <c r="I294" i="23" s="1"/>
  <c r="I30" i="23" a="1"/>
  <c r="I30" i="23" s="1"/>
  <c r="I485" i="23" a="1"/>
  <c r="I485" i="23" s="1"/>
  <c r="I293" i="23" a="1"/>
  <c r="I293" i="23" s="1"/>
  <c r="I652" i="23" a="1"/>
  <c r="I652" i="23" s="1"/>
  <c r="I304" i="23" a="1"/>
  <c r="I304" i="23" s="1"/>
  <c r="I735" i="23" a="1"/>
  <c r="I735" i="23" s="1"/>
  <c r="I291" i="23" a="1"/>
  <c r="I291" i="23" s="1"/>
  <c r="I563" i="23" a="1"/>
  <c r="I563" i="23" s="1"/>
  <c r="I419" i="23" a="1"/>
  <c r="I419" i="23" s="1"/>
  <c r="I275" i="23" a="1"/>
  <c r="I275" i="23" s="1"/>
  <c r="I131" i="23" a="1"/>
  <c r="I131" i="23" s="1"/>
  <c r="I574" i="23" a="1"/>
  <c r="I574" i="23" s="1"/>
  <c r="I370" i="23" a="1"/>
  <c r="I370" i="23" s="1"/>
  <c r="I166" i="23" a="1"/>
  <c r="I166" i="23" s="1"/>
  <c r="I669" i="23" a="1"/>
  <c r="I669" i="23" s="1"/>
  <c r="I489" i="23" a="1"/>
  <c r="I489" i="23" s="1"/>
  <c r="I9" i="23" a="1"/>
  <c r="I9" i="23" s="1"/>
  <c r="I608" i="23" a="1"/>
  <c r="I608" i="23" s="1"/>
  <c r="I464" i="23" a="1"/>
  <c r="I464" i="23" s="1"/>
  <c r="I248" i="23" a="1"/>
  <c r="I248" i="23" s="1"/>
  <c r="I20" i="23" a="1"/>
  <c r="I20" i="23" s="1"/>
  <c r="I619" i="23" a="1"/>
  <c r="I619" i="23" s="1"/>
  <c r="I247" i="23" a="1"/>
  <c r="I247" i="23" s="1"/>
  <c r="I55" i="23" a="1"/>
  <c r="I55" i="23" s="1"/>
  <c r="I462" i="23" a="1"/>
  <c r="I462" i="23" s="1"/>
  <c r="I18" i="23" a="1"/>
  <c r="I18" i="23" s="1"/>
  <c r="I617" i="23" a="1"/>
  <c r="I617" i="23" s="1"/>
  <c r="I281" i="23" a="1"/>
  <c r="I281" i="23" s="1"/>
  <c r="I77" i="23" a="1"/>
  <c r="I77" i="23" s="1"/>
  <c r="I436" i="23" a="1"/>
  <c r="I436" i="23" s="1"/>
  <c r="I124" i="23" a="1"/>
  <c r="I124" i="23" s="1"/>
  <c r="I579" i="23" a="1"/>
  <c r="I579" i="23" s="1"/>
  <c r="I279" i="23" a="1"/>
  <c r="I279" i="23" s="1"/>
  <c r="I698" i="23" a="1"/>
  <c r="I698" i="23" s="1"/>
  <c r="I554" i="23" a="1"/>
  <c r="I554" i="23" s="1"/>
  <c r="I398" i="23" a="1"/>
  <c r="I398" i="23" s="1"/>
  <c r="I230" i="23" a="1"/>
  <c r="I230" i="23" s="1"/>
  <c r="I86" i="23" a="1"/>
  <c r="I86" i="23" s="1"/>
  <c r="I649" i="23" a="1"/>
  <c r="I649" i="23" s="1"/>
  <c r="I493" i="23" a="1"/>
  <c r="I493" i="23" s="1"/>
  <c r="I325" i="23" a="1"/>
  <c r="I325" i="23" s="1"/>
  <c r="I181" i="23" a="1"/>
  <c r="I181" i="23" s="1"/>
  <c r="I25" i="23" a="1"/>
  <c r="I25" i="23" s="1"/>
  <c r="I612" i="23" a="1"/>
  <c r="I612" i="23" s="1"/>
  <c r="I468" i="23" a="1"/>
  <c r="I468" i="23" s="1"/>
  <c r="I300" i="23" a="1"/>
  <c r="I300" i="23" s="1"/>
  <c r="I144" i="23" a="1"/>
  <c r="I144" i="23" s="1"/>
  <c r="I707" i="23" a="1"/>
  <c r="I707" i="23" s="1"/>
  <c r="I321" i="23" a="1"/>
  <c r="I321" i="23" s="1"/>
  <c r="I427" i="23" a="1"/>
  <c r="I427" i="23" s="1"/>
  <c r="I270" i="23" a="1"/>
  <c r="I270" i="23" s="1"/>
  <c r="I473" i="23" a="1"/>
  <c r="I473" i="23" s="1"/>
  <c r="I640" i="23" a="1"/>
  <c r="I640" i="23" s="1"/>
  <c r="I292" i="23" a="1"/>
  <c r="I292" i="23" s="1"/>
  <c r="I723" i="23" a="1"/>
  <c r="I723" i="23" s="1"/>
  <c r="I435" i="23" a="1"/>
  <c r="I435" i="23" s="1"/>
  <c r="I135" i="23" a="1"/>
  <c r="I135" i="23" s="1"/>
  <c r="I638" i="23" a="1"/>
  <c r="I638" i="23" s="1"/>
  <c r="I482" i="23" a="1"/>
  <c r="I482" i="23" s="1"/>
  <c r="I338" i="23" a="1"/>
  <c r="I338" i="23" s="1"/>
  <c r="I170" i="23" a="1"/>
  <c r="I170" i="23" s="1"/>
  <c r="I733" i="23" a="1"/>
  <c r="I733" i="23" s="1"/>
  <c r="I589" i="23" a="1"/>
  <c r="I589" i="23" s="1"/>
  <c r="I421" i="23" a="1"/>
  <c r="I421" i="23" s="1"/>
  <c r="I265" i="23" a="1"/>
  <c r="I265" i="23" s="1"/>
  <c r="I696" i="23" a="1"/>
  <c r="I696" i="23" s="1"/>
  <c r="I552" i="23" a="1"/>
  <c r="I552" i="23" s="1"/>
  <c r="I408" i="23" a="1"/>
  <c r="I408" i="23" s="1"/>
  <c r="I228" i="23" a="1"/>
  <c r="I228" i="23" s="1"/>
  <c r="I84" i="23" a="1"/>
  <c r="I84" i="23" s="1"/>
  <c r="I647" i="23" a="1"/>
  <c r="I647" i="23" s="1"/>
  <c r="I503" i="23" a="1"/>
  <c r="I503" i="23" s="1"/>
  <c r="I359" i="23" a="1"/>
  <c r="I359" i="23" s="1"/>
  <c r="I215" i="23" a="1"/>
  <c r="I215" i="23" s="1"/>
  <c r="I71" i="23" a="1"/>
  <c r="I71" i="23" s="1"/>
  <c r="I502" i="23" a="1"/>
  <c r="I502" i="23" s="1"/>
  <c r="I22" i="23" a="1"/>
  <c r="I22" i="23" s="1"/>
  <c r="I609" i="23" a="1"/>
  <c r="I609" i="23" s="1"/>
  <c r="I201" i="23" a="1"/>
  <c r="I201" i="23" s="1"/>
  <c r="I548" i="23" a="1"/>
  <c r="I548" i="23" s="1"/>
  <c r="I176" i="23" a="1"/>
  <c r="I176" i="23" s="1"/>
  <c r="I559" i="23" a="1"/>
  <c r="I559" i="23" s="1"/>
  <c r="I163" i="23" a="1"/>
  <c r="I163" i="23" s="1"/>
  <c r="I402" i="23" a="1"/>
  <c r="I402" i="23" s="1"/>
  <c r="I701" i="23" a="1"/>
  <c r="I701" i="23" s="1"/>
  <c r="I197" i="23" a="1"/>
  <c r="I197" i="23" s="1"/>
  <c r="I580" i="23" a="1"/>
  <c r="I580" i="23" s="1"/>
  <c r="I232" i="23" a="1"/>
  <c r="I232" i="23" s="1"/>
  <c r="I663" i="23" a="1"/>
  <c r="I663" i="23" s="1"/>
  <c r="I375" i="23" a="1"/>
  <c r="I375" i="23" s="1"/>
  <c r="I75" i="23" a="1"/>
  <c r="I75" i="23" s="1"/>
  <c r="I626" i="23" a="1"/>
  <c r="I626" i="23" s="1"/>
  <c r="I302" i="23" a="1"/>
  <c r="I302" i="23" s="1"/>
  <c r="I158" i="23" a="1"/>
  <c r="I158" i="23" s="1"/>
  <c r="I721" i="23" a="1"/>
  <c r="I721" i="23" s="1"/>
  <c r="I577" i="23" a="1"/>
  <c r="I577" i="23" s="1"/>
  <c r="I409" i="23" a="1"/>
  <c r="I409" i="23" s="1"/>
  <c r="I253" i="23" a="1"/>
  <c r="I253" i="23" s="1"/>
  <c r="I109" i="23" a="1"/>
  <c r="I109" i="23" s="1"/>
  <c r="I684" i="23" a="1"/>
  <c r="I684" i="23" s="1"/>
  <c r="I540" i="23" a="1"/>
  <c r="I540" i="23" s="1"/>
  <c r="I396" i="23" a="1"/>
  <c r="I396" i="23" s="1"/>
  <c r="I60" i="23" a="1"/>
  <c r="I60" i="23" s="1"/>
  <c r="I635" i="23" a="1"/>
  <c r="I635" i="23" s="1"/>
  <c r="I491" i="23" a="1"/>
  <c r="I491" i="23" s="1"/>
  <c r="I347" i="23" a="1"/>
  <c r="I347" i="23" s="1"/>
  <c r="I203" i="23" a="1"/>
  <c r="I203" i="23" s="1"/>
  <c r="I59" i="23" a="1"/>
  <c r="I59" i="23" s="1"/>
  <c r="I490" i="23" a="1"/>
  <c r="I490" i="23" s="1"/>
  <c r="I274" i="23" a="1"/>
  <c r="I274" i="23" s="1"/>
  <c r="I597" i="23" a="1"/>
  <c r="I597" i="23" s="1"/>
  <c r="I417" i="23" a="1"/>
  <c r="I417" i="23" s="1"/>
  <c r="I177" i="23" a="1"/>
  <c r="I177" i="23" s="1"/>
  <c r="I680" i="23" a="1"/>
  <c r="I680" i="23" s="1"/>
  <c r="I536" i="23" a="1"/>
  <c r="I536" i="23" s="1"/>
  <c r="I140" i="23" a="1"/>
  <c r="I140" i="23" s="1"/>
  <c r="I691" i="23" a="1"/>
  <c r="I691" i="23" s="1"/>
  <c r="I523" i="23" a="1"/>
  <c r="I523" i="23" s="1"/>
  <c r="I686" i="23" a="1"/>
  <c r="I686" i="23" s="1"/>
  <c r="I542" i="23" a="1"/>
  <c r="I542" i="23" s="1"/>
  <c r="I386" i="23" a="1"/>
  <c r="I386" i="23" s="1"/>
  <c r="I218" i="23" a="1"/>
  <c r="I218" i="23" s="1"/>
  <c r="I74" i="23" a="1"/>
  <c r="I74" i="23" s="1"/>
  <c r="I637" i="23" a="1"/>
  <c r="I637" i="23" s="1"/>
  <c r="I481" i="23" a="1"/>
  <c r="I481" i="23" s="1"/>
  <c r="I313" i="23" a="1"/>
  <c r="I313" i="23" s="1"/>
  <c r="I169" i="23" a="1"/>
  <c r="I169" i="23" s="1"/>
  <c r="I600" i="23" a="1"/>
  <c r="I600" i="23" s="1"/>
  <c r="I456" i="23" a="1"/>
  <c r="I456" i="23" s="1"/>
  <c r="I276" i="23" a="1"/>
  <c r="I276" i="23" s="1"/>
  <c r="I132" i="23" a="1"/>
  <c r="I132" i="23" s="1"/>
  <c r="I695" i="23" a="1"/>
  <c r="I695" i="23" s="1"/>
  <c r="I551" i="23" a="1"/>
  <c r="I551" i="23" s="1"/>
  <c r="I407" i="23" a="1"/>
  <c r="I407" i="23" s="1"/>
  <c r="I263" i="23" a="1"/>
  <c r="I263" i="23" s="1"/>
  <c r="I119" i="23" a="1"/>
  <c r="I119" i="23" s="1"/>
  <c r="I562" i="23" a="1"/>
  <c r="I562" i="23" s="1"/>
  <c r="I358" i="23" a="1"/>
  <c r="I358" i="23" s="1"/>
  <c r="I142" i="23" a="1"/>
  <c r="I142" i="23" s="1"/>
  <c r="I657" i="23" a="1"/>
  <c r="I657" i="23" s="1"/>
  <c r="I477" i="23" a="1"/>
  <c r="I477" i="23" s="1"/>
  <c r="I285" i="23" a="1"/>
  <c r="I285" i="23" s="1"/>
  <c r="I2" i="23" a="1"/>
  <c r="I2" i="23" s="1"/>
  <c r="I596" i="23" a="1"/>
  <c r="I596" i="23" s="1"/>
  <c r="I428" i="23" a="1"/>
  <c r="I428" i="23" s="1"/>
  <c r="I236" i="23" a="1"/>
  <c r="I236" i="23" s="1"/>
  <c r="I8" i="23" a="1"/>
  <c r="I8" i="23" s="1"/>
  <c r="I607" i="23" a="1"/>
  <c r="I607" i="23" s="1"/>
  <c r="I403" i="23" a="1"/>
  <c r="I403" i="23" s="1"/>
  <c r="I235" i="23" a="1"/>
  <c r="I235" i="23" s="1"/>
  <c r="I31" i="23" a="1"/>
  <c r="I31" i="23" s="1"/>
  <c r="I450" i="23" a="1"/>
  <c r="I450" i="23" s="1"/>
  <c r="I258" i="23" a="1"/>
  <c r="I258" i="23" s="1"/>
  <c r="I6" i="23" a="1"/>
  <c r="I6" i="23" s="1"/>
  <c r="I605" i="23" a="1"/>
  <c r="I605" i="23" s="1"/>
  <c r="I461" i="23" a="1"/>
  <c r="I461" i="23" s="1"/>
  <c r="I269" i="23" a="1"/>
  <c r="I269" i="23" s="1"/>
  <c r="I65" i="23" a="1"/>
  <c r="I65" i="23" s="1"/>
  <c r="I628" i="23" a="1"/>
  <c r="I628" i="23" s="1"/>
  <c r="I424" i="23" a="1"/>
  <c r="I424" i="23" s="1"/>
  <c r="I280" i="23" a="1"/>
  <c r="I280" i="23" s="1"/>
  <c r="I112" i="23" a="1"/>
  <c r="I112" i="23" s="1"/>
  <c r="I711" i="23" a="1"/>
  <c r="I711" i="23" s="1"/>
  <c r="I567" i="23" a="1"/>
  <c r="I567" i="23" s="1"/>
  <c r="I423" i="23" a="1"/>
  <c r="I423" i="23" s="1"/>
  <c r="I267" i="23" a="1"/>
  <c r="I267" i="23" s="1"/>
  <c r="I123" i="23" a="1"/>
  <c r="I123" i="23" s="1"/>
  <c r="I121" i="23" a="1"/>
  <c r="I121" i="23" s="1"/>
  <c r="I286" i="23" a="1"/>
  <c r="I286" i="23" s="1"/>
  <c r="I429" i="23" a="1"/>
  <c r="I429" i="23" s="1"/>
  <c r="I692" i="23" a="1"/>
  <c r="I692" i="23" s="1"/>
  <c r="I356" i="23" a="1"/>
  <c r="I356" i="23" s="1"/>
  <c r="I703" i="23" a="1"/>
  <c r="I703" i="23" s="1"/>
  <c r="I355" i="23" a="1"/>
  <c r="I355" i="23" s="1"/>
  <c r="I558" i="23" a="1"/>
  <c r="I558" i="23" s="1"/>
  <c r="I174" i="23" a="1"/>
  <c r="I174" i="23" s="1"/>
  <c r="I557" i="23" a="1"/>
  <c r="I557" i="23" s="1"/>
  <c r="I365" i="23" a="1"/>
  <c r="I365" i="23" s="1"/>
  <c r="I724" i="23" a="1"/>
  <c r="I724" i="23" s="1"/>
  <c r="I376" i="23" a="1"/>
  <c r="I376" i="23" s="1"/>
  <c r="I64" i="23" a="1"/>
  <c r="I64" i="23" s="1"/>
  <c r="I519" i="23" a="1"/>
  <c r="I519" i="23" s="1"/>
  <c r="I219" i="23" a="1"/>
  <c r="I219" i="23" s="1"/>
  <c r="I10" i="23" a="1"/>
  <c r="I10" i="23" s="1"/>
  <c r="I674" i="23" a="1"/>
  <c r="I674" i="23" s="1"/>
  <c r="I530" i="23" a="1"/>
  <c r="I530" i="23" s="1"/>
  <c r="I374" i="23" a="1"/>
  <c r="I374" i="23" s="1"/>
  <c r="I206" i="23" a="1"/>
  <c r="I206" i="23" s="1"/>
  <c r="I50" i="23" a="1"/>
  <c r="I50" i="23" s="1"/>
  <c r="I625" i="23" a="1"/>
  <c r="I625" i="23" s="1"/>
  <c r="I457" i="23" a="1"/>
  <c r="I457" i="23" s="1"/>
  <c r="I301" i="23" a="1"/>
  <c r="I301" i="23" s="1"/>
  <c r="I157" i="23" a="1"/>
  <c r="I157" i="23" s="1"/>
  <c r="I732" i="23" a="1"/>
  <c r="I732" i="23" s="1"/>
  <c r="I588" i="23" a="1"/>
  <c r="I588" i="23" s="1"/>
  <c r="I444" i="23" a="1"/>
  <c r="I444" i="23" s="1"/>
  <c r="I264" i="23" a="1"/>
  <c r="I264" i="23" s="1"/>
  <c r="I120" i="23" a="1"/>
  <c r="I120" i="23" s="1"/>
  <c r="I683" i="23" a="1"/>
  <c r="I683" i="23" s="1"/>
  <c r="I539" i="23" a="1"/>
  <c r="I539" i="23" s="1"/>
  <c r="I395" i="23" a="1"/>
  <c r="I395" i="23" s="1"/>
  <c r="I251" i="23" a="1"/>
  <c r="I251" i="23" s="1"/>
  <c r="I107" i="23" a="1"/>
  <c r="I107" i="23" s="1"/>
  <c r="I550" i="23" a="1"/>
  <c r="I550" i="23" s="1"/>
  <c r="I346" i="23" a="1"/>
  <c r="I346" i="23" s="1"/>
  <c r="I106" i="23" a="1"/>
  <c r="I106" i="23" s="1"/>
  <c r="I645" i="23" a="1"/>
  <c r="I645" i="23" s="1"/>
  <c r="I465" i="23" a="1"/>
  <c r="I465" i="23" s="1"/>
  <c r="I261" i="23" a="1"/>
  <c r="I261" i="23" s="1"/>
  <c r="I728" i="23" a="1"/>
  <c r="I728" i="23" s="1"/>
  <c r="I584" i="23" a="1"/>
  <c r="I584" i="23" s="1"/>
  <c r="I416" i="23" a="1"/>
  <c r="I416" i="23" s="1"/>
  <c r="I224" i="23" a="1"/>
  <c r="I224" i="23" s="1"/>
  <c r="I739" i="23" a="1"/>
  <c r="I739" i="23" s="1"/>
  <c r="I595" i="23" a="1"/>
  <c r="I595" i="23" s="1"/>
  <c r="I391" i="23" a="1"/>
  <c r="I391" i="23" s="1"/>
  <c r="I199" i="23" a="1"/>
  <c r="I199" i="23" s="1"/>
  <c r="I19" i="23" a="1"/>
  <c r="I19" i="23" s="1"/>
  <c r="I438" i="23" a="1"/>
  <c r="I438" i="23" s="1"/>
  <c r="I234" i="23" a="1"/>
  <c r="I234" i="23" s="1"/>
  <c r="I737" i="23" a="1"/>
  <c r="I737" i="23" s="1"/>
  <c r="I593" i="23" a="1"/>
  <c r="I593" i="23" s="1"/>
  <c r="I437" i="23" a="1"/>
  <c r="I437" i="23" s="1"/>
  <c r="I245" i="23" a="1"/>
  <c r="I245" i="23" s="1"/>
  <c r="I41" i="23" a="1"/>
  <c r="I41" i="23" s="1"/>
  <c r="I616" i="23" a="1"/>
  <c r="I616" i="23" s="1"/>
  <c r="I412" i="23" a="1"/>
  <c r="I412" i="23" s="1"/>
  <c r="I268" i="23" a="1"/>
  <c r="I268" i="23" s="1"/>
  <c r="I100" i="23" a="1"/>
  <c r="I100" i="23" s="1"/>
  <c r="I699" i="23" a="1"/>
  <c r="I699" i="23" s="1"/>
  <c r="I555" i="23" a="1"/>
  <c r="I555" i="23" s="1"/>
  <c r="I411" i="23" a="1"/>
  <c r="I411" i="23" s="1"/>
  <c r="I255" i="23" a="1"/>
  <c r="I255" i="23" s="1"/>
  <c r="I111" i="23" a="1"/>
  <c r="I111" i="23" s="1"/>
  <c r="I216" i="23" a="1"/>
  <c r="I216" i="23" s="1"/>
  <c r="I662" i="23" a="1"/>
  <c r="I662" i="23" s="1"/>
  <c r="I518" i="23" a="1"/>
  <c r="I518" i="23" s="1"/>
  <c r="I362" i="23" a="1"/>
  <c r="I362" i="23" s="1"/>
  <c r="I194" i="23" a="1"/>
  <c r="I194" i="23" s="1"/>
  <c r="I38" i="23" a="1"/>
  <c r="I38" i="23" s="1"/>
  <c r="I613" i="23" a="1"/>
  <c r="I613" i="23" s="1"/>
  <c r="I445" i="23" a="1"/>
  <c r="I445" i="23" s="1"/>
  <c r="I289" i="23" a="1"/>
  <c r="I289" i="23" s="1"/>
  <c r="I145" i="23" a="1"/>
  <c r="I145" i="23" s="1"/>
  <c r="I720" i="23" a="1"/>
  <c r="I720" i="23" s="1"/>
  <c r="I576" i="23" a="1"/>
  <c r="I576" i="23" s="1"/>
  <c r="I432" i="23" a="1"/>
  <c r="I432" i="23" s="1"/>
  <c r="I252" i="23" a="1"/>
  <c r="I252" i="23" s="1"/>
  <c r="I108" i="23" a="1"/>
  <c r="I108" i="23" s="1"/>
  <c r="I671" i="23" a="1"/>
  <c r="I671" i="23" s="1"/>
  <c r="I527" i="23" a="1"/>
  <c r="I527" i="23" s="1"/>
  <c r="I383" i="23" a="1"/>
  <c r="I383" i="23" s="1"/>
  <c r="I239" i="23" a="1"/>
  <c r="I239" i="23" s="1"/>
  <c r="I95" i="23" a="1"/>
  <c r="I95" i="23" s="1"/>
  <c r="I526" i="23" a="1"/>
  <c r="I526" i="23" s="1"/>
  <c r="I322" i="23" a="1"/>
  <c r="I322" i="23" s="1"/>
  <c r="I70" i="23" a="1"/>
  <c r="I70" i="23" s="1"/>
  <c r="I633" i="23" a="1"/>
  <c r="I633" i="23" s="1"/>
  <c r="I453" i="23" a="1"/>
  <c r="I453" i="23" s="1"/>
  <c r="I249" i="23" a="1"/>
  <c r="I249" i="23" s="1"/>
  <c r="I716" i="23" a="1"/>
  <c r="I716" i="23" s="1"/>
  <c r="I572" i="23" a="1"/>
  <c r="I572" i="23" s="1"/>
  <c r="I392" i="23" a="1"/>
  <c r="I392" i="23" s="1"/>
  <c r="I200" i="23" a="1"/>
  <c r="I200" i="23" s="1"/>
  <c r="I727" i="23" a="1"/>
  <c r="I727" i="23" s="1"/>
  <c r="I583" i="23" a="1"/>
  <c r="I583" i="23" s="1"/>
  <c r="I379" i="23" a="1"/>
  <c r="I379" i="23" s="1"/>
  <c r="I187" i="23" a="1"/>
  <c r="I187" i="23" s="1"/>
  <c r="I582" i="23" a="1"/>
  <c r="I582" i="23" s="1"/>
  <c r="I426" i="23" a="1"/>
  <c r="I426" i="23" s="1"/>
  <c r="I210" i="23" a="1"/>
  <c r="I210" i="23" s="1"/>
  <c r="I725" i="23" a="1"/>
  <c r="I725" i="23" s="1"/>
  <c r="I581" i="23" a="1"/>
  <c r="I581" i="23" s="1"/>
  <c r="I401" i="23" a="1"/>
  <c r="I401" i="23" s="1"/>
  <c r="I233" i="23" a="1"/>
  <c r="I233" i="23" s="1"/>
  <c r="I29" i="23" a="1"/>
  <c r="I29" i="23" s="1"/>
  <c r="I604" i="23" a="1"/>
  <c r="I604" i="23" s="1"/>
  <c r="I400" i="23" a="1"/>
  <c r="I400" i="23" s="1"/>
  <c r="I256" i="23" a="1"/>
  <c r="I256" i="23" s="1"/>
  <c r="I88" i="23" a="1"/>
  <c r="I88" i="23" s="1"/>
  <c r="I687" i="23" a="1"/>
  <c r="I687" i="23" s="1"/>
  <c r="I543" i="23" a="1"/>
  <c r="I543" i="23" s="1"/>
  <c r="I399" i="23" a="1"/>
  <c r="I399" i="23" s="1"/>
  <c r="I243" i="23" a="1"/>
  <c r="I243" i="23" s="1"/>
  <c r="I99" i="23" a="1"/>
  <c r="I99" i="23" s="1"/>
  <c r="I650" i="23" a="1"/>
  <c r="I650" i="23" s="1"/>
  <c r="I506" i="23" a="1"/>
  <c r="I506" i="23" s="1"/>
  <c r="I350" i="23" a="1"/>
  <c r="I350" i="23" s="1"/>
  <c r="I182" i="23" a="1"/>
  <c r="I182" i="23" s="1"/>
  <c r="I14" i="23" a="1"/>
  <c r="I14" i="23" s="1"/>
  <c r="I601" i="23" a="1"/>
  <c r="I601" i="23" s="1"/>
  <c r="I433" i="23" a="1"/>
  <c r="I433" i="23" s="1"/>
  <c r="I277" i="23" a="1"/>
  <c r="I277" i="23" s="1"/>
  <c r="I133" i="23" a="1"/>
  <c r="I133" i="23" s="1"/>
  <c r="I708" i="23" a="1"/>
  <c r="I708" i="23" s="1"/>
  <c r="I564" i="23" a="1"/>
  <c r="I564" i="23" s="1"/>
  <c r="I420" i="23" a="1"/>
  <c r="I420" i="23" s="1"/>
  <c r="I240" i="23" a="1"/>
  <c r="I240" i="23" s="1"/>
  <c r="I96" i="23" a="1"/>
  <c r="I96" i="23" s="1"/>
  <c r="I659" i="23" a="1"/>
  <c r="I659" i="23" s="1"/>
  <c r="I515" i="23" a="1"/>
  <c r="I515" i="23" s="1"/>
  <c r="I371" i="23" a="1"/>
  <c r="I371" i="23" s="1"/>
  <c r="I227" i="23" a="1"/>
  <c r="I227" i="23" s="1"/>
  <c r="I83" i="23" a="1"/>
  <c r="I83" i="23" s="1"/>
  <c r="I514" i="23" a="1"/>
  <c r="I514" i="23" s="1"/>
  <c r="I310" i="23" a="1"/>
  <c r="I310" i="23" s="1"/>
  <c r="I58" i="23" a="1"/>
  <c r="I58" i="23" s="1"/>
  <c r="I621" i="23" a="1"/>
  <c r="I621" i="23" s="1"/>
  <c r="I441" i="23" a="1"/>
  <c r="I441" i="23" s="1"/>
  <c r="I225" i="23" a="1"/>
  <c r="I225" i="23" s="1"/>
  <c r="I704" i="23" a="1"/>
  <c r="I704" i="23" s="1"/>
  <c r="I560" i="23" a="1"/>
  <c r="I560" i="23" s="1"/>
  <c r="I380" i="23" a="1"/>
  <c r="I380" i="23" s="1"/>
  <c r="I188" i="23" a="1"/>
  <c r="I188" i="23" s="1"/>
  <c r="I715" i="23" a="1"/>
  <c r="I715" i="23" s="1"/>
  <c r="I571" i="23" a="1"/>
  <c r="I571" i="23" s="1"/>
  <c r="I367" i="23" a="1"/>
  <c r="I367" i="23" s="1"/>
  <c r="I175" i="23" a="1"/>
  <c r="I175" i="23" s="1"/>
  <c r="I570" i="23" a="1"/>
  <c r="I570" i="23" s="1"/>
  <c r="I414" i="23" a="1"/>
  <c r="I414" i="23" s="1"/>
  <c r="I198" i="23" a="1"/>
  <c r="I198" i="23" s="1"/>
  <c r="I713" i="23" a="1"/>
  <c r="I713" i="23" s="1"/>
  <c r="I569" i="23" a="1"/>
  <c r="I569" i="23" s="1"/>
  <c r="I377" i="23" a="1"/>
  <c r="I377" i="23" s="1"/>
  <c r="I209" i="23" a="1"/>
  <c r="I209" i="23" s="1"/>
  <c r="I736" i="23" a="1"/>
  <c r="I736" i="23" s="1"/>
  <c r="I592" i="23" a="1"/>
  <c r="I592" i="23" s="1"/>
  <c r="I388" i="23" a="1"/>
  <c r="I388" i="23" s="1"/>
  <c r="I244" i="23" a="1"/>
  <c r="I244" i="23" s="1"/>
  <c r="I76" i="23" a="1"/>
  <c r="I76" i="23" s="1"/>
  <c r="I675" i="23" a="1"/>
  <c r="I675" i="23" s="1"/>
  <c r="I531" i="23" a="1"/>
  <c r="I531" i="23" s="1"/>
  <c r="I387" i="23" a="1"/>
  <c r="I387" i="23" s="1"/>
  <c r="I231" i="23" a="1"/>
  <c r="I231" i="23" s="1"/>
  <c r="I87" i="23" a="1"/>
  <c r="I87" i="23" s="1"/>
  <c r="I614" i="23" a="1"/>
  <c r="I614" i="23" s="1"/>
  <c r="I458" i="23" a="1"/>
  <c r="I458" i="23" s="1"/>
  <c r="I290" i="23" a="1"/>
  <c r="I290" i="23" s="1"/>
  <c r="I146" i="23" a="1"/>
  <c r="I146" i="23" s="1"/>
  <c r="I709" i="23" a="1"/>
  <c r="I709" i="23" s="1"/>
  <c r="I565" i="23" a="1"/>
  <c r="I565" i="23" s="1"/>
  <c r="I397" i="23" a="1"/>
  <c r="I397" i="23" s="1"/>
  <c r="I241" i="23" a="1"/>
  <c r="I241" i="23" s="1"/>
  <c r="I97" i="23" a="1"/>
  <c r="I97" i="23" s="1"/>
  <c r="I672" i="23" a="1"/>
  <c r="I672" i="23" s="1"/>
  <c r="I528" i="23" a="1"/>
  <c r="I528" i="23" s="1"/>
  <c r="I384" i="23" a="1"/>
  <c r="I384" i="23" s="1"/>
  <c r="I204" i="23" a="1"/>
  <c r="I204" i="23" s="1"/>
  <c r="I48" i="23" a="1"/>
  <c r="I48" i="23" s="1"/>
  <c r="I623" i="23" a="1"/>
  <c r="I623" i="23" s="1"/>
  <c r="I479" i="23" a="1"/>
  <c r="I479" i="23" s="1"/>
  <c r="I335" i="23" a="1"/>
  <c r="I335" i="23" s="1"/>
  <c r="I191" i="23" a="1"/>
  <c r="I191" i="23" s="1"/>
  <c r="I47" i="23" a="1"/>
  <c r="I47" i="23" s="1"/>
  <c r="I454" i="23" a="1"/>
  <c r="I454" i="23" s="1"/>
  <c r="I250" i="23" a="1"/>
  <c r="I250" i="23" s="1"/>
  <c r="I729" i="23" a="1"/>
  <c r="I729" i="23" s="1"/>
  <c r="I585" i="23" a="1"/>
  <c r="I585" i="23" s="1"/>
  <c r="I393" i="23" a="1"/>
  <c r="I393" i="23" s="1"/>
  <c r="I165" i="23" a="1"/>
  <c r="I165" i="23" s="1"/>
  <c r="I668" i="23" a="1"/>
  <c r="I668" i="23" s="1"/>
  <c r="I524" i="23" a="1"/>
  <c r="I524" i="23" s="1"/>
  <c r="I320" i="23" a="1"/>
  <c r="I320" i="23" s="1"/>
  <c r="I128" i="23" a="1"/>
  <c r="I128" i="23" s="1"/>
  <c r="I679" i="23" a="1"/>
  <c r="I679" i="23" s="1"/>
  <c r="I499" i="23" a="1"/>
  <c r="I499" i="23" s="1"/>
  <c r="I331" i="23" a="1"/>
  <c r="I331" i="23" s="1"/>
  <c r="I139" i="23" a="1"/>
  <c r="I139" i="23" s="1"/>
  <c r="I534" i="23" a="1"/>
  <c r="I534" i="23" s="1"/>
  <c r="I366" i="23" a="1"/>
  <c r="I366" i="23" s="1"/>
  <c r="I126" i="23" a="1"/>
  <c r="I126" i="23" s="1"/>
  <c r="I677" i="23" a="1"/>
  <c r="I677" i="23" s="1"/>
  <c r="I533" i="23" a="1"/>
  <c r="I533" i="23" s="1"/>
  <c r="I341" i="23" a="1"/>
  <c r="I341" i="23" s="1"/>
  <c r="I173" i="23" a="1"/>
  <c r="I173" i="23" s="1"/>
  <c r="I700" i="23" a="1"/>
  <c r="I700" i="23" s="1"/>
  <c r="I532" i="23" a="1"/>
  <c r="I532" i="23" s="1"/>
  <c r="I352" i="23" a="1"/>
  <c r="I352" i="23" s="1"/>
  <c r="I196" i="23" a="1"/>
  <c r="I196" i="23" s="1"/>
  <c r="I40" i="23" a="1"/>
  <c r="I40" i="23" s="1"/>
  <c r="I639" i="23" a="1"/>
  <c r="I639" i="23" s="1"/>
  <c r="I495" i="23" a="1"/>
  <c r="I495" i="23" s="1"/>
  <c r="I339" i="23" a="1"/>
  <c r="I339" i="23" s="1"/>
  <c r="I195" i="23" a="1"/>
  <c r="I195" i="23" s="1"/>
  <c r="I51" i="23" a="1"/>
  <c r="I51" i="23" s="1"/>
  <c r="I602" i="23" a="1"/>
  <c r="I602" i="23" s="1"/>
  <c r="I446" i="23" a="1"/>
  <c r="I446" i="23" s="1"/>
  <c r="I278" i="23" a="1"/>
  <c r="I278" i="23" s="1"/>
  <c r="I134" i="23" a="1"/>
  <c r="I134" i="23" s="1"/>
  <c r="I697" i="23" a="1"/>
  <c r="I697" i="23" s="1"/>
  <c r="I541" i="23" a="1"/>
  <c r="I541" i="23" s="1"/>
  <c r="I373" i="23" a="1"/>
  <c r="I373" i="23" s="1"/>
  <c r="I229" i="23" a="1"/>
  <c r="I229" i="23" s="1"/>
  <c r="I73" i="23" a="1"/>
  <c r="I73" i="23" s="1"/>
  <c r="I660" i="23" a="1"/>
  <c r="I660" i="23" s="1"/>
  <c r="I516" i="23" a="1"/>
  <c r="I516" i="23" s="1"/>
  <c r="I372" i="23" a="1"/>
  <c r="I372" i="23" s="1"/>
  <c r="I192" i="23" a="1"/>
  <c r="I192" i="23" s="1"/>
  <c r="I24" i="23" a="1"/>
  <c r="I24" i="23" s="1"/>
  <c r="I611" i="23" a="1"/>
  <c r="I611" i="23" s="1"/>
  <c r="I467" i="23" a="1"/>
  <c r="I467" i="23" s="1"/>
  <c r="I323" i="23" a="1"/>
  <c r="I323" i="23" s="1"/>
  <c r="I179" i="23" a="1"/>
  <c r="I179" i="23" s="1"/>
  <c r="I35" i="23" a="1"/>
  <c r="I35" i="23" s="1"/>
  <c r="I418" i="23" a="1"/>
  <c r="I418" i="23" s="1"/>
  <c r="I226" i="23" a="1"/>
  <c r="I226" i="23" s="1"/>
  <c r="I717" i="23" a="1"/>
  <c r="I717" i="23" s="1"/>
  <c r="I561" i="23" a="1"/>
  <c r="I561" i="23" s="1"/>
  <c r="I381" i="23" a="1"/>
  <c r="I381" i="23" s="1"/>
  <c r="I141" i="23" a="1"/>
  <c r="I141" i="23" s="1"/>
  <c r="I656" i="23" a="1"/>
  <c r="I656" i="23" s="1"/>
  <c r="I512" i="23" a="1"/>
  <c r="I512" i="23" s="1"/>
  <c r="I296" i="23" a="1"/>
  <c r="I296" i="23" s="1"/>
  <c r="I116" i="23" a="1"/>
  <c r="I116" i="23" s="1"/>
  <c r="I667" i="23" a="1"/>
  <c r="I667" i="23" s="1"/>
  <c r="I487" i="23" a="1"/>
  <c r="I487" i="23" s="1"/>
  <c r="I319" i="23" a="1"/>
  <c r="I319" i="23" s="1"/>
  <c r="I115" i="23" a="1"/>
  <c r="I115" i="23" s="1"/>
  <c r="I510" i="23" a="1"/>
  <c r="I510" i="23" s="1"/>
  <c r="I354" i="23" a="1"/>
  <c r="I354" i="23" s="1"/>
  <c r="I114" i="23" a="1"/>
  <c r="I114" i="23" s="1"/>
  <c r="I665" i="23" a="1"/>
  <c r="I665" i="23" s="1"/>
  <c r="I521" i="23" a="1"/>
  <c r="I521" i="23" s="1"/>
  <c r="I329" i="23" a="1"/>
  <c r="I329" i="23" s="1"/>
  <c r="I149" i="23" a="1"/>
  <c r="I149" i="23" s="1"/>
  <c r="I688" i="23" a="1"/>
  <c r="I688" i="23" s="1"/>
  <c r="I520" i="23" a="1"/>
  <c r="I520" i="23" s="1"/>
  <c r="I340" i="23" a="1"/>
  <c r="I340" i="23" s="1"/>
  <c r="I184" i="23" a="1"/>
  <c r="I184" i="23" s="1"/>
  <c r="I28" i="23" a="1"/>
  <c r="I28" i="23" s="1"/>
  <c r="I627" i="23" a="1"/>
  <c r="I627" i="23" s="1"/>
  <c r="I483" i="23" a="1"/>
  <c r="I483" i="23" s="1"/>
  <c r="I327" i="23" a="1"/>
  <c r="I327" i="23" s="1"/>
  <c r="I183" i="23" a="1"/>
  <c r="I183" i="23" s="1"/>
  <c r="I39" i="23" a="1"/>
  <c r="I39" i="23" s="1"/>
  <c r="I507" i="23" a="1"/>
  <c r="I507" i="23" s="1"/>
  <c r="I390" i="23" a="1"/>
  <c r="I390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<sst xmlns="http://schemas.openxmlformats.org/spreadsheetml/2006/main" count="3385" uniqueCount="59">
  <si>
    <t>GEOID</t>
  </si>
  <si>
    <t>NO</t>
  </si>
  <si>
    <t>Marea</t>
  </si>
  <si>
    <t>Salem_4</t>
  </si>
  <si>
    <t>SKATS</t>
  </si>
  <si>
    <t>Salem_5</t>
  </si>
  <si>
    <t>Marion_Outside_UGB</t>
  </si>
  <si>
    <t>Keizer</t>
  </si>
  <si>
    <t>Polk</t>
  </si>
  <si>
    <t>Salem_1</t>
  </si>
  <si>
    <t>Salem_2</t>
  </si>
  <si>
    <t>Bzone</t>
  </si>
  <si>
    <t>NO_2005</t>
  </si>
  <si>
    <t>&lt;Null&gt;</t>
  </si>
  <si>
    <t>azone_name</t>
  </si>
  <si>
    <t>STFID</t>
  </si>
  <si>
    <t>PERCENTAGE</t>
  </si>
  <si>
    <t>pct_bzone</t>
  </si>
  <si>
    <t>pct_azone</t>
  </si>
  <si>
    <t>pct_taz</t>
  </si>
  <si>
    <t>AREA</t>
  </si>
  <si>
    <t>PlaceType</t>
  </si>
  <si>
    <t>MPO Low Density</t>
  </si>
  <si>
    <t>Rural Near Major Center</t>
  </si>
  <si>
    <t>MPO Residential</t>
  </si>
  <si>
    <t>MPO Employment</t>
  </si>
  <si>
    <t>MPO Mixed Use</t>
  </si>
  <si>
    <t>MPO TOD</t>
  </si>
  <si>
    <t>Salem_3</t>
  </si>
  <si>
    <t>Turner</t>
  </si>
  <si>
    <t>pct_census_to_azone</t>
  </si>
  <si>
    <t>geocode</t>
  </si>
  <si>
    <t>TRACT-ID</t>
  </si>
  <si>
    <t>ZIP_CODE</t>
  </si>
  <si>
    <t>instName</t>
  </si>
  <si>
    <t>Salem/Keizer</t>
  </si>
  <si>
    <t>county</t>
  </si>
  <si>
    <t>Marion</t>
  </si>
  <si>
    <t>Geo</t>
  </si>
  <si>
    <t>Year</t>
  </si>
  <si>
    <t>SFDU</t>
  </si>
  <si>
    <t>MFDU</t>
  </si>
  <si>
    <t>GQDU</t>
  </si>
  <si>
    <t>CarSvcLevel</t>
  </si>
  <si>
    <t>ShdSvcAvail</t>
  </si>
  <si>
    <t>Low</t>
  </si>
  <si>
    <t>High</t>
  </si>
  <si>
    <t>HH's w/ High</t>
  </si>
  <si>
    <t>Azone</t>
  </si>
  <si>
    <t>azone_secondary</t>
  </si>
  <si>
    <t>Row Labels</t>
  </si>
  <si>
    <t>Grand Total</t>
  </si>
  <si>
    <t>Sum of HH's w/ High</t>
  </si>
  <si>
    <t>Column Labels</t>
  </si>
  <si>
    <t>Other</t>
  </si>
  <si>
    <t>Salem</t>
  </si>
  <si>
    <t>Marion_Inside_UGB_1</t>
  </si>
  <si>
    <t>Marion_Inside_UGB_2</t>
  </si>
  <si>
    <t>Marion_Inside_UGB_3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</si>
</sst>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Fisher" refreshedDate="45392.65558564815" createdVersion="8" refreshedVersion="8" minRefreshableVersion="3" recordCount="738" xr:uid="{A25E5E49-6E7F-49EF-B6F1-6FABC7A0C08E}">
  <cacheSource type="worksheet">
    <worksheetSource ref="A1:I739" sheet="Sheet1"/>
  </cacheSource>
  <cacheFields count="9">
    <cacheField name="Geo" numFmtId="0">
      <sharedItems containsSemiMixedTypes="0" containsString="0" containsNumber="1" containsInteger="1" minValue="31" maxValue="451"/>
    </cacheField>
    <cacheField name="Year" numFmtId="0">
      <sharedItems containsSemiMixedTypes="0" containsString="0" containsNumber="1" containsInteger="1" minValue="2005" maxValue="2050" count="3">
        <n v="2005"/>
        <n v="2021"/>
        <n v="2050"/>
      </sharedItems>
    </cacheField>
    <cacheField name="SFDU" numFmtId="0">
      <sharedItems containsSemiMixedTypes="0" containsString="0" containsNumber="1" containsInteger="1" minValue="0" maxValue="2324"/>
    </cacheField>
    <cacheField name="MFDU" numFmtId="0">
      <sharedItems containsSemiMixedTypes="0" containsString="0" containsNumber="1" containsInteger="1" minValue="0" maxValue="2176"/>
    </cacheField>
    <cacheField name="GQDU" numFmtId="0">
      <sharedItems containsSemiMixedTypes="0" containsString="0" containsNumber="1" containsInteger="1" minValue="0" maxValue="2008"/>
    </cacheField>
    <cacheField name="CarSvcLevel" numFmtId="0">
      <sharedItems/>
    </cacheField>
    <cacheField name="HH's w/ High" numFmtId="0">
      <sharedItems containsSemiMixedTypes="0" containsString="0" containsNumber="1" containsInteger="1" minValue="0" maxValue="1821"/>
    </cacheField>
    <cacheField name="Azone" numFmtId="0">
      <sharedItems/>
    </cacheField>
    <cacheField name="azone_secondary" numFmtId="0">
      <sharedItems count="4">
        <s v="Other"/>
        <s v="Salem"/>
        <s v="Keizer"/>
        <s v="Mar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n v="31"/>
    <x v="0"/>
    <n v="42"/>
    <n v="5"/>
    <n v="0"/>
    <s v="Low"/>
    <n v="0"/>
    <s v="Polk"/>
    <x v="0"/>
  </r>
  <r>
    <n v="31"/>
    <x v="1"/>
    <n v="42"/>
    <n v="5"/>
    <n v="0"/>
    <s v="Low"/>
    <n v="0"/>
    <s v="Polk"/>
    <x v="0"/>
  </r>
  <r>
    <n v="31"/>
    <x v="2"/>
    <n v="40"/>
    <n v="5"/>
    <n v="0"/>
    <s v="Low"/>
    <n v="0"/>
    <s v="Polk"/>
    <x v="0"/>
  </r>
  <r>
    <n v="32"/>
    <x v="0"/>
    <n v="35"/>
    <n v="0"/>
    <n v="0"/>
    <s v="Low"/>
    <n v="0"/>
    <s v="Polk"/>
    <x v="0"/>
  </r>
  <r>
    <n v="32"/>
    <x v="1"/>
    <n v="48"/>
    <n v="1"/>
    <n v="0"/>
    <s v="Low"/>
    <n v="0"/>
    <s v="Polk"/>
    <x v="0"/>
  </r>
  <r>
    <n v="32"/>
    <x v="2"/>
    <n v="45"/>
    <n v="1"/>
    <n v="0"/>
    <s v="Low"/>
    <n v="0"/>
    <s v="Polk"/>
    <x v="0"/>
  </r>
  <r>
    <n v="33"/>
    <x v="0"/>
    <n v="87"/>
    <n v="0"/>
    <n v="0"/>
    <s v="Low"/>
    <n v="0"/>
    <s v="Polk"/>
    <x v="0"/>
  </r>
  <r>
    <n v="33"/>
    <x v="1"/>
    <n v="87"/>
    <n v="2"/>
    <n v="0"/>
    <s v="Low"/>
    <n v="0"/>
    <s v="Polk"/>
    <x v="0"/>
  </r>
  <r>
    <n v="33"/>
    <x v="2"/>
    <n v="104"/>
    <n v="2"/>
    <n v="0"/>
    <s v="Low"/>
    <n v="0"/>
    <s v="Polk"/>
    <x v="0"/>
  </r>
  <r>
    <n v="34"/>
    <x v="0"/>
    <n v="25"/>
    <n v="0"/>
    <n v="0"/>
    <s v="Low"/>
    <n v="0"/>
    <s v="Polk"/>
    <x v="0"/>
  </r>
  <r>
    <n v="34"/>
    <x v="1"/>
    <n v="38"/>
    <n v="1"/>
    <n v="0"/>
    <s v="Low"/>
    <n v="0"/>
    <s v="Polk"/>
    <x v="0"/>
  </r>
  <r>
    <n v="34"/>
    <x v="2"/>
    <n v="76"/>
    <n v="1"/>
    <n v="0"/>
    <s v="Low"/>
    <n v="0"/>
    <s v="Polk"/>
    <x v="0"/>
  </r>
  <r>
    <n v="35"/>
    <x v="0"/>
    <n v="50"/>
    <n v="2"/>
    <n v="0"/>
    <s v="Low"/>
    <n v="0"/>
    <s v="Polk"/>
    <x v="0"/>
  </r>
  <r>
    <n v="35"/>
    <x v="1"/>
    <n v="50"/>
    <n v="2"/>
    <n v="0"/>
    <s v="Low"/>
    <n v="0"/>
    <s v="Polk"/>
    <x v="0"/>
  </r>
  <r>
    <n v="35"/>
    <x v="2"/>
    <n v="45"/>
    <n v="2"/>
    <n v="0"/>
    <s v="Low"/>
    <n v="0"/>
    <s v="Polk"/>
    <x v="0"/>
  </r>
  <r>
    <n v="36"/>
    <x v="0"/>
    <n v="109"/>
    <n v="6"/>
    <n v="0"/>
    <s v="Low"/>
    <n v="0"/>
    <s v="Polk"/>
    <x v="0"/>
  </r>
  <r>
    <n v="36"/>
    <x v="1"/>
    <n v="109"/>
    <n v="6"/>
    <n v="0"/>
    <s v="Low"/>
    <n v="0"/>
    <s v="Polk"/>
    <x v="0"/>
  </r>
  <r>
    <n v="36"/>
    <x v="2"/>
    <n v="145"/>
    <n v="6"/>
    <n v="0"/>
    <s v="Low"/>
    <n v="0"/>
    <s v="Polk"/>
    <x v="0"/>
  </r>
  <r>
    <n v="37"/>
    <x v="0"/>
    <n v="85"/>
    <n v="0"/>
    <n v="0"/>
    <s v="Low"/>
    <n v="0"/>
    <s v="Polk"/>
    <x v="0"/>
  </r>
  <r>
    <n v="37"/>
    <x v="1"/>
    <n v="56"/>
    <n v="56"/>
    <n v="0"/>
    <s v="Low"/>
    <n v="0"/>
    <s v="Polk"/>
    <x v="0"/>
  </r>
  <r>
    <n v="37"/>
    <x v="2"/>
    <n v="68"/>
    <n v="56"/>
    <n v="0"/>
    <s v="Low"/>
    <n v="0"/>
    <s v="Polk"/>
    <x v="0"/>
  </r>
  <r>
    <n v="38"/>
    <x v="0"/>
    <n v="20"/>
    <n v="0"/>
    <n v="0"/>
    <s v="Low"/>
    <n v="0"/>
    <s v="Polk"/>
    <x v="0"/>
  </r>
  <r>
    <n v="38"/>
    <x v="1"/>
    <n v="19"/>
    <n v="4"/>
    <n v="0"/>
    <s v="Low"/>
    <n v="0"/>
    <s v="Polk"/>
    <x v="0"/>
  </r>
  <r>
    <n v="38"/>
    <x v="2"/>
    <n v="21"/>
    <n v="3"/>
    <n v="0"/>
    <s v="Low"/>
    <n v="0"/>
    <s v="Polk"/>
    <x v="0"/>
  </r>
  <r>
    <n v="39"/>
    <x v="0"/>
    <n v="53"/>
    <n v="4"/>
    <n v="0"/>
    <s v="Low"/>
    <n v="0"/>
    <s v="Polk"/>
    <x v="0"/>
  </r>
  <r>
    <n v="39"/>
    <x v="1"/>
    <n v="83"/>
    <n v="1"/>
    <n v="0"/>
    <s v="Low"/>
    <n v="0"/>
    <s v="Polk"/>
    <x v="0"/>
  </r>
  <r>
    <n v="39"/>
    <x v="2"/>
    <n v="100"/>
    <n v="1"/>
    <n v="0"/>
    <s v="Low"/>
    <n v="0"/>
    <s v="Polk"/>
    <x v="0"/>
  </r>
  <r>
    <n v="40"/>
    <x v="0"/>
    <n v="57"/>
    <n v="0"/>
    <n v="0"/>
    <s v="Low"/>
    <n v="0"/>
    <s v="Salem_1"/>
    <x v="1"/>
  </r>
  <r>
    <n v="40"/>
    <x v="1"/>
    <n v="67"/>
    <n v="0"/>
    <n v="0"/>
    <s v="Low"/>
    <n v="0"/>
    <s v="Salem_1"/>
    <x v="1"/>
  </r>
  <r>
    <n v="40"/>
    <x v="2"/>
    <n v="617"/>
    <n v="164"/>
    <n v="0"/>
    <s v="Low"/>
    <n v="0"/>
    <s v="Salem_1"/>
    <x v="1"/>
  </r>
  <r>
    <n v="41"/>
    <x v="0"/>
    <n v="70"/>
    <n v="0"/>
    <n v="0"/>
    <s v="Low"/>
    <n v="0"/>
    <s v="Polk"/>
    <x v="0"/>
  </r>
  <r>
    <n v="41"/>
    <x v="1"/>
    <n v="106"/>
    <n v="1"/>
    <n v="0"/>
    <s v="Low"/>
    <n v="0"/>
    <s v="Polk"/>
    <x v="0"/>
  </r>
  <r>
    <n v="41"/>
    <x v="2"/>
    <n v="115"/>
    <n v="1"/>
    <n v="0"/>
    <s v="Low"/>
    <n v="0"/>
    <s v="Polk"/>
    <x v="0"/>
  </r>
  <r>
    <n v="42"/>
    <x v="0"/>
    <n v="21"/>
    <n v="0"/>
    <n v="0"/>
    <s v="Low"/>
    <n v="0"/>
    <s v="Polk"/>
    <x v="0"/>
  </r>
  <r>
    <n v="42"/>
    <x v="1"/>
    <n v="27"/>
    <n v="0"/>
    <n v="0"/>
    <s v="Low"/>
    <n v="0"/>
    <s v="Polk"/>
    <x v="0"/>
  </r>
  <r>
    <n v="42"/>
    <x v="2"/>
    <n v="62"/>
    <n v="0"/>
    <n v="0"/>
    <s v="Low"/>
    <n v="0"/>
    <s v="Polk"/>
    <x v="0"/>
  </r>
  <r>
    <n v="43"/>
    <x v="0"/>
    <n v="31"/>
    <n v="2"/>
    <n v="0"/>
    <s v="Low"/>
    <n v="0"/>
    <s v="Polk"/>
    <x v="0"/>
  </r>
  <r>
    <n v="43"/>
    <x v="1"/>
    <n v="15"/>
    <n v="79"/>
    <n v="0"/>
    <s v="Low"/>
    <n v="0"/>
    <s v="Polk"/>
    <x v="0"/>
  </r>
  <r>
    <n v="43"/>
    <x v="2"/>
    <n v="14"/>
    <n v="82"/>
    <n v="0"/>
    <s v="Low"/>
    <n v="0"/>
    <s v="Polk"/>
    <x v="0"/>
  </r>
  <r>
    <n v="44"/>
    <x v="0"/>
    <n v="549"/>
    <n v="24"/>
    <n v="0"/>
    <s v="Low"/>
    <n v="0"/>
    <s v="Salem_1"/>
    <x v="1"/>
  </r>
  <r>
    <n v="44"/>
    <x v="1"/>
    <n v="480"/>
    <n v="124"/>
    <n v="0"/>
    <s v="Low"/>
    <n v="0"/>
    <s v="Salem_1"/>
    <x v="1"/>
  </r>
  <r>
    <n v="44"/>
    <x v="2"/>
    <n v="479"/>
    <n v="125"/>
    <n v="0"/>
    <s v="Low"/>
    <n v="0"/>
    <s v="Salem_1"/>
    <x v="1"/>
  </r>
  <r>
    <n v="45"/>
    <x v="0"/>
    <n v="362"/>
    <n v="7"/>
    <n v="0"/>
    <s v="Low"/>
    <n v="0"/>
    <s v="Salem_1"/>
    <x v="1"/>
  </r>
  <r>
    <n v="45"/>
    <x v="1"/>
    <n v="735"/>
    <n v="7"/>
    <n v="0"/>
    <s v="Low"/>
    <n v="0"/>
    <s v="Salem_1"/>
    <x v="1"/>
  </r>
  <r>
    <n v="45"/>
    <x v="2"/>
    <n v="1234"/>
    <n v="12"/>
    <n v="0"/>
    <s v="Low"/>
    <n v="0"/>
    <s v="Salem_1"/>
    <x v="1"/>
  </r>
  <r>
    <n v="47"/>
    <x v="0"/>
    <n v="98"/>
    <n v="125"/>
    <n v="0"/>
    <s v="Low"/>
    <n v="0"/>
    <s v="Salem_1"/>
    <x v="1"/>
  </r>
  <r>
    <n v="47"/>
    <x v="1"/>
    <n v="159"/>
    <n v="89"/>
    <n v="0"/>
    <s v="Low"/>
    <n v="0"/>
    <s v="Salem_1"/>
    <x v="1"/>
  </r>
  <r>
    <n v="47"/>
    <x v="2"/>
    <n v="161"/>
    <n v="87"/>
    <n v="0"/>
    <s v="Low"/>
    <n v="0"/>
    <s v="Salem_1"/>
    <x v="1"/>
  </r>
  <r>
    <n v="48"/>
    <x v="0"/>
    <n v="1"/>
    <n v="1"/>
    <n v="0"/>
    <s v="Low"/>
    <n v="0"/>
    <s v="Salem_1"/>
    <x v="1"/>
  </r>
  <r>
    <n v="48"/>
    <x v="1"/>
    <n v="1"/>
    <n v="1"/>
    <n v="0"/>
    <s v="Low"/>
    <n v="0"/>
    <s v="Salem_1"/>
    <x v="1"/>
  </r>
  <r>
    <n v="48"/>
    <x v="2"/>
    <n v="3"/>
    <n v="82"/>
    <n v="0"/>
    <s v="Low"/>
    <n v="0"/>
    <s v="Salem_1"/>
    <x v="1"/>
  </r>
  <r>
    <n v="49"/>
    <x v="0"/>
    <n v="549"/>
    <n v="61"/>
    <n v="0"/>
    <s v="Low"/>
    <n v="0"/>
    <s v="Salem_1"/>
    <x v="1"/>
  </r>
  <r>
    <n v="49"/>
    <x v="1"/>
    <n v="542"/>
    <n v="144"/>
    <n v="0"/>
    <s v="Low"/>
    <n v="0"/>
    <s v="Salem_1"/>
    <x v="1"/>
  </r>
  <r>
    <n v="49"/>
    <x v="2"/>
    <n v="637"/>
    <n v="159"/>
    <n v="0"/>
    <s v="Low"/>
    <n v="0"/>
    <s v="Salem_1"/>
    <x v="1"/>
  </r>
  <r>
    <n v="50"/>
    <x v="0"/>
    <n v="135"/>
    <n v="9"/>
    <n v="0"/>
    <s v="Low"/>
    <n v="0"/>
    <s v="Salem_1"/>
    <x v="1"/>
  </r>
  <r>
    <n v="50"/>
    <x v="1"/>
    <n v="146"/>
    <n v="4"/>
    <n v="0"/>
    <s v="Low"/>
    <n v="0"/>
    <s v="Salem_1"/>
    <x v="1"/>
  </r>
  <r>
    <n v="50"/>
    <x v="2"/>
    <n v="656"/>
    <n v="185"/>
    <n v="0"/>
    <s v="Low"/>
    <n v="0"/>
    <s v="Salem_1"/>
    <x v="1"/>
  </r>
  <r>
    <n v="51"/>
    <x v="0"/>
    <n v="396"/>
    <n v="35"/>
    <n v="0"/>
    <s v="Low"/>
    <n v="0"/>
    <s v="Salem_1"/>
    <x v="1"/>
  </r>
  <r>
    <n v="51"/>
    <x v="1"/>
    <n v="430"/>
    <n v="505"/>
    <n v="0"/>
    <s v="Low"/>
    <n v="0"/>
    <s v="Salem_1"/>
    <x v="1"/>
  </r>
  <r>
    <n v="51"/>
    <x v="2"/>
    <n v="549"/>
    <n v="670"/>
    <n v="0"/>
    <s v="Low"/>
    <n v="0"/>
    <s v="Salem_1"/>
    <x v="1"/>
  </r>
  <r>
    <n v="52"/>
    <x v="0"/>
    <n v="528"/>
    <n v="156"/>
    <n v="0"/>
    <s v="Low"/>
    <n v="0"/>
    <s v="Salem_1"/>
    <x v="1"/>
  </r>
  <r>
    <n v="52"/>
    <x v="1"/>
    <n v="528"/>
    <n v="156"/>
    <n v="0"/>
    <s v="Low"/>
    <n v="0"/>
    <s v="Salem_1"/>
    <x v="1"/>
  </r>
  <r>
    <n v="52"/>
    <x v="2"/>
    <n v="529"/>
    <n v="207"/>
    <n v="0"/>
    <s v="Low"/>
    <n v="0"/>
    <s v="Salem_1"/>
    <x v="1"/>
  </r>
  <r>
    <n v="53"/>
    <x v="0"/>
    <n v="151"/>
    <n v="0"/>
    <n v="0"/>
    <s v="Low"/>
    <n v="0"/>
    <s v="Salem_1"/>
    <x v="1"/>
  </r>
  <r>
    <n v="53"/>
    <x v="1"/>
    <n v="47"/>
    <n v="264"/>
    <n v="0"/>
    <s v="Low"/>
    <n v="0"/>
    <s v="Salem_1"/>
    <x v="1"/>
  </r>
  <r>
    <n v="53"/>
    <x v="2"/>
    <n v="78"/>
    <n v="331"/>
    <n v="0"/>
    <s v="Low"/>
    <n v="0"/>
    <s v="Salem_1"/>
    <x v="1"/>
  </r>
  <r>
    <n v="54"/>
    <x v="0"/>
    <n v="823"/>
    <n v="106"/>
    <n v="0"/>
    <s v="Low"/>
    <n v="0"/>
    <s v="Salem_1"/>
    <x v="1"/>
  </r>
  <r>
    <n v="54"/>
    <x v="1"/>
    <n v="912"/>
    <n v="37"/>
    <n v="0"/>
    <s v="Low"/>
    <n v="0"/>
    <s v="Salem_1"/>
    <x v="1"/>
  </r>
  <r>
    <n v="54"/>
    <x v="2"/>
    <n v="967"/>
    <n v="37"/>
    <n v="0"/>
    <s v="Low"/>
    <n v="0"/>
    <s v="Salem_1"/>
    <x v="1"/>
  </r>
  <r>
    <n v="55"/>
    <x v="0"/>
    <n v="8"/>
    <n v="0"/>
    <n v="0"/>
    <s v="Low"/>
    <n v="0"/>
    <s v="Salem_1"/>
    <x v="1"/>
  </r>
  <r>
    <n v="55"/>
    <x v="1"/>
    <n v="161"/>
    <n v="0"/>
    <n v="0"/>
    <s v="Low"/>
    <n v="0"/>
    <s v="Salem_1"/>
    <x v="1"/>
  </r>
  <r>
    <n v="55"/>
    <x v="2"/>
    <n v="194"/>
    <n v="48"/>
    <n v="0"/>
    <s v="Low"/>
    <n v="0"/>
    <s v="Salem_1"/>
    <x v="1"/>
  </r>
  <r>
    <n v="56"/>
    <x v="0"/>
    <n v="608"/>
    <n v="27"/>
    <n v="0"/>
    <s v="Low"/>
    <n v="0"/>
    <s v="Polk"/>
    <x v="0"/>
  </r>
  <r>
    <n v="56"/>
    <x v="1"/>
    <n v="782"/>
    <n v="0"/>
    <n v="0"/>
    <s v="Low"/>
    <n v="0"/>
    <s v="Polk"/>
    <x v="0"/>
  </r>
  <r>
    <n v="56"/>
    <x v="2"/>
    <n v="957"/>
    <n v="8"/>
    <n v="0"/>
    <s v="Low"/>
    <n v="0"/>
    <s v="Polk"/>
    <x v="0"/>
  </r>
  <r>
    <n v="61"/>
    <x v="0"/>
    <n v="27"/>
    <n v="475"/>
    <n v="0"/>
    <s v="Low"/>
    <n v="0"/>
    <s v="Salem_2"/>
    <x v="1"/>
  </r>
  <r>
    <n v="61"/>
    <x v="1"/>
    <n v="27"/>
    <n v="475"/>
    <n v="0"/>
    <s v="Low"/>
    <n v="0"/>
    <s v="Salem_2"/>
    <x v="1"/>
  </r>
  <r>
    <n v="61"/>
    <x v="2"/>
    <n v="26"/>
    <n v="504"/>
    <n v="0"/>
    <s v="Low"/>
    <n v="0"/>
    <s v="Salem_2"/>
    <x v="1"/>
  </r>
  <r>
    <n v="64"/>
    <x v="0"/>
    <n v="0"/>
    <n v="1"/>
    <n v="0"/>
    <s v="Low"/>
    <n v="0"/>
    <s v="Salem_2"/>
    <x v="1"/>
  </r>
  <r>
    <n v="64"/>
    <x v="1"/>
    <n v="0"/>
    <n v="1"/>
    <n v="0"/>
    <s v="High"/>
    <n v="1"/>
    <s v="Salem_2"/>
    <x v="1"/>
  </r>
  <r>
    <n v="64"/>
    <x v="2"/>
    <n v="0"/>
    <n v="228"/>
    <n v="0"/>
    <s v="High"/>
    <n v="228"/>
    <s v="Salem_2"/>
    <x v="1"/>
  </r>
  <r>
    <n v="65"/>
    <x v="0"/>
    <n v="221"/>
    <n v="5"/>
    <n v="0"/>
    <s v="Low"/>
    <n v="0"/>
    <s v="Salem_1"/>
    <x v="1"/>
  </r>
  <r>
    <n v="65"/>
    <x v="1"/>
    <n v="227"/>
    <n v="15"/>
    <n v="0"/>
    <s v="Low"/>
    <n v="0"/>
    <s v="Salem_1"/>
    <x v="1"/>
  </r>
  <r>
    <n v="65"/>
    <x v="2"/>
    <n v="227"/>
    <n v="37"/>
    <n v="0"/>
    <s v="Low"/>
    <n v="0"/>
    <s v="Salem_1"/>
    <x v="1"/>
  </r>
  <r>
    <n v="66"/>
    <x v="0"/>
    <n v="661"/>
    <n v="8"/>
    <n v="0"/>
    <s v="Low"/>
    <n v="0"/>
    <s v="Salem_1"/>
    <x v="1"/>
  </r>
  <r>
    <n v="66"/>
    <x v="1"/>
    <n v="674"/>
    <n v="7"/>
    <n v="0"/>
    <s v="Low"/>
    <n v="0"/>
    <s v="Salem_1"/>
    <x v="1"/>
  </r>
  <r>
    <n v="66"/>
    <x v="2"/>
    <n v="678"/>
    <n v="7"/>
    <n v="0"/>
    <s v="Low"/>
    <n v="0"/>
    <s v="Salem_1"/>
    <x v="1"/>
  </r>
  <r>
    <n v="67"/>
    <x v="0"/>
    <n v="398"/>
    <n v="162"/>
    <n v="0"/>
    <s v="Low"/>
    <n v="0"/>
    <s v="Salem_1"/>
    <x v="1"/>
  </r>
  <r>
    <n v="67"/>
    <x v="1"/>
    <n v="889"/>
    <n v="120"/>
    <n v="0"/>
    <s v="Low"/>
    <n v="0"/>
    <s v="Salem_1"/>
    <x v="1"/>
  </r>
  <r>
    <n v="67"/>
    <x v="2"/>
    <n v="962"/>
    <n v="133"/>
    <n v="0"/>
    <s v="Low"/>
    <n v="0"/>
    <s v="Salem_1"/>
    <x v="1"/>
  </r>
  <r>
    <n v="70"/>
    <x v="0"/>
    <n v="132"/>
    <n v="17"/>
    <n v="0"/>
    <s v="Low"/>
    <n v="0"/>
    <s v="Salem_1"/>
    <x v="1"/>
  </r>
  <r>
    <n v="70"/>
    <x v="1"/>
    <n v="476"/>
    <n v="5"/>
    <n v="0"/>
    <s v="Low"/>
    <n v="0"/>
    <s v="Salem_1"/>
    <x v="1"/>
  </r>
  <r>
    <n v="70"/>
    <x v="2"/>
    <n v="548"/>
    <n v="6"/>
    <n v="0"/>
    <s v="Low"/>
    <n v="0"/>
    <s v="Salem_1"/>
    <x v="1"/>
  </r>
  <r>
    <n v="71"/>
    <x v="0"/>
    <n v="325"/>
    <n v="242"/>
    <n v="0"/>
    <s v="Low"/>
    <n v="0"/>
    <s v="Salem_1"/>
    <x v="1"/>
  </r>
  <r>
    <n v="71"/>
    <x v="1"/>
    <n v="325"/>
    <n v="242"/>
    <n v="0"/>
    <s v="Low"/>
    <n v="0"/>
    <s v="Salem_1"/>
    <x v="1"/>
  </r>
  <r>
    <n v="71"/>
    <x v="2"/>
    <n v="327"/>
    <n v="291"/>
    <n v="0"/>
    <s v="Low"/>
    <n v="0"/>
    <s v="Salem_1"/>
    <x v="1"/>
  </r>
  <r>
    <n v="74"/>
    <x v="0"/>
    <n v="156"/>
    <n v="106"/>
    <n v="0"/>
    <s v="Low"/>
    <n v="0"/>
    <s v="Salem_1"/>
    <x v="1"/>
  </r>
  <r>
    <n v="74"/>
    <x v="1"/>
    <n v="158"/>
    <n v="124"/>
    <n v="0"/>
    <s v="Low"/>
    <n v="0"/>
    <s v="Salem_1"/>
    <x v="1"/>
  </r>
  <r>
    <n v="74"/>
    <x v="2"/>
    <n v="156"/>
    <n v="122"/>
    <n v="0"/>
    <s v="Low"/>
    <n v="0"/>
    <s v="Salem_1"/>
    <x v="1"/>
  </r>
  <r>
    <n v="75"/>
    <x v="0"/>
    <n v="289"/>
    <n v="184"/>
    <n v="0"/>
    <s v="Low"/>
    <n v="0"/>
    <s v="Salem_1"/>
    <x v="1"/>
  </r>
  <r>
    <n v="75"/>
    <x v="1"/>
    <n v="317"/>
    <n v="194"/>
    <n v="0"/>
    <s v="High"/>
    <n v="511"/>
    <s v="Salem_1"/>
    <x v="1"/>
  </r>
  <r>
    <n v="75"/>
    <x v="2"/>
    <n v="314"/>
    <n v="193"/>
    <n v="0"/>
    <s v="High"/>
    <n v="507"/>
    <s v="Salem_1"/>
    <x v="1"/>
  </r>
  <r>
    <n v="76"/>
    <x v="0"/>
    <n v="0"/>
    <n v="1"/>
    <n v="0"/>
    <s v="Low"/>
    <n v="0"/>
    <s v="Salem_1"/>
    <x v="1"/>
  </r>
  <r>
    <n v="76"/>
    <x v="1"/>
    <n v="0"/>
    <n v="1"/>
    <n v="0"/>
    <s v="High"/>
    <n v="1"/>
    <s v="Salem_1"/>
    <x v="1"/>
  </r>
  <r>
    <n v="76"/>
    <x v="2"/>
    <n v="0"/>
    <n v="1"/>
    <n v="0"/>
    <s v="High"/>
    <n v="1"/>
    <s v="Salem_1"/>
    <x v="1"/>
  </r>
  <r>
    <n v="77"/>
    <x v="0"/>
    <n v="5"/>
    <n v="11"/>
    <n v="0"/>
    <s v="Low"/>
    <n v="0"/>
    <s v="Salem_1"/>
    <x v="1"/>
  </r>
  <r>
    <n v="77"/>
    <x v="1"/>
    <n v="5"/>
    <n v="13"/>
    <n v="0"/>
    <s v="Low"/>
    <n v="0"/>
    <s v="Salem_1"/>
    <x v="1"/>
  </r>
  <r>
    <n v="77"/>
    <x v="2"/>
    <n v="4"/>
    <n v="18"/>
    <n v="0"/>
    <s v="High"/>
    <n v="22"/>
    <s v="Salem_1"/>
    <x v="1"/>
  </r>
  <r>
    <n v="78"/>
    <x v="0"/>
    <n v="175"/>
    <n v="115"/>
    <n v="0"/>
    <s v="Low"/>
    <n v="0"/>
    <s v="Salem_1"/>
    <x v="1"/>
  </r>
  <r>
    <n v="78"/>
    <x v="1"/>
    <n v="213"/>
    <n v="118"/>
    <n v="0"/>
    <s v="High"/>
    <n v="331"/>
    <s v="Salem_1"/>
    <x v="1"/>
  </r>
  <r>
    <n v="78"/>
    <x v="2"/>
    <n v="212"/>
    <n v="128"/>
    <n v="0"/>
    <s v="High"/>
    <n v="340"/>
    <s v="Salem_1"/>
    <x v="1"/>
  </r>
  <r>
    <n v="80"/>
    <x v="0"/>
    <n v="51"/>
    <n v="0"/>
    <n v="0"/>
    <s v="Low"/>
    <n v="0"/>
    <s v="Marion_Outside_UGB"/>
    <x v="0"/>
  </r>
  <r>
    <n v="80"/>
    <x v="1"/>
    <n v="51"/>
    <n v="4"/>
    <n v="0"/>
    <s v="Low"/>
    <n v="0"/>
    <s v="Marion_Outside_UGB"/>
    <x v="0"/>
  </r>
  <r>
    <n v="80"/>
    <x v="2"/>
    <n v="50"/>
    <n v="4"/>
    <n v="0"/>
    <s v="Low"/>
    <n v="0"/>
    <s v="Marion_Outside_UGB"/>
    <x v="0"/>
  </r>
  <r>
    <n v="81"/>
    <x v="0"/>
    <n v="22"/>
    <n v="0"/>
    <n v="0"/>
    <s v="Low"/>
    <n v="0"/>
    <s v="Marion_Outside_UGB"/>
    <x v="0"/>
  </r>
  <r>
    <n v="81"/>
    <x v="1"/>
    <n v="22"/>
    <n v="0"/>
    <n v="0"/>
    <s v="Low"/>
    <n v="0"/>
    <s v="Marion_Outside_UGB"/>
    <x v="0"/>
  </r>
  <r>
    <n v="81"/>
    <x v="2"/>
    <n v="11"/>
    <n v="0"/>
    <n v="0"/>
    <s v="Low"/>
    <n v="0"/>
    <s v="Marion_Outside_UGB"/>
    <x v="0"/>
  </r>
  <r>
    <n v="82"/>
    <x v="0"/>
    <n v="871"/>
    <n v="179"/>
    <n v="0"/>
    <s v="Low"/>
    <n v="0"/>
    <s v="Keizer"/>
    <x v="2"/>
  </r>
  <r>
    <n v="82"/>
    <x v="1"/>
    <n v="871"/>
    <n v="179"/>
    <n v="0"/>
    <s v="Low"/>
    <n v="0"/>
    <s v="Keizer"/>
    <x v="2"/>
  </r>
  <r>
    <n v="82"/>
    <x v="2"/>
    <n v="887"/>
    <n v="363"/>
    <n v="0"/>
    <s v="Low"/>
    <n v="0"/>
    <s v="Keizer"/>
    <x v="2"/>
  </r>
  <r>
    <n v="83"/>
    <x v="0"/>
    <n v="86"/>
    <n v="0"/>
    <n v="0"/>
    <s v="Low"/>
    <n v="0"/>
    <s v="Marion_Outside_UGB"/>
    <x v="0"/>
  </r>
  <r>
    <n v="83"/>
    <x v="1"/>
    <n v="90"/>
    <n v="11"/>
    <n v="0"/>
    <s v="Low"/>
    <n v="0"/>
    <s v="Marion_Outside_UGB"/>
    <x v="0"/>
  </r>
  <r>
    <n v="83"/>
    <x v="2"/>
    <n v="104"/>
    <n v="11"/>
    <n v="0"/>
    <s v="Low"/>
    <n v="0"/>
    <s v="Marion_Outside_UGB"/>
    <x v="0"/>
  </r>
  <r>
    <n v="84"/>
    <x v="0"/>
    <n v="21"/>
    <n v="12"/>
    <n v="0"/>
    <s v="Low"/>
    <n v="0"/>
    <s v="Marion_Outside_UGB"/>
    <x v="0"/>
  </r>
  <r>
    <n v="84"/>
    <x v="1"/>
    <n v="32"/>
    <n v="14"/>
    <n v="0"/>
    <s v="Low"/>
    <n v="0"/>
    <s v="Marion_Outside_UGB"/>
    <x v="0"/>
  </r>
  <r>
    <n v="84"/>
    <x v="2"/>
    <n v="29"/>
    <n v="13"/>
    <n v="0"/>
    <s v="Low"/>
    <n v="0"/>
    <s v="Marion_Outside_UGB"/>
    <x v="0"/>
  </r>
  <r>
    <n v="85"/>
    <x v="0"/>
    <n v="34"/>
    <n v="0"/>
    <n v="0"/>
    <s v="Low"/>
    <n v="0"/>
    <s v="Marion_Outside_UGB"/>
    <x v="0"/>
  </r>
  <r>
    <n v="85"/>
    <x v="1"/>
    <n v="33"/>
    <n v="1"/>
    <n v="0"/>
    <s v="Low"/>
    <n v="0"/>
    <s v="Marion_Outside_UGB"/>
    <x v="0"/>
  </r>
  <r>
    <n v="85"/>
    <x v="2"/>
    <n v="32"/>
    <n v="1"/>
    <n v="0"/>
    <s v="Low"/>
    <n v="0"/>
    <s v="Marion_Outside_UGB"/>
    <x v="0"/>
  </r>
  <r>
    <n v="86"/>
    <x v="0"/>
    <n v="19"/>
    <n v="2"/>
    <n v="0"/>
    <s v="Low"/>
    <n v="0"/>
    <s v="Marion_Outside_UGB"/>
    <x v="0"/>
  </r>
  <r>
    <n v="86"/>
    <x v="1"/>
    <n v="23"/>
    <n v="0"/>
    <n v="0"/>
    <s v="Low"/>
    <n v="0"/>
    <s v="Marion_Outside_UGB"/>
    <x v="0"/>
  </r>
  <r>
    <n v="86"/>
    <x v="2"/>
    <n v="24"/>
    <n v="0"/>
    <n v="0"/>
    <s v="Low"/>
    <n v="0"/>
    <s v="Marion_Outside_UGB"/>
    <x v="0"/>
  </r>
  <r>
    <n v="87"/>
    <x v="0"/>
    <n v="778"/>
    <n v="1"/>
    <n v="0"/>
    <s v="Low"/>
    <n v="0"/>
    <s v="Keizer"/>
    <x v="2"/>
  </r>
  <r>
    <n v="87"/>
    <x v="1"/>
    <n v="869"/>
    <n v="36"/>
    <n v="0"/>
    <s v="Low"/>
    <n v="0"/>
    <s v="Keizer"/>
    <x v="2"/>
  </r>
  <r>
    <n v="87"/>
    <x v="2"/>
    <n v="981"/>
    <n v="41"/>
    <n v="0"/>
    <s v="Low"/>
    <n v="0"/>
    <s v="Keizer"/>
    <x v="2"/>
  </r>
  <r>
    <n v="88"/>
    <x v="0"/>
    <n v="423"/>
    <n v="199"/>
    <n v="0"/>
    <s v="Low"/>
    <n v="0"/>
    <s v="Keizer"/>
    <x v="2"/>
  </r>
  <r>
    <n v="88"/>
    <x v="1"/>
    <n v="471"/>
    <n v="157"/>
    <n v="0"/>
    <s v="Low"/>
    <n v="0"/>
    <s v="Keizer"/>
    <x v="2"/>
  </r>
  <r>
    <n v="88"/>
    <x v="2"/>
    <n v="494"/>
    <n v="192"/>
    <n v="0"/>
    <s v="Low"/>
    <n v="0"/>
    <s v="Keizer"/>
    <x v="2"/>
  </r>
  <r>
    <n v="89"/>
    <x v="0"/>
    <n v="555"/>
    <n v="218"/>
    <n v="0"/>
    <s v="Low"/>
    <n v="0"/>
    <s v="Keizer"/>
    <x v="2"/>
  </r>
  <r>
    <n v="89"/>
    <x v="1"/>
    <n v="604"/>
    <n v="223"/>
    <n v="0"/>
    <s v="Low"/>
    <n v="0"/>
    <s v="Keizer"/>
    <x v="2"/>
  </r>
  <r>
    <n v="89"/>
    <x v="2"/>
    <n v="626"/>
    <n v="232"/>
    <n v="0"/>
    <s v="Low"/>
    <n v="0"/>
    <s v="Keizer"/>
    <x v="2"/>
  </r>
  <r>
    <n v="90"/>
    <x v="0"/>
    <n v="185"/>
    <n v="114"/>
    <n v="0"/>
    <s v="Low"/>
    <n v="0"/>
    <s v="Keizer"/>
    <x v="2"/>
  </r>
  <r>
    <n v="90"/>
    <x v="1"/>
    <n v="166"/>
    <n v="147"/>
    <n v="0"/>
    <s v="Low"/>
    <n v="0"/>
    <s v="Keizer"/>
    <x v="2"/>
  </r>
  <r>
    <n v="90"/>
    <x v="2"/>
    <n v="165"/>
    <n v="147"/>
    <n v="0"/>
    <s v="Low"/>
    <n v="0"/>
    <s v="Keizer"/>
    <x v="2"/>
  </r>
  <r>
    <n v="91"/>
    <x v="0"/>
    <n v="289"/>
    <n v="264"/>
    <n v="0"/>
    <s v="Low"/>
    <n v="0"/>
    <s v="Keizer"/>
    <x v="2"/>
  </r>
  <r>
    <n v="91"/>
    <x v="1"/>
    <n v="275"/>
    <n v="510"/>
    <n v="0"/>
    <s v="High"/>
    <n v="785"/>
    <s v="Keizer"/>
    <x v="2"/>
  </r>
  <r>
    <n v="91"/>
    <x v="2"/>
    <n v="274"/>
    <n v="509"/>
    <n v="0"/>
    <s v="High"/>
    <n v="783"/>
    <s v="Keizer"/>
    <x v="2"/>
  </r>
  <r>
    <n v="92"/>
    <x v="0"/>
    <n v="359"/>
    <n v="54"/>
    <n v="0"/>
    <s v="Low"/>
    <n v="0"/>
    <s v="Keizer"/>
    <x v="2"/>
  </r>
  <r>
    <n v="92"/>
    <x v="1"/>
    <n v="359"/>
    <n v="54"/>
    <n v="0"/>
    <s v="High"/>
    <n v="413"/>
    <s v="Keizer"/>
    <x v="2"/>
  </r>
  <r>
    <n v="92"/>
    <x v="2"/>
    <n v="365"/>
    <n v="54"/>
    <n v="0"/>
    <s v="High"/>
    <n v="419"/>
    <s v="Keizer"/>
    <x v="2"/>
  </r>
  <r>
    <n v="94"/>
    <x v="0"/>
    <n v="402"/>
    <n v="0"/>
    <n v="0"/>
    <s v="Low"/>
    <n v="0"/>
    <s v="Keizer"/>
    <x v="2"/>
  </r>
  <r>
    <n v="94"/>
    <x v="1"/>
    <n v="425"/>
    <n v="9"/>
    <n v="0"/>
    <s v="Low"/>
    <n v="0"/>
    <s v="Keizer"/>
    <x v="2"/>
  </r>
  <r>
    <n v="94"/>
    <x v="2"/>
    <n v="443"/>
    <n v="9"/>
    <n v="0"/>
    <s v="Low"/>
    <n v="0"/>
    <s v="Keizer"/>
    <x v="2"/>
  </r>
  <r>
    <n v="95"/>
    <x v="0"/>
    <n v="234"/>
    <n v="31"/>
    <n v="0"/>
    <s v="Low"/>
    <n v="0"/>
    <s v="Keizer"/>
    <x v="2"/>
  </r>
  <r>
    <n v="95"/>
    <x v="1"/>
    <n v="239"/>
    <n v="107"/>
    <n v="0"/>
    <s v="Low"/>
    <n v="0"/>
    <s v="Keizer"/>
    <x v="2"/>
  </r>
  <r>
    <n v="95"/>
    <x v="2"/>
    <n v="269"/>
    <n v="522"/>
    <n v="0"/>
    <s v="High"/>
    <n v="791"/>
    <s v="Keizer"/>
    <x v="2"/>
  </r>
  <r>
    <n v="100"/>
    <x v="0"/>
    <n v="206"/>
    <n v="167"/>
    <n v="0"/>
    <s v="Low"/>
    <n v="0"/>
    <s v="Keizer"/>
    <x v="2"/>
  </r>
  <r>
    <n v="100"/>
    <x v="1"/>
    <n v="236"/>
    <n v="297"/>
    <n v="0"/>
    <s v="Low"/>
    <n v="0"/>
    <s v="Keizer"/>
    <x v="2"/>
  </r>
  <r>
    <n v="100"/>
    <x v="2"/>
    <n v="236"/>
    <n v="311"/>
    <n v="0"/>
    <s v="High"/>
    <n v="547"/>
    <s v="Keizer"/>
    <x v="2"/>
  </r>
  <r>
    <n v="103"/>
    <x v="0"/>
    <n v="501"/>
    <n v="105"/>
    <n v="0"/>
    <s v="Low"/>
    <n v="0"/>
    <s v="Keizer"/>
    <x v="2"/>
  </r>
  <r>
    <n v="103"/>
    <x v="1"/>
    <n v="467"/>
    <n v="140"/>
    <n v="0"/>
    <s v="Low"/>
    <n v="0"/>
    <s v="Keizer"/>
    <x v="2"/>
  </r>
  <r>
    <n v="103"/>
    <x v="2"/>
    <n v="474"/>
    <n v="150"/>
    <n v="0"/>
    <s v="Low"/>
    <n v="0"/>
    <s v="Keizer"/>
    <x v="2"/>
  </r>
  <r>
    <n v="104"/>
    <x v="0"/>
    <n v="165"/>
    <n v="229"/>
    <n v="0"/>
    <s v="Low"/>
    <n v="0"/>
    <s v="Keizer"/>
    <x v="2"/>
  </r>
  <r>
    <n v="104"/>
    <x v="1"/>
    <n v="165"/>
    <n v="229"/>
    <n v="0"/>
    <s v="High"/>
    <n v="394"/>
    <s v="Keizer"/>
    <x v="2"/>
  </r>
  <r>
    <n v="104"/>
    <x v="2"/>
    <n v="210"/>
    <n v="229"/>
    <n v="0"/>
    <s v="High"/>
    <n v="439"/>
    <s v="Keizer"/>
    <x v="2"/>
  </r>
  <r>
    <n v="107"/>
    <x v="0"/>
    <n v="412"/>
    <n v="302"/>
    <n v="0"/>
    <s v="Low"/>
    <n v="0"/>
    <s v="Keizer"/>
    <x v="2"/>
  </r>
  <r>
    <n v="107"/>
    <x v="1"/>
    <n v="420"/>
    <n v="325"/>
    <n v="0"/>
    <s v="High"/>
    <n v="745"/>
    <s v="Keizer"/>
    <x v="2"/>
  </r>
  <r>
    <n v="107"/>
    <x v="2"/>
    <n v="471"/>
    <n v="346"/>
    <n v="0"/>
    <s v="High"/>
    <n v="817"/>
    <s v="Keizer"/>
    <x v="2"/>
  </r>
  <r>
    <n v="110"/>
    <x v="0"/>
    <n v="35"/>
    <n v="36"/>
    <n v="0"/>
    <s v="Low"/>
    <n v="0"/>
    <s v="Keizer"/>
    <x v="2"/>
  </r>
  <r>
    <n v="110"/>
    <x v="1"/>
    <n v="419"/>
    <n v="236"/>
    <n v="0"/>
    <s v="Low"/>
    <n v="0"/>
    <s v="Keizer"/>
    <x v="2"/>
  </r>
  <r>
    <n v="110"/>
    <x v="2"/>
    <n v="461"/>
    <n v="238"/>
    <n v="0"/>
    <s v="High"/>
    <n v="699"/>
    <s v="Keizer"/>
    <x v="2"/>
  </r>
  <r>
    <n v="111"/>
    <x v="0"/>
    <n v="541"/>
    <n v="5"/>
    <n v="0"/>
    <s v="Low"/>
    <n v="0"/>
    <s v="Keizer"/>
    <x v="2"/>
  </r>
  <r>
    <n v="111"/>
    <x v="1"/>
    <n v="595"/>
    <n v="6"/>
    <n v="0"/>
    <s v="Low"/>
    <n v="0"/>
    <s v="Keizer"/>
    <x v="2"/>
  </r>
  <r>
    <n v="111"/>
    <x v="2"/>
    <n v="621"/>
    <n v="6"/>
    <n v="0"/>
    <s v="Low"/>
    <n v="0"/>
    <s v="Keizer"/>
    <x v="2"/>
  </r>
  <r>
    <n v="112"/>
    <x v="0"/>
    <n v="487"/>
    <n v="133"/>
    <n v="0"/>
    <s v="Low"/>
    <n v="0"/>
    <s v="Keizer"/>
    <x v="2"/>
  </r>
  <r>
    <n v="112"/>
    <x v="1"/>
    <n v="475"/>
    <n v="208"/>
    <n v="0"/>
    <s v="Low"/>
    <n v="0"/>
    <s v="Keizer"/>
    <x v="2"/>
  </r>
  <r>
    <n v="112"/>
    <x v="2"/>
    <n v="494"/>
    <n v="223"/>
    <n v="0"/>
    <s v="Low"/>
    <n v="0"/>
    <s v="Keizer"/>
    <x v="2"/>
  </r>
  <r>
    <n v="114"/>
    <x v="0"/>
    <n v="436"/>
    <n v="70"/>
    <n v="0"/>
    <s v="Low"/>
    <n v="0"/>
    <s v="Keizer"/>
    <x v="2"/>
  </r>
  <r>
    <n v="114"/>
    <x v="1"/>
    <n v="411"/>
    <n v="121"/>
    <n v="0"/>
    <s v="Low"/>
    <n v="0"/>
    <s v="Keizer"/>
    <x v="2"/>
  </r>
  <r>
    <n v="114"/>
    <x v="2"/>
    <n v="429"/>
    <n v="168"/>
    <n v="0"/>
    <s v="High"/>
    <n v="597"/>
    <s v="Keizer"/>
    <x v="2"/>
  </r>
  <r>
    <n v="116"/>
    <x v="0"/>
    <n v="309"/>
    <n v="223"/>
    <n v="0"/>
    <s v="Low"/>
    <n v="0"/>
    <s v="Keizer"/>
    <x v="2"/>
  </r>
  <r>
    <n v="116"/>
    <x v="1"/>
    <n v="331"/>
    <n v="260"/>
    <n v="0"/>
    <s v="Low"/>
    <n v="0"/>
    <s v="Keizer"/>
    <x v="2"/>
  </r>
  <r>
    <n v="116"/>
    <x v="2"/>
    <n v="355"/>
    <n v="368"/>
    <n v="0"/>
    <s v="Low"/>
    <n v="0"/>
    <s v="Keizer"/>
    <x v="2"/>
  </r>
  <r>
    <n v="117"/>
    <x v="0"/>
    <n v="375"/>
    <n v="193"/>
    <n v="0"/>
    <s v="Low"/>
    <n v="0"/>
    <s v="Keizer"/>
    <x v="2"/>
  </r>
  <r>
    <n v="117"/>
    <x v="1"/>
    <n v="375"/>
    <n v="193"/>
    <n v="0"/>
    <s v="Low"/>
    <n v="0"/>
    <s v="Keizer"/>
    <x v="2"/>
  </r>
  <r>
    <n v="117"/>
    <x v="2"/>
    <n v="386"/>
    <n v="218"/>
    <n v="0"/>
    <s v="Low"/>
    <n v="0"/>
    <s v="Keizer"/>
    <x v="2"/>
  </r>
  <r>
    <n v="118"/>
    <x v="0"/>
    <n v="58"/>
    <n v="354"/>
    <n v="0"/>
    <s v="Low"/>
    <n v="0"/>
    <s v="Keizer"/>
    <x v="2"/>
  </r>
  <r>
    <n v="118"/>
    <x v="1"/>
    <n v="57"/>
    <n v="377"/>
    <n v="0"/>
    <s v="High"/>
    <n v="434"/>
    <s v="Keizer"/>
    <x v="2"/>
  </r>
  <r>
    <n v="118"/>
    <x v="2"/>
    <n v="57"/>
    <n v="479"/>
    <n v="0"/>
    <s v="High"/>
    <n v="536"/>
    <s v="Keizer"/>
    <x v="2"/>
  </r>
  <r>
    <n v="120"/>
    <x v="0"/>
    <n v="658"/>
    <n v="400"/>
    <n v="0"/>
    <s v="Low"/>
    <n v="0"/>
    <s v="Keizer"/>
    <x v="2"/>
  </r>
  <r>
    <n v="120"/>
    <x v="1"/>
    <n v="676"/>
    <n v="446"/>
    <n v="0"/>
    <s v="Low"/>
    <n v="0"/>
    <s v="Keizer"/>
    <x v="2"/>
  </r>
  <r>
    <n v="120"/>
    <x v="2"/>
    <n v="689"/>
    <n v="518"/>
    <n v="0"/>
    <s v="Low"/>
    <n v="0"/>
    <s v="Keizer"/>
    <x v="2"/>
  </r>
  <r>
    <n v="124"/>
    <x v="0"/>
    <n v="205"/>
    <n v="105"/>
    <n v="0"/>
    <s v="Low"/>
    <n v="0"/>
    <s v="Keizer"/>
    <x v="2"/>
  </r>
  <r>
    <n v="124"/>
    <x v="1"/>
    <n v="205"/>
    <n v="106"/>
    <n v="0"/>
    <s v="Low"/>
    <n v="0"/>
    <s v="Keizer"/>
    <x v="2"/>
  </r>
  <r>
    <n v="124"/>
    <x v="2"/>
    <n v="207"/>
    <n v="106"/>
    <n v="0"/>
    <s v="Low"/>
    <n v="0"/>
    <s v="Keizer"/>
    <x v="2"/>
  </r>
  <r>
    <n v="125"/>
    <x v="0"/>
    <n v="75"/>
    <n v="339"/>
    <n v="0"/>
    <s v="Low"/>
    <n v="0"/>
    <s v="Keizer"/>
    <x v="2"/>
  </r>
  <r>
    <n v="125"/>
    <x v="1"/>
    <n v="75"/>
    <n v="339"/>
    <n v="0"/>
    <s v="High"/>
    <n v="414"/>
    <s v="Keizer"/>
    <x v="2"/>
  </r>
  <r>
    <n v="125"/>
    <x v="2"/>
    <n v="76"/>
    <n v="369"/>
    <n v="0"/>
    <s v="High"/>
    <n v="445"/>
    <s v="Keizer"/>
    <x v="2"/>
  </r>
  <r>
    <n v="126"/>
    <x v="0"/>
    <n v="6"/>
    <n v="108"/>
    <n v="0"/>
    <s v="Low"/>
    <n v="0"/>
    <s v="Keizer"/>
    <x v="2"/>
  </r>
  <r>
    <n v="126"/>
    <x v="1"/>
    <n v="6"/>
    <n v="108"/>
    <n v="0"/>
    <s v="High"/>
    <n v="114"/>
    <s v="Keizer"/>
    <x v="2"/>
  </r>
  <r>
    <n v="126"/>
    <x v="2"/>
    <n v="6"/>
    <n v="112"/>
    <n v="0"/>
    <s v="High"/>
    <n v="118"/>
    <s v="Keizer"/>
    <x v="2"/>
  </r>
  <r>
    <n v="128"/>
    <x v="0"/>
    <n v="304"/>
    <n v="329"/>
    <n v="0"/>
    <s v="Low"/>
    <n v="0"/>
    <s v="Keizer"/>
    <x v="2"/>
  </r>
  <r>
    <n v="128"/>
    <x v="1"/>
    <n v="304"/>
    <n v="329"/>
    <n v="0"/>
    <s v="Low"/>
    <n v="0"/>
    <s v="Keizer"/>
    <x v="2"/>
  </r>
  <r>
    <n v="128"/>
    <x v="2"/>
    <n v="332"/>
    <n v="346"/>
    <n v="0"/>
    <s v="Low"/>
    <n v="0"/>
    <s v="Keizer"/>
    <x v="2"/>
  </r>
  <r>
    <n v="129"/>
    <x v="0"/>
    <n v="0"/>
    <n v="1"/>
    <n v="0"/>
    <s v="Low"/>
    <n v="0"/>
    <s v="Marion_Outside_UGB"/>
    <x v="0"/>
  </r>
  <r>
    <n v="129"/>
    <x v="1"/>
    <n v="65"/>
    <n v="49"/>
    <n v="0"/>
    <s v="Low"/>
    <n v="0"/>
    <s v="Marion_Outside_UGB"/>
    <x v="0"/>
  </r>
  <r>
    <n v="129"/>
    <x v="2"/>
    <n v="113"/>
    <n v="49"/>
    <n v="0"/>
    <s v="Low"/>
    <n v="0"/>
    <s v="Marion_Outside_UGB"/>
    <x v="0"/>
  </r>
  <r>
    <n v="130"/>
    <x v="0"/>
    <n v="0"/>
    <n v="1"/>
    <n v="0"/>
    <s v="Low"/>
    <n v="0"/>
    <s v="Marion_Outside_UGB"/>
    <x v="0"/>
  </r>
  <r>
    <n v="130"/>
    <x v="1"/>
    <n v="45"/>
    <n v="74"/>
    <n v="0"/>
    <s v="Low"/>
    <n v="0"/>
    <s v="Marion_Outside_UGB"/>
    <x v="0"/>
  </r>
  <r>
    <n v="130"/>
    <x v="2"/>
    <n v="44"/>
    <n v="71"/>
    <n v="0"/>
    <s v="Low"/>
    <n v="0"/>
    <s v="Marion_Outside_UGB"/>
    <x v="0"/>
  </r>
  <r>
    <n v="131"/>
    <x v="0"/>
    <n v="13"/>
    <n v="0"/>
    <n v="0"/>
    <s v="Low"/>
    <n v="0"/>
    <s v="Marion_Outside_UGB"/>
    <x v="0"/>
  </r>
  <r>
    <n v="131"/>
    <x v="1"/>
    <n v="18"/>
    <n v="0"/>
    <n v="0"/>
    <s v="Low"/>
    <n v="0"/>
    <s v="Marion_Outside_UGB"/>
    <x v="0"/>
  </r>
  <r>
    <n v="131"/>
    <x v="2"/>
    <n v="14"/>
    <n v="0"/>
    <n v="0"/>
    <s v="Low"/>
    <n v="0"/>
    <s v="Marion_Outside_UGB"/>
    <x v="0"/>
  </r>
  <r>
    <n v="132"/>
    <x v="0"/>
    <n v="216"/>
    <n v="11"/>
    <n v="0"/>
    <s v="Low"/>
    <n v="0"/>
    <s v="Marion_Outside_UGB"/>
    <x v="0"/>
  </r>
  <r>
    <n v="132"/>
    <x v="1"/>
    <n v="216"/>
    <n v="11"/>
    <n v="0"/>
    <s v="Low"/>
    <n v="0"/>
    <s v="Marion_Outside_UGB"/>
    <x v="0"/>
  </r>
  <r>
    <n v="132"/>
    <x v="2"/>
    <n v="226"/>
    <n v="9"/>
    <n v="0"/>
    <s v="Low"/>
    <n v="0"/>
    <s v="Marion_Outside_UGB"/>
    <x v="0"/>
  </r>
  <r>
    <n v="133"/>
    <x v="0"/>
    <n v="126"/>
    <n v="7"/>
    <n v="0"/>
    <s v="Low"/>
    <n v="0"/>
    <s v="Marion_Outside_UGB"/>
    <x v="0"/>
  </r>
  <r>
    <n v="133"/>
    <x v="1"/>
    <n v="126"/>
    <n v="7"/>
    <n v="0"/>
    <s v="Low"/>
    <n v="0"/>
    <s v="Marion_Outside_UGB"/>
    <x v="0"/>
  </r>
  <r>
    <n v="133"/>
    <x v="2"/>
    <n v="127"/>
    <n v="7"/>
    <n v="0"/>
    <s v="Low"/>
    <n v="0"/>
    <s v="Marion_Outside_UGB"/>
    <x v="0"/>
  </r>
  <r>
    <n v="134"/>
    <x v="0"/>
    <n v="61"/>
    <n v="4"/>
    <n v="0"/>
    <s v="Low"/>
    <n v="0"/>
    <s v="Marion_Outside_UGB"/>
    <x v="0"/>
  </r>
  <r>
    <n v="134"/>
    <x v="1"/>
    <n v="77"/>
    <n v="10"/>
    <n v="0"/>
    <s v="Low"/>
    <n v="0"/>
    <s v="Marion_Outside_UGB"/>
    <x v="0"/>
  </r>
  <r>
    <n v="134"/>
    <x v="2"/>
    <n v="77"/>
    <n v="10"/>
    <n v="0"/>
    <s v="Low"/>
    <n v="0"/>
    <s v="Marion_Outside_UGB"/>
    <x v="0"/>
  </r>
  <r>
    <n v="135"/>
    <x v="0"/>
    <n v="1"/>
    <n v="1"/>
    <n v="0"/>
    <s v="Low"/>
    <n v="0"/>
    <s v="Salem_4"/>
    <x v="1"/>
  </r>
  <r>
    <n v="135"/>
    <x v="1"/>
    <n v="5"/>
    <n v="0"/>
    <n v="0"/>
    <s v="Low"/>
    <n v="0"/>
    <s v="Salem_4"/>
    <x v="1"/>
  </r>
  <r>
    <n v="135"/>
    <x v="2"/>
    <n v="1"/>
    <n v="0"/>
    <n v="0"/>
    <s v="Low"/>
    <n v="0"/>
    <s v="Salem_4"/>
    <x v="1"/>
  </r>
  <r>
    <n v="136"/>
    <x v="0"/>
    <n v="0"/>
    <n v="311"/>
    <n v="0"/>
    <s v="Low"/>
    <n v="0"/>
    <s v="Salem_4"/>
    <x v="1"/>
  </r>
  <r>
    <n v="136"/>
    <x v="1"/>
    <n v="0"/>
    <n v="311"/>
    <n v="0"/>
    <s v="Low"/>
    <n v="0"/>
    <s v="Salem_4"/>
    <x v="1"/>
  </r>
  <r>
    <n v="136"/>
    <x v="2"/>
    <n v="0"/>
    <n v="610"/>
    <n v="0"/>
    <s v="Low"/>
    <n v="0"/>
    <s v="Salem_4"/>
    <x v="1"/>
  </r>
  <r>
    <n v="137"/>
    <x v="0"/>
    <n v="9"/>
    <n v="0"/>
    <n v="0"/>
    <s v="Low"/>
    <n v="0"/>
    <s v="Salem_4"/>
    <x v="1"/>
  </r>
  <r>
    <n v="137"/>
    <x v="1"/>
    <n v="419"/>
    <n v="0"/>
    <n v="0"/>
    <s v="Low"/>
    <n v="0"/>
    <s v="Salem_4"/>
    <x v="1"/>
  </r>
  <r>
    <n v="137"/>
    <x v="2"/>
    <n v="665"/>
    <n v="0"/>
    <n v="0"/>
    <s v="Low"/>
    <n v="0"/>
    <s v="Salem_4"/>
    <x v="1"/>
  </r>
  <r>
    <n v="138"/>
    <x v="0"/>
    <n v="18"/>
    <n v="0"/>
    <n v="0"/>
    <s v="Low"/>
    <n v="0"/>
    <s v="Marion_Outside_UGB"/>
    <x v="0"/>
  </r>
  <r>
    <n v="138"/>
    <x v="1"/>
    <n v="21"/>
    <n v="0"/>
    <n v="0"/>
    <s v="Low"/>
    <n v="0"/>
    <s v="Marion_Outside_UGB"/>
    <x v="0"/>
  </r>
  <r>
    <n v="138"/>
    <x v="2"/>
    <n v="16"/>
    <n v="0"/>
    <n v="0"/>
    <s v="Low"/>
    <n v="0"/>
    <s v="Marion_Outside_UGB"/>
    <x v="0"/>
  </r>
  <r>
    <n v="139"/>
    <x v="0"/>
    <n v="80"/>
    <n v="0"/>
    <n v="0"/>
    <s v="Low"/>
    <n v="0"/>
    <s v="Marion_Outside_UGB"/>
    <x v="0"/>
  </r>
  <r>
    <n v="139"/>
    <x v="1"/>
    <n v="80"/>
    <n v="0"/>
    <n v="0"/>
    <s v="Low"/>
    <n v="0"/>
    <s v="Marion_Outside_UGB"/>
    <x v="0"/>
  </r>
  <r>
    <n v="139"/>
    <x v="2"/>
    <n v="78"/>
    <n v="0"/>
    <n v="0"/>
    <s v="Low"/>
    <n v="0"/>
    <s v="Marion_Outside_UGB"/>
    <x v="0"/>
  </r>
  <r>
    <n v="140"/>
    <x v="0"/>
    <n v="1200"/>
    <n v="359"/>
    <n v="0"/>
    <s v="Low"/>
    <n v="0"/>
    <s v="Marion_Inside_UBG_1"/>
    <x v="3"/>
  </r>
  <r>
    <n v="140"/>
    <x v="1"/>
    <n v="1503"/>
    <n v="308"/>
    <n v="0"/>
    <s v="Low"/>
    <n v="0"/>
    <s v="Marion_Inside_UBG_1"/>
    <x v="3"/>
  </r>
  <r>
    <n v="140"/>
    <x v="2"/>
    <n v="1507"/>
    <n v="309"/>
    <n v="0"/>
    <s v="Low"/>
    <n v="0"/>
    <s v="Marion_Inside_UBG_1"/>
    <x v="3"/>
  </r>
  <r>
    <n v="141"/>
    <x v="0"/>
    <n v="279"/>
    <n v="218"/>
    <n v="0"/>
    <s v="Low"/>
    <n v="0"/>
    <s v="Marion_Inside_UBG_1"/>
    <x v="3"/>
  </r>
  <r>
    <n v="141"/>
    <x v="1"/>
    <n v="271"/>
    <n v="314"/>
    <n v="0"/>
    <s v="High"/>
    <n v="585"/>
    <s v="Marion_Inside_UBG_1"/>
    <x v="3"/>
  </r>
  <r>
    <n v="141"/>
    <x v="2"/>
    <n v="268"/>
    <n v="423"/>
    <n v="0"/>
    <s v="High"/>
    <n v="691"/>
    <s v="Marion_Inside_UBG_1"/>
    <x v="3"/>
  </r>
  <r>
    <n v="143"/>
    <x v="0"/>
    <n v="33"/>
    <n v="29"/>
    <n v="0"/>
    <s v="Low"/>
    <n v="0"/>
    <s v="Salem_4"/>
    <x v="1"/>
  </r>
  <r>
    <n v="143"/>
    <x v="1"/>
    <n v="21"/>
    <n v="213"/>
    <n v="0"/>
    <s v="Low"/>
    <n v="0"/>
    <s v="Salem_4"/>
    <x v="1"/>
  </r>
  <r>
    <n v="143"/>
    <x v="2"/>
    <n v="20"/>
    <n v="268"/>
    <n v="0"/>
    <s v="Low"/>
    <n v="0"/>
    <s v="Salem_4"/>
    <x v="1"/>
  </r>
  <r>
    <n v="144"/>
    <x v="0"/>
    <n v="0"/>
    <n v="1"/>
    <n v="0"/>
    <s v="Low"/>
    <n v="0"/>
    <s v="Salem_4"/>
    <x v="1"/>
  </r>
  <r>
    <n v="144"/>
    <x v="1"/>
    <n v="0"/>
    <n v="1"/>
    <n v="0"/>
    <s v="Low"/>
    <n v="0"/>
    <s v="Salem_4"/>
    <x v="1"/>
  </r>
  <r>
    <n v="144"/>
    <x v="2"/>
    <n v="0"/>
    <n v="86"/>
    <n v="0"/>
    <s v="High"/>
    <n v="86"/>
    <s v="Salem_4"/>
    <x v="1"/>
  </r>
  <r>
    <n v="146"/>
    <x v="0"/>
    <n v="624"/>
    <n v="96"/>
    <n v="0"/>
    <s v="Low"/>
    <n v="0"/>
    <s v="Marion_Inside_UBG_1"/>
    <x v="3"/>
  </r>
  <r>
    <n v="146"/>
    <x v="1"/>
    <n v="627"/>
    <n v="94"/>
    <n v="0"/>
    <s v="Low"/>
    <n v="0"/>
    <s v="Marion_Inside_UBG_1"/>
    <x v="3"/>
  </r>
  <r>
    <n v="146"/>
    <x v="2"/>
    <n v="630"/>
    <n v="210"/>
    <n v="0"/>
    <s v="Low"/>
    <n v="0"/>
    <s v="Marion_Inside_UBG_1"/>
    <x v="3"/>
  </r>
  <r>
    <n v="147"/>
    <x v="0"/>
    <n v="1067"/>
    <n v="57"/>
    <n v="0"/>
    <s v="Low"/>
    <n v="0"/>
    <s v="Marion_Inside_UBG_1"/>
    <x v="3"/>
  </r>
  <r>
    <n v="147"/>
    <x v="1"/>
    <n v="1149"/>
    <n v="86"/>
    <n v="0"/>
    <s v="Low"/>
    <n v="0"/>
    <s v="Marion_Inside_UBG_1"/>
    <x v="3"/>
  </r>
  <r>
    <n v="147"/>
    <x v="2"/>
    <n v="1585"/>
    <n v="176"/>
    <n v="0"/>
    <s v="Low"/>
    <n v="0"/>
    <s v="Marion_Inside_UBG_1"/>
    <x v="3"/>
  </r>
  <r>
    <n v="148"/>
    <x v="0"/>
    <n v="575"/>
    <n v="417"/>
    <n v="0"/>
    <s v="Low"/>
    <n v="0"/>
    <s v="Marion_Inside_UBG_1"/>
    <x v="3"/>
  </r>
  <r>
    <n v="148"/>
    <x v="1"/>
    <n v="575"/>
    <n v="417"/>
    <n v="0"/>
    <s v="Low"/>
    <n v="0"/>
    <s v="Marion_Inside_UBG_1"/>
    <x v="3"/>
  </r>
  <r>
    <n v="148"/>
    <x v="2"/>
    <n v="658"/>
    <n v="438"/>
    <n v="0"/>
    <s v="Low"/>
    <n v="0"/>
    <s v="Marion_Inside_UBG_1"/>
    <x v="3"/>
  </r>
  <r>
    <n v="149"/>
    <x v="0"/>
    <n v="128"/>
    <n v="583"/>
    <n v="0"/>
    <s v="Low"/>
    <n v="0"/>
    <s v="Marion_Inside_UBG_1"/>
    <x v="3"/>
  </r>
  <r>
    <n v="149"/>
    <x v="1"/>
    <n v="97"/>
    <n v="715"/>
    <n v="0"/>
    <s v="High"/>
    <n v="812"/>
    <s v="Marion_Inside_UBG_1"/>
    <x v="3"/>
  </r>
  <r>
    <n v="149"/>
    <x v="2"/>
    <n v="94"/>
    <n v="843"/>
    <n v="0"/>
    <s v="High"/>
    <n v="937"/>
    <s v="Marion_Inside_UBG_1"/>
    <x v="3"/>
  </r>
  <r>
    <n v="150"/>
    <x v="0"/>
    <n v="110"/>
    <n v="1436"/>
    <n v="0"/>
    <s v="Low"/>
    <n v="0"/>
    <s v="Marion_Inside_UBG_1"/>
    <x v="3"/>
  </r>
  <r>
    <n v="150"/>
    <x v="1"/>
    <n v="105"/>
    <n v="1650"/>
    <n v="0"/>
    <s v="High"/>
    <n v="1755"/>
    <s v="Marion_Inside_UBG_1"/>
    <x v="3"/>
  </r>
  <r>
    <n v="150"/>
    <x v="2"/>
    <n v="109"/>
    <n v="1712"/>
    <n v="0"/>
    <s v="High"/>
    <n v="1821"/>
    <s v="Marion_Inside_UBG_1"/>
    <x v="3"/>
  </r>
  <r>
    <n v="151"/>
    <x v="0"/>
    <n v="4"/>
    <n v="40"/>
    <n v="0"/>
    <s v="Low"/>
    <n v="0"/>
    <s v="Salem_4"/>
    <x v="1"/>
  </r>
  <r>
    <n v="151"/>
    <x v="1"/>
    <n v="0"/>
    <n v="64"/>
    <n v="0"/>
    <s v="Low"/>
    <n v="0"/>
    <s v="Salem_4"/>
    <x v="1"/>
  </r>
  <r>
    <n v="151"/>
    <x v="2"/>
    <n v="0"/>
    <n v="63"/>
    <n v="0"/>
    <s v="High"/>
    <n v="63"/>
    <s v="Salem_4"/>
    <x v="1"/>
  </r>
  <r>
    <n v="152"/>
    <x v="0"/>
    <n v="38"/>
    <n v="8"/>
    <n v="0"/>
    <s v="Low"/>
    <n v="0"/>
    <s v="Marion_Outside_UGB"/>
    <x v="0"/>
  </r>
  <r>
    <n v="152"/>
    <x v="1"/>
    <n v="38"/>
    <n v="8"/>
    <n v="0"/>
    <s v="Low"/>
    <n v="0"/>
    <s v="Marion_Outside_UGB"/>
    <x v="0"/>
  </r>
  <r>
    <n v="152"/>
    <x v="2"/>
    <n v="36"/>
    <n v="7"/>
    <n v="0"/>
    <s v="Low"/>
    <n v="0"/>
    <s v="Marion_Outside_UGB"/>
    <x v="0"/>
  </r>
  <r>
    <n v="153"/>
    <x v="0"/>
    <n v="48"/>
    <n v="5"/>
    <n v="0"/>
    <s v="Low"/>
    <n v="0"/>
    <s v="Marion_Outside_UGB"/>
    <x v="0"/>
  </r>
  <r>
    <n v="153"/>
    <x v="1"/>
    <n v="48"/>
    <n v="5"/>
    <n v="0"/>
    <s v="Low"/>
    <n v="0"/>
    <s v="Marion_Outside_UGB"/>
    <x v="0"/>
  </r>
  <r>
    <n v="153"/>
    <x v="2"/>
    <n v="49"/>
    <n v="5"/>
    <n v="0"/>
    <s v="Low"/>
    <n v="0"/>
    <s v="Marion_Outside_UGB"/>
    <x v="0"/>
  </r>
  <r>
    <n v="154"/>
    <x v="0"/>
    <n v="894"/>
    <n v="136"/>
    <n v="0"/>
    <s v="Low"/>
    <n v="0"/>
    <s v="Marion_Inside_UBG_1"/>
    <x v="3"/>
  </r>
  <r>
    <n v="154"/>
    <x v="1"/>
    <n v="768"/>
    <n v="299"/>
    <n v="0"/>
    <s v="Low"/>
    <n v="0"/>
    <s v="Marion_Inside_UBG_1"/>
    <x v="3"/>
  </r>
  <r>
    <n v="154"/>
    <x v="2"/>
    <n v="1002"/>
    <n v="299"/>
    <n v="0"/>
    <s v="Low"/>
    <n v="0"/>
    <s v="Marion_Inside_UBG_1"/>
    <x v="3"/>
  </r>
  <r>
    <n v="155"/>
    <x v="0"/>
    <n v="595"/>
    <n v="366"/>
    <n v="0"/>
    <s v="Low"/>
    <n v="0"/>
    <s v="Marion_Inside_UBG_1"/>
    <x v="3"/>
  </r>
  <r>
    <n v="155"/>
    <x v="1"/>
    <n v="500"/>
    <n v="520"/>
    <n v="0"/>
    <s v="Low"/>
    <n v="0"/>
    <s v="Marion_Inside_UBG_1"/>
    <x v="3"/>
  </r>
  <r>
    <n v="155"/>
    <x v="2"/>
    <n v="509"/>
    <n v="597"/>
    <n v="0"/>
    <s v="High"/>
    <n v="1106"/>
    <s v="Marion_Inside_UBG_1"/>
    <x v="3"/>
  </r>
  <r>
    <n v="156"/>
    <x v="0"/>
    <n v="132"/>
    <n v="270"/>
    <n v="0"/>
    <s v="Low"/>
    <n v="0"/>
    <s v="Marion_Inside_UBG_1"/>
    <x v="3"/>
  </r>
  <r>
    <n v="156"/>
    <x v="1"/>
    <n v="195"/>
    <n v="376"/>
    <n v="0"/>
    <s v="High"/>
    <n v="571"/>
    <s v="Marion_Inside_UBG_1"/>
    <x v="3"/>
  </r>
  <r>
    <n v="156"/>
    <x v="2"/>
    <n v="229"/>
    <n v="387"/>
    <n v="0"/>
    <s v="High"/>
    <n v="616"/>
    <s v="Marion_Inside_UBG_1"/>
    <x v="3"/>
  </r>
  <r>
    <n v="158"/>
    <x v="0"/>
    <n v="146"/>
    <n v="576"/>
    <n v="0"/>
    <s v="Low"/>
    <n v="0"/>
    <s v="Salem_4"/>
    <x v="1"/>
  </r>
  <r>
    <n v="158"/>
    <x v="1"/>
    <n v="140"/>
    <n v="688"/>
    <n v="0"/>
    <s v="High"/>
    <n v="828"/>
    <s v="Salem_4"/>
    <x v="1"/>
  </r>
  <r>
    <n v="158"/>
    <x v="2"/>
    <n v="138"/>
    <n v="756"/>
    <n v="0"/>
    <s v="High"/>
    <n v="894"/>
    <s v="Salem_4"/>
    <x v="1"/>
  </r>
  <r>
    <n v="162"/>
    <x v="0"/>
    <n v="63"/>
    <n v="9"/>
    <n v="0"/>
    <s v="Low"/>
    <n v="0"/>
    <s v="Salem_4"/>
    <x v="1"/>
  </r>
  <r>
    <n v="162"/>
    <x v="1"/>
    <n v="38"/>
    <n v="41"/>
    <n v="0"/>
    <s v="High"/>
    <n v="79"/>
    <s v="Salem_4"/>
    <x v="1"/>
  </r>
  <r>
    <n v="162"/>
    <x v="2"/>
    <n v="33"/>
    <n v="36"/>
    <n v="0"/>
    <s v="High"/>
    <n v="69"/>
    <s v="Salem_4"/>
    <x v="1"/>
  </r>
  <r>
    <n v="164"/>
    <x v="0"/>
    <n v="89"/>
    <n v="524"/>
    <n v="0"/>
    <s v="Low"/>
    <n v="0"/>
    <s v="Salem_4"/>
    <x v="1"/>
  </r>
  <r>
    <n v="164"/>
    <x v="1"/>
    <n v="51"/>
    <n v="655"/>
    <n v="0"/>
    <s v="High"/>
    <n v="706"/>
    <s v="Salem_4"/>
    <x v="1"/>
  </r>
  <r>
    <n v="164"/>
    <x v="2"/>
    <n v="52"/>
    <n v="658"/>
    <n v="0"/>
    <s v="High"/>
    <n v="710"/>
    <s v="Salem_4"/>
    <x v="1"/>
  </r>
  <r>
    <n v="168"/>
    <x v="0"/>
    <n v="299"/>
    <n v="117"/>
    <n v="0"/>
    <s v="Low"/>
    <n v="0"/>
    <s v="Salem_4"/>
    <x v="1"/>
  </r>
  <r>
    <n v="168"/>
    <x v="1"/>
    <n v="302"/>
    <n v="219"/>
    <n v="0"/>
    <s v="Low"/>
    <n v="0"/>
    <s v="Salem_4"/>
    <x v="1"/>
  </r>
  <r>
    <n v="168"/>
    <x v="2"/>
    <n v="361"/>
    <n v="273"/>
    <n v="0"/>
    <s v="Low"/>
    <n v="0"/>
    <s v="Salem_4"/>
    <x v="1"/>
  </r>
  <r>
    <n v="169"/>
    <x v="0"/>
    <n v="3"/>
    <n v="1"/>
    <n v="0"/>
    <s v="Low"/>
    <n v="0"/>
    <s v="Marion_Outside_UGB"/>
    <x v="0"/>
  </r>
  <r>
    <n v="169"/>
    <x v="1"/>
    <n v="9"/>
    <n v="0"/>
    <n v="0"/>
    <s v="Low"/>
    <n v="0"/>
    <s v="Marion_Outside_UGB"/>
    <x v="0"/>
  </r>
  <r>
    <n v="169"/>
    <x v="2"/>
    <n v="5"/>
    <n v="0"/>
    <n v="0"/>
    <s v="Low"/>
    <n v="0"/>
    <s v="Marion_Outside_UGB"/>
    <x v="0"/>
  </r>
  <r>
    <n v="170"/>
    <x v="0"/>
    <n v="123"/>
    <n v="33"/>
    <n v="0"/>
    <s v="Low"/>
    <n v="0"/>
    <s v="Marion_Outside_UGB"/>
    <x v="0"/>
  </r>
  <r>
    <n v="170"/>
    <x v="1"/>
    <n v="123"/>
    <n v="33"/>
    <n v="0"/>
    <s v="Low"/>
    <n v="0"/>
    <s v="Marion_Outside_UGB"/>
    <x v="0"/>
  </r>
  <r>
    <n v="170"/>
    <x v="2"/>
    <n v="125"/>
    <n v="33"/>
    <n v="0"/>
    <s v="Low"/>
    <n v="0"/>
    <s v="Marion_Outside_UGB"/>
    <x v="0"/>
  </r>
  <r>
    <n v="171"/>
    <x v="0"/>
    <n v="61"/>
    <n v="0"/>
    <n v="0"/>
    <s v="Low"/>
    <n v="0"/>
    <s v="Marion_Outside_UGB"/>
    <x v="0"/>
  </r>
  <r>
    <n v="171"/>
    <x v="1"/>
    <n v="61"/>
    <n v="0"/>
    <n v="0"/>
    <s v="Low"/>
    <n v="0"/>
    <s v="Marion_Outside_UGB"/>
    <x v="0"/>
  </r>
  <r>
    <n v="171"/>
    <x v="2"/>
    <n v="69"/>
    <n v="0"/>
    <n v="0"/>
    <s v="Low"/>
    <n v="0"/>
    <s v="Marion_Outside_UGB"/>
    <x v="0"/>
  </r>
  <r>
    <n v="172"/>
    <x v="0"/>
    <n v="921"/>
    <n v="165"/>
    <n v="0"/>
    <s v="Low"/>
    <n v="0"/>
    <s v="Salem_4"/>
    <x v="1"/>
  </r>
  <r>
    <n v="172"/>
    <x v="1"/>
    <n v="969"/>
    <n v="184"/>
    <n v="0"/>
    <s v="Low"/>
    <n v="0"/>
    <s v="Salem_4"/>
    <x v="1"/>
  </r>
  <r>
    <n v="172"/>
    <x v="2"/>
    <n v="1042"/>
    <n v="184"/>
    <n v="0"/>
    <s v="Low"/>
    <n v="0"/>
    <s v="Salem_4"/>
    <x v="1"/>
  </r>
  <r>
    <n v="173"/>
    <x v="0"/>
    <n v="425"/>
    <n v="709"/>
    <n v="0"/>
    <s v="Low"/>
    <n v="0"/>
    <s v="Salem_4"/>
    <x v="1"/>
  </r>
  <r>
    <n v="173"/>
    <x v="1"/>
    <n v="429"/>
    <n v="758"/>
    <n v="0"/>
    <s v="High"/>
    <n v="1187"/>
    <s v="Salem_4"/>
    <x v="1"/>
  </r>
  <r>
    <n v="173"/>
    <x v="2"/>
    <n v="421"/>
    <n v="1170"/>
    <n v="0"/>
    <s v="High"/>
    <n v="1591"/>
    <s v="Salem_4"/>
    <x v="1"/>
  </r>
  <r>
    <n v="180"/>
    <x v="0"/>
    <n v="774"/>
    <n v="623"/>
    <n v="0"/>
    <s v="Low"/>
    <n v="0"/>
    <s v="Marion_Inside_UBG_2"/>
    <x v="3"/>
  </r>
  <r>
    <n v="180"/>
    <x v="1"/>
    <n v="924"/>
    <n v="550"/>
    <n v="0"/>
    <s v="High"/>
    <n v="1474"/>
    <s v="Marion_Inside_UBG_2"/>
    <x v="3"/>
  </r>
  <r>
    <n v="180"/>
    <x v="2"/>
    <n v="1134"/>
    <n v="614"/>
    <n v="0"/>
    <s v="High"/>
    <n v="1748"/>
    <s v="Marion_Inside_UBG_2"/>
    <x v="3"/>
  </r>
  <r>
    <n v="185"/>
    <x v="0"/>
    <n v="207"/>
    <n v="6"/>
    <n v="0"/>
    <s v="Low"/>
    <n v="0"/>
    <s v="Marion_Outside_UGB"/>
    <x v="0"/>
  </r>
  <r>
    <n v="185"/>
    <x v="1"/>
    <n v="207"/>
    <n v="6"/>
    <n v="0"/>
    <s v="Low"/>
    <n v="0"/>
    <s v="Marion_Outside_UGB"/>
    <x v="0"/>
  </r>
  <r>
    <n v="185"/>
    <x v="2"/>
    <n v="246"/>
    <n v="5"/>
    <n v="0"/>
    <s v="Low"/>
    <n v="0"/>
    <s v="Marion_Outside_UGB"/>
    <x v="0"/>
  </r>
  <r>
    <n v="186"/>
    <x v="0"/>
    <n v="1"/>
    <n v="0"/>
    <n v="0"/>
    <s v="Low"/>
    <n v="0"/>
    <s v="Marion_Outside_UGB"/>
    <x v="0"/>
  </r>
  <r>
    <n v="186"/>
    <x v="1"/>
    <n v="1"/>
    <n v="0"/>
    <n v="0"/>
    <s v="Low"/>
    <n v="0"/>
    <s v="Marion_Outside_UGB"/>
    <x v="0"/>
  </r>
  <r>
    <n v="186"/>
    <x v="2"/>
    <n v="463"/>
    <n v="0"/>
    <n v="0"/>
    <s v="Low"/>
    <n v="0"/>
    <s v="Marion_Outside_UGB"/>
    <x v="0"/>
  </r>
  <r>
    <n v="189"/>
    <x v="0"/>
    <n v="225"/>
    <n v="321"/>
    <n v="0"/>
    <s v="Low"/>
    <n v="0"/>
    <s v="Marion_Inside_UBG_2"/>
    <x v="3"/>
  </r>
  <r>
    <n v="189"/>
    <x v="1"/>
    <n v="258"/>
    <n v="395"/>
    <n v="0"/>
    <s v="Low"/>
    <n v="0"/>
    <s v="Marion_Inside_UBG_2"/>
    <x v="3"/>
  </r>
  <r>
    <n v="189"/>
    <x v="2"/>
    <n v="472"/>
    <n v="485"/>
    <n v="0"/>
    <s v="High"/>
    <n v="957"/>
    <s v="Marion_Inside_UBG_2"/>
    <x v="3"/>
  </r>
  <r>
    <n v="193"/>
    <x v="0"/>
    <n v="1"/>
    <n v="0"/>
    <n v="0"/>
    <s v="Low"/>
    <n v="0"/>
    <s v="Marion_Outside_UGB"/>
    <x v="0"/>
  </r>
  <r>
    <n v="193"/>
    <x v="1"/>
    <n v="2"/>
    <n v="2"/>
    <n v="0"/>
    <s v="Low"/>
    <n v="0"/>
    <s v="Marion_Outside_UGB"/>
    <x v="0"/>
  </r>
  <r>
    <n v="193"/>
    <x v="2"/>
    <n v="0"/>
    <n v="1"/>
    <n v="0"/>
    <s v="Low"/>
    <n v="0"/>
    <s v="Marion_Outside_UGB"/>
    <x v="0"/>
  </r>
  <r>
    <n v="194"/>
    <x v="0"/>
    <n v="162"/>
    <n v="382"/>
    <n v="0"/>
    <s v="Low"/>
    <n v="0"/>
    <s v="Marion_Inside_UBG_2"/>
    <x v="3"/>
  </r>
  <r>
    <n v="194"/>
    <x v="1"/>
    <n v="170"/>
    <n v="420"/>
    <n v="0"/>
    <s v="Low"/>
    <n v="0"/>
    <s v="Marion_Inside_UBG_2"/>
    <x v="3"/>
  </r>
  <r>
    <n v="194"/>
    <x v="2"/>
    <n v="172"/>
    <n v="458"/>
    <n v="0"/>
    <s v="Low"/>
    <n v="0"/>
    <s v="Marion_Inside_UBG_2"/>
    <x v="3"/>
  </r>
  <r>
    <n v="196"/>
    <x v="0"/>
    <n v="2073"/>
    <n v="800"/>
    <n v="0"/>
    <s v="Low"/>
    <n v="0"/>
    <s v="Marion_Inside_UBG_2"/>
    <x v="3"/>
  </r>
  <r>
    <n v="196"/>
    <x v="1"/>
    <n v="2312"/>
    <n v="1309"/>
    <n v="0"/>
    <s v="Low"/>
    <n v="0"/>
    <s v="Marion_Inside_UBG_2"/>
    <x v="3"/>
  </r>
  <r>
    <n v="196"/>
    <x v="2"/>
    <n v="2324"/>
    <n v="1406"/>
    <n v="0"/>
    <s v="Low"/>
    <n v="0"/>
    <s v="Marion_Inside_UBG_2"/>
    <x v="3"/>
  </r>
  <r>
    <n v="200"/>
    <x v="0"/>
    <n v="118"/>
    <n v="2"/>
    <n v="0"/>
    <s v="Low"/>
    <n v="0"/>
    <s v="Salem_5"/>
    <x v="1"/>
  </r>
  <r>
    <n v="200"/>
    <x v="1"/>
    <n v="147"/>
    <n v="18"/>
    <n v="0"/>
    <s v="High"/>
    <n v="165"/>
    <s v="Salem_5"/>
    <x v="1"/>
  </r>
  <r>
    <n v="200"/>
    <x v="2"/>
    <n v="147"/>
    <n v="18"/>
    <n v="0"/>
    <s v="High"/>
    <n v="165"/>
    <s v="Salem_5"/>
    <x v="1"/>
  </r>
  <r>
    <n v="204"/>
    <x v="0"/>
    <n v="9"/>
    <n v="0"/>
    <n v="0"/>
    <s v="Low"/>
    <n v="0"/>
    <s v="Marion_Outside_UGB"/>
    <x v="0"/>
  </r>
  <r>
    <n v="204"/>
    <x v="1"/>
    <n v="9"/>
    <n v="0"/>
    <n v="0"/>
    <s v="Low"/>
    <n v="0"/>
    <s v="Marion_Outside_UGB"/>
    <x v="0"/>
  </r>
  <r>
    <n v="204"/>
    <x v="2"/>
    <n v="3"/>
    <n v="0"/>
    <n v="0"/>
    <s v="Low"/>
    <n v="0"/>
    <s v="Marion_Outside_UGB"/>
    <x v="0"/>
  </r>
  <r>
    <n v="205"/>
    <x v="0"/>
    <n v="101"/>
    <n v="0"/>
    <n v="0"/>
    <s v="Low"/>
    <n v="0"/>
    <s v="Marion_Outside_UGB"/>
    <x v="0"/>
  </r>
  <r>
    <n v="205"/>
    <x v="1"/>
    <n v="101"/>
    <n v="0"/>
    <n v="0"/>
    <s v="Low"/>
    <n v="0"/>
    <s v="Marion_Outside_UGB"/>
    <x v="0"/>
  </r>
  <r>
    <n v="205"/>
    <x v="2"/>
    <n v="114"/>
    <n v="0"/>
    <n v="0"/>
    <s v="Low"/>
    <n v="0"/>
    <s v="Marion_Outside_UGB"/>
    <x v="0"/>
  </r>
  <r>
    <n v="206"/>
    <x v="0"/>
    <n v="96"/>
    <n v="1"/>
    <n v="0"/>
    <s v="Low"/>
    <n v="0"/>
    <s v="Marion_Outside_UGB"/>
    <x v="0"/>
  </r>
  <r>
    <n v="206"/>
    <x v="1"/>
    <n v="96"/>
    <n v="1"/>
    <n v="0"/>
    <s v="Low"/>
    <n v="0"/>
    <s v="Marion_Outside_UGB"/>
    <x v="0"/>
  </r>
  <r>
    <n v="206"/>
    <x v="2"/>
    <n v="93"/>
    <n v="1"/>
    <n v="0"/>
    <s v="Low"/>
    <n v="0"/>
    <s v="Marion_Outside_UGB"/>
    <x v="0"/>
  </r>
  <r>
    <n v="207"/>
    <x v="0"/>
    <n v="332"/>
    <n v="3"/>
    <n v="0"/>
    <s v="Low"/>
    <n v="0"/>
    <s v="Marion_Outside_UGB"/>
    <x v="0"/>
  </r>
  <r>
    <n v="207"/>
    <x v="1"/>
    <n v="533"/>
    <n v="35"/>
    <n v="0"/>
    <s v="Low"/>
    <n v="0"/>
    <s v="Marion_Outside_UGB"/>
    <x v="0"/>
  </r>
  <r>
    <n v="207"/>
    <x v="2"/>
    <n v="592"/>
    <n v="32"/>
    <n v="0"/>
    <s v="Low"/>
    <n v="0"/>
    <s v="Marion_Outside_UGB"/>
    <x v="0"/>
  </r>
  <r>
    <n v="211"/>
    <x v="0"/>
    <n v="9"/>
    <n v="0"/>
    <n v="0"/>
    <s v="Low"/>
    <n v="0"/>
    <s v="Salem_4"/>
    <x v="1"/>
  </r>
  <r>
    <n v="211"/>
    <x v="1"/>
    <n v="9"/>
    <n v="0"/>
    <n v="0"/>
    <s v="Low"/>
    <n v="0"/>
    <s v="Salem_4"/>
    <x v="1"/>
  </r>
  <r>
    <n v="211"/>
    <x v="2"/>
    <n v="5"/>
    <n v="0"/>
    <n v="0"/>
    <s v="High"/>
    <n v="5"/>
    <s v="Salem_4"/>
    <x v="1"/>
  </r>
  <r>
    <n v="212"/>
    <x v="0"/>
    <n v="5"/>
    <n v="63"/>
    <n v="0"/>
    <s v="Low"/>
    <n v="0"/>
    <s v="Salem_4"/>
    <x v="1"/>
  </r>
  <r>
    <n v="212"/>
    <x v="1"/>
    <n v="3"/>
    <n v="322"/>
    <n v="0"/>
    <s v="High"/>
    <n v="325"/>
    <s v="Salem_4"/>
    <x v="1"/>
  </r>
  <r>
    <n v="212"/>
    <x v="2"/>
    <n v="4"/>
    <n v="368"/>
    <n v="0"/>
    <s v="High"/>
    <n v="372"/>
    <s v="Salem_4"/>
    <x v="1"/>
  </r>
  <r>
    <n v="213"/>
    <x v="0"/>
    <n v="120"/>
    <n v="383"/>
    <n v="0"/>
    <s v="Low"/>
    <n v="0"/>
    <s v="Salem_4"/>
    <x v="1"/>
  </r>
  <r>
    <n v="213"/>
    <x v="1"/>
    <n v="116"/>
    <n v="435"/>
    <n v="0"/>
    <s v="High"/>
    <n v="551"/>
    <s v="Salem_4"/>
    <x v="1"/>
  </r>
  <r>
    <n v="213"/>
    <x v="2"/>
    <n v="112"/>
    <n v="589"/>
    <n v="0"/>
    <s v="High"/>
    <n v="701"/>
    <s v="Salem_4"/>
    <x v="1"/>
  </r>
  <r>
    <n v="214"/>
    <x v="0"/>
    <n v="410"/>
    <n v="508"/>
    <n v="0"/>
    <s v="Low"/>
    <n v="0"/>
    <s v="Salem_4"/>
    <x v="1"/>
  </r>
  <r>
    <n v="214"/>
    <x v="1"/>
    <n v="438"/>
    <n v="507"/>
    <n v="0"/>
    <s v="High"/>
    <n v="945"/>
    <s v="Salem_4"/>
    <x v="1"/>
  </r>
  <r>
    <n v="214"/>
    <x v="2"/>
    <n v="428"/>
    <n v="502"/>
    <n v="0"/>
    <s v="High"/>
    <n v="930"/>
    <s v="Salem_4"/>
    <x v="1"/>
  </r>
  <r>
    <n v="220"/>
    <x v="0"/>
    <n v="8"/>
    <n v="123"/>
    <n v="0"/>
    <s v="Low"/>
    <n v="0"/>
    <s v="Salem_4"/>
    <x v="1"/>
  </r>
  <r>
    <n v="220"/>
    <x v="1"/>
    <n v="8"/>
    <n v="123"/>
    <n v="0"/>
    <s v="Low"/>
    <n v="0"/>
    <s v="Salem_4"/>
    <x v="1"/>
  </r>
  <r>
    <n v="220"/>
    <x v="2"/>
    <n v="8"/>
    <n v="196"/>
    <n v="0"/>
    <s v="High"/>
    <n v="204"/>
    <s v="Salem_4"/>
    <x v="1"/>
  </r>
  <r>
    <n v="221"/>
    <x v="0"/>
    <n v="0"/>
    <n v="1"/>
    <n v="0"/>
    <s v="Low"/>
    <n v="0"/>
    <s v="Salem_4"/>
    <x v="1"/>
  </r>
  <r>
    <n v="221"/>
    <x v="1"/>
    <n v="0"/>
    <n v="1"/>
    <n v="0"/>
    <s v="Low"/>
    <n v="0"/>
    <s v="Salem_4"/>
    <x v="1"/>
  </r>
  <r>
    <n v="221"/>
    <x v="2"/>
    <n v="0"/>
    <n v="1"/>
    <n v="0"/>
    <s v="High"/>
    <n v="1"/>
    <s v="Salem_4"/>
    <x v="1"/>
  </r>
  <r>
    <n v="222"/>
    <x v="0"/>
    <n v="3"/>
    <n v="2"/>
    <n v="0"/>
    <s v="Low"/>
    <n v="0"/>
    <s v="Salem_4"/>
    <x v="1"/>
  </r>
  <r>
    <n v="222"/>
    <x v="1"/>
    <n v="7"/>
    <n v="13"/>
    <n v="0"/>
    <s v="Low"/>
    <n v="0"/>
    <s v="Salem_4"/>
    <x v="1"/>
  </r>
  <r>
    <n v="222"/>
    <x v="2"/>
    <n v="6"/>
    <n v="12"/>
    <n v="0"/>
    <s v="Low"/>
    <n v="0"/>
    <s v="Salem_4"/>
    <x v="1"/>
  </r>
  <r>
    <n v="223"/>
    <x v="0"/>
    <n v="0"/>
    <n v="1"/>
    <n v="0"/>
    <s v="Low"/>
    <n v="0"/>
    <s v="Salem_4"/>
    <x v="1"/>
  </r>
  <r>
    <n v="223"/>
    <x v="1"/>
    <n v="0"/>
    <n v="1"/>
    <n v="0"/>
    <s v="Low"/>
    <n v="0"/>
    <s v="Salem_4"/>
    <x v="1"/>
  </r>
  <r>
    <n v="223"/>
    <x v="2"/>
    <n v="0"/>
    <n v="1"/>
    <n v="0"/>
    <s v="High"/>
    <n v="1"/>
    <s v="Salem_4"/>
    <x v="1"/>
  </r>
  <r>
    <n v="224"/>
    <x v="0"/>
    <n v="0"/>
    <n v="1"/>
    <n v="0"/>
    <s v="Low"/>
    <n v="0"/>
    <s v="Salem_4"/>
    <x v="1"/>
  </r>
  <r>
    <n v="224"/>
    <x v="1"/>
    <n v="0"/>
    <n v="1"/>
    <n v="0"/>
    <s v="High"/>
    <n v="1"/>
    <s v="Salem_4"/>
    <x v="1"/>
  </r>
  <r>
    <n v="224"/>
    <x v="2"/>
    <n v="0"/>
    <n v="1"/>
    <n v="0"/>
    <s v="High"/>
    <n v="1"/>
    <s v="Salem_4"/>
    <x v="1"/>
  </r>
  <r>
    <n v="225"/>
    <x v="0"/>
    <n v="3"/>
    <n v="0"/>
    <n v="0"/>
    <s v="Low"/>
    <n v="0"/>
    <s v="Salem_4"/>
    <x v="1"/>
  </r>
  <r>
    <n v="225"/>
    <x v="1"/>
    <n v="5"/>
    <n v="0"/>
    <n v="0"/>
    <s v="High"/>
    <n v="5"/>
    <s v="Salem_4"/>
    <x v="1"/>
  </r>
  <r>
    <n v="225"/>
    <x v="2"/>
    <n v="5"/>
    <n v="66"/>
    <n v="0"/>
    <s v="High"/>
    <n v="71"/>
    <s v="Salem_4"/>
    <x v="1"/>
  </r>
  <r>
    <n v="226"/>
    <x v="0"/>
    <n v="54"/>
    <n v="62"/>
    <n v="0"/>
    <s v="Low"/>
    <n v="0"/>
    <s v="Salem_4"/>
    <x v="1"/>
  </r>
  <r>
    <n v="226"/>
    <x v="1"/>
    <n v="61"/>
    <n v="55"/>
    <n v="0"/>
    <s v="Low"/>
    <n v="0"/>
    <s v="Salem_4"/>
    <x v="1"/>
  </r>
  <r>
    <n v="226"/>
    <x v="2"/>
    <n v="60"/>
    <n v="68"/>
    <n v="0"/>
    <s v="Low"/>
    <n v="0"/>
    <s v="Salem_4"/>
    <x v="1"/>
  </r>
  <r>
    <n v="227"/>
    <x v="0"/>
    <n v="234"/>
    <n v="248"/>
    <n v="0"/>
    <s v="Low"/>
    <n v="0"/>
    <s v="Salem_3"/>
    <x v="1"/>
  </r>
  <r>
    <n v="227"/>
    <x v="1"/>
    <n v="235"/>
    <n v="299"/>
    <n v="0"/>
    <s v="High"/>
    <n v="534"/>
    <s v="Salem_3"/>
    <x v="1"/>
  </r>
  <r>
    <n v="227"/>
    <x v="2"/>
    <n v="234"/>
    <n v="325"/>
    <n v="0"/>
    <s v="High"/>
    <n v="559"/>
    <s v="Salem_3"/>
    <x v="1"/>
  </r>
  <r>
    <n v="229"/>
    <x v="0"/>
    <n v="44"/>
    <n v="26"/>
    <n v="0"/>
    <s v="Low"/>
    <n v="0"/>
    <s v="Salem_4"/>
    <x v="1"/>
  </r>
  <r>
    <n v="229"/>
    <x v="1"/>
    <n v="45"/>
    <n v="28"/>
    <n v="0"/>
    <s v="High"/>
    <n v="73"/>
    <s v="Salem_4"/>
    <x v="1"/>
  </r>
  <r>
    <n v="229"/>
    <x v="2"/>
    <n v="41"/>
    <n v="40"/>
    <n v="0"/>
    <s v="High"/>
    <n v="81"/>
    <s v="Salem_4"/>
    <x v="1"/>
  </r>
  <r>
    <n v="230"/>
    <x v="0"/>
    <n v="105"/>
    <n v="56"/>
    <n v="0"/>
    <s v="Low"/>
    <n v="0"/>
    <s v="Salem_4"/>
    <x v="1"/>
  </r>
  <r>
    <n v="230"/>
    <x v="1"/>
    <n v="219"/>
    <n v="113"/>
    <n v="0"/>
    <s v="Low"/>
    <n v="0"/>
    <s v="Salem_4"/>
    <x v="1"/>
  </r>
  <r>
    <n v="230"/>
    <x v="2"/>
    <n v="219"/>
    <n v="113"/>
    <n v="0"/>
    <s v="Low"/>
    <n v="0"/>
    <s v="Salem_4"/>
    <x v="1"/>
  </r>
  <r>
    <n v="231"/>
    <x v="0"/>
    <n v="128"/>
    <n v="38"/>
    <n v="0"/>
    <s v="Low"/>
    <n v="0"/>
    <s v="Salem_4"/>
    <x v="1"/>
  </r>
  <r>
    <n v="231"/>
    <x v="1"/>
    <n v="138"/>
    <n v="28"/>
    <n v="0"/>
    <s v="Low"/>
    <n v="0"/>
    <s v="Salem_4"/>
    <x v="1"/>
  </r>
  <r>
    <n v="231"/>
    <x v="2"/>
    <n v="139"/>
    <n v="28"/>
    <n v="0"/>
    <s v="Low"/>
    <n v="0"/>
    <s v="Salem_4"/>
    <x v="1"/>
  </r>
  <r>
    <n v="232"/>
    <x v="0"/>
    <n v="365"/>
    <n v="111"/>
    <n v="0"/>
    <s v="Low"/>
    <n v="0"/>
    <s v="Salem_3"/>
    <x v="1"/>
  </r>
  <r>
    <n v="232"/>
    <x v="1"/>
    <n v="401"/>
    <n v="86"/>
    <n v="0"/>
    <s v="High"/>
    <n v="487"/>
    <s v="Salem_3"/>
    <x v="1"/>
  </r>
  <r>
    <n v="232"/>
    <x v="2"/>
    <n v="396"/>
    <n v="104"/>
    <n v="0"/>
    <s v="High"/>
    <n v="500"/>
    <s v="Salem_3"/>
    <x v="1"/>
  </r>
  <r>
    <n v="233"/>
    <x v="0"/>
    <n v="117"/>
    <n v="71"/>
    <n v="0"/>
    <s v="Low"/>
    <n v="0"/>
    <s v="Salem_4"/>
    <x v="1"/>
  </r>
  <r>
    <n v="233"/>
    <x v="1"/>
    <n v="123"/>
    <n v="73"/>
    <n v="0"/>
    <s v="Low"/>
    <n v="0"/>
    <s v="Salem_4"/>
    <x v="1"/>
  </r>
  <r>
    <n v="233"/>
    <x v="2"/>
    <n v="121"/>
    <n v="84"/>
    <n v="0"/>
    <s v="Low"/>
    <n v="0"/>
    <s v="Salem_4"/>
    <x v="1"/>
  </r>
  <r>
    <n v="234"/>
    <x v="0"/>
    <n v="64"/>
    <n v="75"/>
    <n v="0"/>
    <s v="Low"/>
    <n v="0"/>
    <s v="Salem_4"/>
    <x v="1"/>
  </r>
  <r>
    <n v="234"/>
    <x v="1"/>
    <n v="100"/>
    <n v="108"/>
    <n v="0"/>
    <s v="High"/>
    <n v="208"/>
    <s v="Salem_4"/>
    <x v="1"/>
  </r>
  <r>
    <n v="234"/>
    <x v="2"/>
    <n v="98"/>
    <n v="107"/>
    <n v="0"/>
    <s v="High"/>
    <n v="205"/>
    <s v="Salem_4"/>
    <x v="1"/>
  </r>
  <r>
    <n v="235"/>
    <x v="0"/>
    <n v="39"/>
    <n v="42"/>
    <n v="0"/>
    <s v="Low"/>
    <n v="0"/>
    <s v="Salem_4"/>
    <x v="1"/>
  </r>
  <r>
    <n v="235"/>
    <x v="1"/>
    <n v="47"/>
    <n v="37"/>
    <n v="0"/>
    <s v="High"/>
    <n v="84"/>
    <s v="Salem_4"/>
    <x v="1"/>
  </r>
  <r>
    <n v="235"/>
    <x v="2"/>
    <n v="45"/>
    <n v="35"/>
    <n v="0"/>
    <s v="High"/>
    <n v="80"/>
    <s v="Salem_4"/>
    <x v="1"/>
  </r>
  <r>
    <n v="236"/>
    <x v="0"/>
    <n v="16"/>
    <n v="43"/>
    <n v="0"/>
    <s v="Low"/>
    <n v="0"/>
    <s v="Salem_4"/>
    <x v="1"/>
  </r>
  <r>
    <n v="236"/>
    <x v="1"/>
    <n v="11"/>
    <n v="52"/>
    <n v="0"/>
    <s v="High"/>
    <n v="63"/>
    <s v="Salem_4"/>
    <x v="1"/>
  </r>
  <r>
    <n v="236"/>
    <x v="2"/>
    <n v="11"/>
    <n v="49"/>
    <n v="0"/>
    <s v="High"/>
    <n v="60"/>
    <s v="Salem_4"/>
    <x v="1"/>
  </r>
  <r>
    <n v="237"/>
    <x v="0"/>
    <n v="94"/>
    <n v="162"/>
    <n v="0"/>
    <s v="Low"/>
    <n v="0"/>
    <s v="Salem_4"/>
    <x v="1"/>
  </r>
  <r>
    <n v="237"/>
    <x v="1"/>
    <n v="99"/>
    <n v="312"/>
    <n v="0"/>
    <s v="High"/>
    <n v="411"/>
    <s v="Salem_4"/>
    <x v="1"/>
  </r>
  <r>
    <n v="237"/>
    <x v="2"/>
    <n v="99"/>
    <n v="352"/>
    <n v="0"/>
    <s v="High"/>
    <n v="451"/>
    <s v="Salem_4"/>
    <x v="1"/>
  </r>
  <r>
    <n v="238"/>
    <x v="0"/>
    <n v="133"/>
    <n v="206"/>
    <n v="0"/>
    <s v="Low"/>
    <n v="0"/>
    <s v="Salem_3"/>
    <x v="1"/>
  </r>
  <r>
    <n v="238"/>
    <x v="1"/>
    <n v="156"/>
    <n v="188"/>
    <n v="0"/>
    <s v="High"/>
    <n v="344"/>
    <s v="Salem_3"/>
    <x v="1"/>
  </r>
  <r>
    <n v="238"/>
    <x v="2"/>
    <n v="155"/>
    <n v="355"/>
    <n v="0"/>
    <s v="High"/>
    <n v="510"/>
    <s v="Salem_3"/>
    <x v="1"/>
  </r>
  <r>
    <n v="242"/>
    <x v="0"/>
    <n v="191"/>
    <n v="98"/>
    <n v="0"/>
    <s v="Low"/>
    <n v="0"/>
    <s v="Salem_4"/>
    <x v="1"/>
  </r>
  <r>
    <n v="242"/>
    <x v="1"/>
    <n v="195"/>
    <n v="120"/>
    <n v="0"/>
    <s v="High"/>
    <n v="315"/>
    <s v="Salem_4"/>
    <x v="1"/>
  </r>
  <r>
    <n v="242"/>
    <x v="2"/>
    <n v="197"/>
    <n v="167"/>
    <n v="0"/>
    <s v="High"/>
    <n v="364"/>
    <s v="Salem_4"/>
    <x v="1"/>
  </r>
  <r>
    <n v="243"/>
    <x v="0"/>
    <n v="0"/>
    <n v="1"/>
    <n v="0"/>
    <s v="Low"/>
    <n v="0"/>
    <s v="Salem_4"/>
    <x v="1"/>
  </r>
  <r>
    <n v="243"/>
    <x v="1"/>
    <n v="0"/>
    <n v="1"/>
    <n v="0"/>
    <s v="High"/>
    <n v="1"/>
    <s v="Salem_4"/>
    <x v="1"/>
  </r>
  <r>
    <n v="243"/>
    <x v="2"/>
    <n v="0"/>
    <n v="1"/>
    <n v="0"/>
    <s v="High"/>
    <n v="1"/>
    <s v="Salem_4"/>
    <x v="1"/>
  </r>
  <r>
    <n v="244"/>
    <x v="0"/>
    <n v="284"/>
    <n v="33"/>
    <n v="0"/>
    <s v="Low"/>
    <n v="0"/>
    <s v="Salem_4"/>
    <x v="1"/>
  </r>
  <r>
    <n v="244"/>
    <x v="1"/>
    <n v="289"/>
    <n v="36"/>
    <n v="0"/>
    <s v="High"/>
    <n v="325"/>
    <s v="Salem_4"/>
    <x v="1"/>
  </r>
  <r>
    <n v="244"/>
    <x v="2"/>
    <n v="292"/>
    <n v="36"/>
    <n v="0"/>
    <s v="High"/>
    <n v="328"/>
    <s v="Salem_4"/>
    <x v="1"/>
  </r>
  <r>
    <n v="245"/>
    <x v="0"/>
    <n v="234"/>
    <n v="63"/>
    <n v="0"/>
    <s v="Low"/>
    <n v="0"/>
    <s v="Salem_4"/>
    <x v="1"/>
  </r>
  <r>
    <n v="245"/>
    <x v="1"/>
    <n v="262"/>
    <n v="43"/>
    <n v="0"/>
    <s v="High"/>
    <n v="305"/>
    <s v="Salem_4"/>
    <x v="1"/>
  </r>
  <r>
    <n v="245"/>
    <x v="2"/>
    <n v="260"/>
    <n v="49"/>
    <n v="0"/>
    <s v="High"/>
    <n v="309"/>
    <s v="Salem_4"/>
    <x v="1"/>
  </r>
  <r>
    <n v="246"/>
    <x v="0"/>
    <n v="124"/>
    <n v="69"/>
    <n v="0"/>
    <s v="Low"/>
    <n v="0"/>
    <s v="Salem_4"/>
    <x v="1"/>
  </r>
  <r>
    <n v="246"/>
    <x v="1"/>
    <n v="139"/>
    <n v="71"/>
    <n v="0"/>
    <s v="High"/>
    <n v="210"/>
    <s v="Salem_4"/>
    <x v="1"/>
  </r>
  <r>
    <n v="246"/>
    <x v="2"/>
    <n v="133"/>
    <n v="75"/>
    <n v="0"/>
    <s v="High"/>
    <n v="208"/>
    <s v="Salem_4"/>
    <x v="1"/>
  </r>
  <r>
    <n v="249"/>
    <x v="0"/>
    <n v="28"/>
    <n v="240"/>
    <n v="0"/>
    <s v="Low"/>
    <n v="0"/>
    <s v="Salem_3"/>
    <x v="1"/>
  </r>
  <r>
    <n v="249"/>
    <x v="1"/>
    <n v="39"/>
    <n v="713"/>
    <n v="0"/>
    <s v="High"/>
    <n v="752"/>
    <s v="Salem_3"/>
    <x v="1"/>
  </r>
  <r>
    <n v="249"/>
    <x v="2"/>
    <n v="38"/>
    <n v="1534"/>
    <n v="0"/>
    <s v="High"/>
    <n v="1572"/>
    <s v="Salem_3"/>
    <x v="1"/>
  </r>
  <r>
    <n v="254"/>
    <x v="0"/>
    <n v="393"/>
    <n v="223"/>
    <n v="0"/>
    <s v="Low"/>
    <n v="0"/>
    <s v="Salem_4"/>
    <x v="1"/>
  </r>
  <r>
    <n v="254"/>
    <x v="1"/>
    <n v="437"/>
    <n v="219"/>
    <n v="0"/>
    <s v="High"/>
    <n v="656"/>
    <s v="Salem_4"/>
    <x v="1"/>
  </r>
  <r>
    <n v="254"/>
    <x v="2"/>
    <n v="430"/>
    <n v="222"/>
    <n v="0"/>
    <s v="High"/>
    <n v="652"/>
    <s v="Salem_4"/>
    <x v="1"/>
  </r>
  <r>
    <n v="256"/>
    <x v="0"/>
    <n v="272"/>
    <n v="282"/>
    <n v="0"/>
    <s v="Low"/>
    <n v="0"/>
    <s v="Salem_4"/>
    <x v="1"/>
  </r>
  <r>
    <n v="256"/>
    <x v="1"/>
    <n v="291"/>
    <n v="275"/>
    <n v="0"/>
    <s v="High"/>
    <n v="566"/>
    <s v="Salem_4"/>
    <x v="1"/>
  </r>
  <r>
    <n v="256"/>
    <x v="2"/>
    <n v="291"/>
    <n v="336"/>
    <n v="0"/>
    <s v="High"/>
    <n v="627"/>
    <s v="Salem_4"/>
    <x v="1"/>
  </r>
  <r>
    <n v="257"/>
    <x v="0"/>
    <n v="130"/>
    <n v="136"/>
    <n v="0"/>
    <s v="Low"/>
    <n v="0"/>
    <s v="Salem_4"/>
    <x v="1"/>
  </r>
  <r>
    <n v="257"/>
    <x v="1"/>
    <n v="130"/>
    <n v="136"/>
    <n v="0"/>
    <s v="High"/>
    <n v="266"/>
    <s v="Salem_4"/>
    <x v="1"/>
  </r>
  <r>
    <n v="257"/>
    <x v="2"/>
    <n v="128"/>
    <n v="139"/>
    <n v="0"/>
    <s v="High"/>
    <n v="267"/>
    <s v="Salem_4"/>
    <x v="1"/>
  </r>
  <r>
    <n v="258"/>
    <x v="0"/>
    <n v="21"/>
    <n v="10"/>
    <n v="0"/>
    <s v="Low"/>
    <n v="0"/>
    <s v="Salem_4"/>
    <x v="1"/>
  </r>
  <r>
    <n v="258"/>
    <x v="1"/>
    <n v="26"/>
    <n v="5"/>
    <n v="0"/>
    <s v="High"/>
    <n v="31"/>
    <s v="Salem_4"/>
    <x v="1"/>
  </r>
  <r>
    <n v="258"/>
    <x v="2"/>
    <n v="26"/>
    <n v="5"/>
    <n v="0"/>
    <s v="High"/>
    <n v="31"/>
    <s v="Salem_4"/>
    <x v="1"/>
  </r>
  <r>
    <n v="259"/>
    <x v="0"/>
    <n v="5"/>
    <n v="12"/>
    <n v="0"/>
    <s v="Low"/>
    <n v="0"/>
    <s v="Salem_4"/>
    <x v="1"/>
  </r>
  <r>
    <n v="259"/>
    <x v="1"/>
    <n v="5"/>
    <n v="12"/>
    <n v="0"/>
    <s v="High"/>
    <n v="17"/>
    <s v="Salem_4"/>
    <x v="1"/>
  </r>
  <r>
    <n v="259"/>
    <x v="2"/>
    <n v="6"/>
    <n v="43"/>
    <n v="0"/>
    <s v="High"/>
    <n v="49"/>
    <s v="Salem_4"/>
    <x v="1"/>
  </r>
  <r>
    <n v="260"/>
    <x v="0"/>
    <n v="0"/>
    <n v="93"/>
    <n v="2008"/>
    <s v="Low"/>
    <n v="0"/>
    <s v="Salem_4"/>
    <x v="1"/>
  </r>
  <r>
    <n v="260"/>
    <x v="1"/>
    <n v="1"/>
    <n v="96"/>
    <n v="1721"/>
    <s v="High"/>
    <n v="97"/>
    <s v="Salem_4"/>
    <x v="1"/>
  </r>
  <r>
    <n v="260"/>
    <x v="2"/>
    <n v="0"/>
    <n v="100"/>
    <n v="1983"/>
    <s v="High"/>
    <n v="100"/>
    <s v="Salem_4"/>
    <x v="1"/>
  </r>
  <r>
    <n v="261"/>
    <x v="0"/>
    <n v="63"/>
    <n v="82"/>
    <n v="0"/>
    <s v="Low"/>
    <n v="0"/>
    <s v="Salem_3"/>
    <x v="1"/>
  </r>
  <r>
    <n v="261"/>
    <x v="1"/>
    <n v="63"/>
    <n v="82"/>
    <n v="0"/>
    <s v="High"/>
    <n v="145"/>
    <s v="Salem_3"/>
    <x v="1"/>
  </r>
  <r>
    <n v="261"/>
    <x v="2"/>
    <n v="55"/>
    <n v="75"/>
    <n v="0"/>
    <s v="High"/>
    <n v="130"/>
    <s v="Salem_3"/>
    <x v="1"/>
  </r>
  <r>
    <n v="279"/>
    <x v="0"/>
    <n v="0"/>
    <n v="1"/>
    <n v="0"/>
    <s v="Low"/>
    <n v="0"/>
    <s v="Salem_5"/>
    <x v="1"/>
  </r>
  <r>
    <n v="279"/>
    <x v="1"/>
    <n v="0"/>
    <n v="1"/>
    <n v="0"/>
    <s v="Low"/>
    <n v="0"/>
    <s v="Salem_5"/>
    <x v="1"/>
  </r>
  <r>
    <n v="279"/>
    <x v="2"/>
    <n v="0"/>
    <n v="1"/>
    <n v="0"/>
    <s v="Low"/>
    <n v="0"/>
    <s v="Salem_5"/>
    <x v="1"/>
  </r>
  <r>
    <n v="280"/>
    <x v="0"/>
    <n v="2"/>
    <n v="4"/>
    <n v="0"/>
    <s v="Low"/>
    <n v="0"/>
    <s v="Salem_5"/>
    <x v="1"/>
  </r>
  <r>
    <n v="280"/>
    <x v="1"/>
    <n v="3"/>
    <n v="6"/>
    <n v="0"/>
    <s v="High"/>
    <n v="9"/>
    <s v="Salem_5"/>
    <x v="1"/>
  </r>
  <r>
    <n v="280"/>
    <x v="2"/>
    <n v="1"/>
    <n v="1"/>
    <n v="0"/>
    <s v="High"/>
    <n v="2"/>
    <s v="Salem_5"/>
    <x v="1"/>
  </r>
  <r>
    <n v="281"/>
    <x v="0"/>
    <n v="0"/>
    <n v="1"/>
    <n v="0"/>
    <s v="Low"/>
    <n v="0"/>
    <s v="Salem_5"/>
    <x v="1"/>
  </r>
  <r>
    <n v="281"/>
    <x v="1"/>
    <n v="0"/>
    <n v="82"/>
    <n v="0"/>
    <s v="High"/>
    <n v="82"/>
    <s v="Salem_5"/>
    <x v="1"/>
  </r>
  <r>
    <n v="281"/>
    <x v="2"/>
    <n v="0"/>
    <n v="125"/>
    <n v="0"/>
    <s v="High"/>
    <n v="125"/>
    <s v="Salem_5"/>
    <x v="1"/>
  </r>
  <r>
    <n v="282"/>
    <x v="0"/>
    <n v="59"/>
    <n v="11"/>
    <n v="0"/>
    <s v="Low"/>
    <n v="0"/>
    <s v="Salem_4"/>
    <x v="1"/>
  </r>
  <r>
    <n v="282"/>
    <x v="1"/>
    <n v="74"/>
    <n v="3"/>
    <n v="0"/>
    <s v="Low"/>
    <n v="0"/>
    <s v="Salem_4"/>
    <x v="1"/>
  </r>
  <r>
    <n v="282"/>
    <x v="2"/>
    <n v="73"/>
    <n v="3"/>
    <n v="0"/>
    <s v="Low"/>
    <n v="0"/>
    <s v="Salem_4"/>
    <x v="1"/>
  </r>
  <r>
    <n v="283"/>
    <x v="0"/>
    <n v="356"/>
    <n v="23"/>
    <n v="0"/>
    <s v="Low"/>
    <n v="0"/>
    <s v="Salem_4"/>
    <x v="1"/>
  </r>
  <r>
    <n v="283"/>
    <x v="1"/>
    <n v="369"/>
    <n v="36"/>
    <n v="0"/>
    <s v="Low"/>
    <n v="0"/>
    <s v="Salem_4"/>
    <x v="1"/>
  </r>
  <r>
    <n v="283"/>
    <x v="2"/>
    <n v="365"/>
    <n v="36"/>
    <n v="0"/>
    <s v="Low"/>
    <n v="0"/>
    <s v="Salem_4"/>
    <x v="1"/>
  </r>
  <r>
    <n v="284"/>
    <x v="0"/>
    <n v="503"/>
    <n v="109"/>
    <n v="0"/>
    <s v="Low"/>
    <n v="0"/>
    <s v="Salem_4"/>
    <x v="1"/>
  </r>
  <r>
    <n v="284"/>
    <x v="1"/>
    <n v="555"/>
    <n v="216"/>
    <n v="0"/>
    <s v="Low"/>
    <n v="0"/>
    <s v="Salem_4"/>
    <x v="1"/>
  </r>
  <r>
    <n v="284"/>
    <x v="2"/>
    <n v="557"/>
    <n v="371"/>
    <n v="0"/>
    <s v="Low"/>
    <n v="0"/>
    <s v="Salem_4"/>
    <x v="1"/>
  </r>
  <r>
    <n v="285"/>
    <x v="0"/>
    <n v="281"/>
    <n v="24"/>
    <n v="0"/>
    <s v="Low"/>
    <n v="0"/>
    <s v="Salem_4"/>
    <x v="1"/>
  </r>
  <r>
    <n v="285"/>
    <x v="1"/>
    <n v="299"/>
    <n v="12"/>
    <n v="0"/>
    <s v="Low"/>
    <n v="0"/>
    <s v="Salem_4"/>
    <x v="1"/>
  </r>
  <r>
    <n v="285"/>
    <x v="2"/>
    <n v="303"/>
    <n v="23"/>
    <n v="0"/>
    <s v="Low"/>
    <n v="0"/>
    <s v="Salem_4"/>
    <x v="1"/>
  </r>
  <r>
    <n v="286"/>
    <x v="0"/>
    <n v="351"/>
    <n v="780"/>
    <n v="0"/>
    <s v="Low"/>
    <n v="0"/>
    <s v="Salem_4"/>
    <x v="1"/>
  </r>
  <r>
    <n v="286"/>
    <x v="1"/>
    <n v="355"/>
    <n v="835"/>
    <n v="0"/>
    <s v="High"/>
    <n v="1190"/>
    <s v="Salem_4"/>
    <x v="1"/>
  </r>
  <r>
    <n v="286"/>
    <x v="2"/>
    <n v="352"/>
    <n v="925"/>
    <n v="0"/>
    <s v="High"/>
    <n v="1277"/>
    <s v="Salem_4"/>
    <x v="1"/>
  </r>
  <r>
    <n v="289"/>
    <x v="0"/>
    <n v="343"/>
    <n v="14"/>
    <n v="0"/>
    <s v="Low"/>
    <n v="0"/>
    <s v="Salem_4"/>
    <x v="1"/>
  </r>
  <r>
    <n v="289"/>
    <x v="1"/>
    <n v="343"/>
    <n v="14"/>
    <n v="0"/>
    <s v="Low"/>
    <n v="0"/>
    <s v="Salem_4"/>
    <x v="1"/>
  </r>
  <r>
    <n v="289"/>
    <x v="2"/>
    <n v="344"/>
    <n v="38"/>
    <n v="0"/>
    <s v="Low"/>
    <n v="0"/>
    <s v="Salem_4"/>
    <x v="1"/>
  </r>
  <r>
    <n v="290"/>
    <x v="0"/>
    <n v="269"/>
    <n v="20"/>
    <n v="0"/>
    <s v="Low"/>
    <n v="0"/>
    <s v="Salem_4"/>
    <x v="1"/>
  </r>
  <r>
    <n v="290"/>
    <x v="1"/>
    <n v="269"/>
    <n v="20"/>
    <n v="0"/>
    <s v="Low"/>
    <n v="0"/>
    <s v="Salem_4"/>
    <x v="1"/>
  </r>
  <r>
    <n v="290"/>
    <x v="2"/>
    <n v="273"/>
    <n v="27"/>
    <n v="0"/>
    <s v="High"/>
    <n v="300"/>
    <s v="Salem_4"/>
    <x v="1"/>
  </r>
  <r>
    <n v="294"/>
    <x v="0"/>
    <n v="0"/>
    <n v="1"/>
    <n v="0"/>
    <s v="Low"/>
    <n v="0"/>
    <s v="Salem_4"/>
    <x v="1"/>
  </r>
  <r>
    <n v="294"/>
    <x v="1"/>
    <n v="0"/>
    <n v="1"/>
    <n v="0"/>
    <s v="High"/>
    <n v="1"/>
    <s v="Salem_4"/>
    <x v="1"/>
  </r>
  <r>
    <n v="294"/>
    <x v="2"/>
    <n v="44"/>
    <n v="189"/>
    <n v="0"/>
    <s v="High"/>
    <n v="233"/>
    <s v="Salem_4"/>
    <x v="1"/>
  </r>
  <r>
    <n v="295"/>
    <x v="0"/>
    <n v="192"/>
    <n v="99"/>
    <n v="0"/>
    <s v="Low"/>
    <n v="0"/>
    <s v="Salem_4"/>
    <x v="1"/>
  </r>
  <r>
    <n v="295"/>
    <x v="1"/>
    <n v="184"/>
    <n v="128"/>
    <n v="0"/>
    <s v="Low"/>
    <n v="0"/>
    <s v="Salem_4"/>
    <x v="1"/>
  </r>
  <r>
    <n v="295"/>
    <x v="2"/>
    <n v="190"/>
    <n v="155"/>
    <n v="0"/>
    <s v="High"/>
    <n v="345"/>
    <s v="Salem_4"/>
    <x v="1"/>
  </r>
  <r>
    <n v="296"/>
    <x v="0"/>
    <n v="0"/>
    <n v="1"/>
    <n v="0"/>
    <s v="Low"/>
    <n v="0"/>
    <s v="Salem_4"/>
    <x v="1"/>
  </r>
  <r>
    <n v="296"/>
    <x v="1"/>
    <n v="0"/>
    <n v="1"/>
    <n v="0"/>
    <s v="High"/>
    <n v="1"/>
    <s v="Salem_4"/>
    <x v="1"/>
  </r>
  <r>
    <n v="296"/>
    <x v="2"/>
    <n v="0"/>
    <n v="1"/>
    <n v="0"/>
    <s v="High"/>
    <n v="1"/>
    <s v="Salem_4"/>
    <x v="1"/>
  </r>
  <r>
    <n v="298"/>
    <x v="0"/>
    <n v="289"/>
    <n v="149"/>
    <n v="0"/>
    <s v="Low"/>
    <n v="0"/>
    <s v="Salem_4"/>
    <x v="1"/>
  </r>
  <r>
    <n v="298"/>
    <x v="1"/>
    <n v="308"/>
    <n v="152"/>
    <n v="0"/>
    <s v="High"/>
    <n v="460"/>
    <s v="Salem_4"/>
    <x v="1"/>
  </r>
  <r>
    <n v="298"/>
    <x v="2"/>
    <n v="308"/>
    <n v="174"/>
    <n v="0"/>
    <s v="High"/>
    <n v="482"/>
    <s v="Salem_4"/>
    <x v="1"/>
  </r>
  <r>
    <n v="299"/>
    <x v="0"/>
    <n v="0"/>
    <n v="1"/>
    <n v="0"/>
    <s v="Low"/>
    <n v="0"/>
    <s v="Salem_4"/>
    <x v="1"/>
  </r>
  <r>
    <n v="299"/>
    <x v="1"/>
    <n v="0"/>
    <n v="1"/>
    <n v="0"/>
    <s v="Low"/>
    <n v="0"/>
    <s v="Salem_4"/>
    <x v="1"/>
  </r>
  <r>
    <n v="299"/>
    <x v="2"/>
    <n v="0"/>
    <n v="1"/>
    <n v="0"/>
    <s v="Low"/>
    <n v="0"/>
    <s v="Salem_4"/>
    <x v="1"/>
  </r>
  <r>
    <n v="300"/>
    <x v="0"/>
    <n v="171"/>
    <n v="21"/>
    <n v="0"/>
    <s v="Low"/>
    <n v="0"/>
    <s v="Salem_4"/>
    <x v="1"/>
  </r>
  <r>
    <n v="300"/>
    <x v="1"/>
    <n v="180"/>
    <n v="22"/>
    <n v="0"/>
    <s v="Low"/>
    <n v="0"/>
    <s v="Salem_4"/>
    <x v="1"/>
  </r>
  <r>
    <n v="300"/>
    <x v="2"/>
    <n v="181"/>
    <n v="22"/>
    <n v="0"/>
    <s v="Low"/>
    <n v="0"/>
    <s v="Salem_4"/>
    <x v="1"/>
  </r>
  <r>
    <n v="301"/>
    <x v="0"/>
    <n v="328"/>
    <n v="148"/>
    <n v="0"/>
    <s v="Low"/>
    <n v="0"/>
    <s v="Salem_4"/>
    <x v="1"/>
  </r>
  <r>
    <n v="301"/>
    <x v="1"/>
    <n v="328"/>
    <n v="148"/>
    <n v="0"/>
    <s v="High"/>
    <n v="476"/>
    <s v="Salem_4"/>
    <x v="1"/>
  </r>
  <r>
    <n v="301"/>
    <x v="2"/>
    <n v="328"/>
    <n v="155"/>
    <n v="0"/>
    <s v="High"/>
    <n v="483"/>
    <s v="Salem_4"/>
    <x v="1"/>
  </r>
  <r>
    <n v="302"/>
    <x v="0"/>
    <n v="136"/>
    <n v="56"/>
    <n v="0"/>
    <s v="Low"/>
    <n v="0"/>
    <s v="Salem_4"/>
    <x v="1"/>
  </r>
  <r>
    <n v="302"/>
    <x v="1"/>
    <n v="136"/>
    <n v="56"/>
    <n v="0"/>
    <s v="High"/>
    <n v="192"/>
    <s v="Salem_4"/>
    <x v="1"/>
  </r>
  <r>
    <n v="302"/>
    <x v="2"/>
    <n v="135"/>
    <n v="70"/>
    <n v="0"/>
    <s v="High"/>
    <n v="205"/>
    <s v="Salem_4"/>
    <x v="1"/>
  </r>
  <r>
    <n v="303"/>
    <x v="0"/>
    <n v="216"/>
    <n v="275"/>
    <n v="0"/>
    <s v="Low"/>
    <n v="0"/>
    <s v="Salem_4"/>
    <x v="1"/>
  </r>
  <r>
    <n v="303"/>
    <x v="1"/>
    <n v="216"/>
    <n v="275"/>
    <n v="0"/>
    <s v="High"/>
    <n v="491"/>
    <s v="Salem_4"/>
    <x v="1"/>
  </r>
  <r>
    <n v="303"/>
    <x v="2"/>
    <n v="216"/>
    <n v="276"/>
    <n v="0"/>
    <s v="High"/>
    <n v="492"/>
    <s v="Salem_4"/>
    <x v="1"/>
  </r>
  <r>
    <n v="304"/>
    <x v="0"/>
    <n v="0"/>
    <n v="33"/>
    <n v="0"/>
    <s v="Low"/>
    <n v="0"/>
    <s v="Salem_4"/>
    <x v="1"/>
  </r>
  <r>
    <n v="304"/>
    <x v="1"/>
    <n v="0"/>
    <n v="33"/>
    <n v="0"/>
    <s v="High"/>
    <n v="33"/>
    <s v="Salem_4"/>
    <x v="1"/>
  </r>
  <r>
    <n v="304"/>
    <x v="2"/>
    <n v="0"/>
    <n v="36"/>
    <n v="0"/>
    <s v="High"/>
    <n v="36"/>
    <s v="Salem_4"/>
    <x v="1"/>
  </r>
  <r>
    <n v="309"/>
    <x v="0"/>
    <n v="18"/>
    <n v="207"/>
    <n v="0"/>
    <s v="Low"/>
    <n v="0"/>
    <s v="Salem_5"/>
    <x v="1"/>
  </r>
  <r>
    <n v="309"/>
    <x v="1"/>
    <n v="21"/>
    <n v="214"/>
    <n v="0"/>
    <s v="High"/>
    <n v="235"/>
    <s v="Salem_5"/>
    <x v="1"/>
  </r>
  <r>
    <n v="309"/>
    <x v="2"/>
    <n v="22"/>
    <n v="256"/>
    <n v="0"/>
    <s v="High"/>
    <n v="278"/>
    <s v="Salem_5"/>
    <x v="1"/>
  </r>
  <r>
    <n v="310"/>
    <x v="0"/>
    <n v="471"/>
    <n v="371"/>
    <n v="0"/>
    <s v="Low"/>
    <n v="0"/>
    <s v="Salem_5"/>
    <x v="1"/>
  </r>
  <r>
    <n v="310"/>
    <x v="1"/>
    <n v="471"/>
    <n v="371"/>
    <n v="0"/>
    <s v="High"/>
    <n v="842"/>
    <s v="Salem_5"/>
    <x v="1"/>
  </r>
  <r>
    <n v="310"/>
    <x v="2"/>
    <n v="465"/>
    <n v="410"/>
    <n v="0"/>
    <s v="High"/>
    <n v="875"/>
    <s v="Salem_5"/>
    <x v="1"/>
  </r>
  <r>
    <n v="312"/>
    <x v="0"/>
    <n v="21"/>
    <n v="44"/>
    <n v="0"/>
    <s v="Low"/>
    <n v="0"/>
    <s v="Salem_5"/>
    <x v="1"/>
  </r>
  <r>
    <n v="312"/>
    <x v="1"/>
    <n v="21"/>
    <n v="44"/>
    <n v="0"/>
    <s v="High"/>
    <n v="65"/>
    <s v="Salem_5"/>
    <x v="1"/>
  </r>
  <r>
    <n v="312"/>
    <x v="2"/>
    <n v="21"/>
    <n v="45"/>
    <n v="0"/>
    <s v="High"/>
    <n v="66"/>
    <s v="Salem_5"/>
    <x v="1"/>
  </r>
  <r>
    <n v="313"/>
    <x v="0"/>
    <n v="227"/>
    <n v="140"/>
    <n v="0"/>
    <s v="Low"/>
    <n v="0"/>
    <s v="Salem_5"/>
    <x v="1"/>
  </r>
  <r>
    <n v="313"/>
    <x v="1"/>
    <n v="228"/>
    <n v="176"/>
    <n v="0"/>
    <s v="High"/>
    <n v="404"/>
    <s v="Salem_5"/>
    <x v="1"/>
  </r>
  <r>
    <n v="313"/>
    <x v="2"/>
    <n v="218"/>
    <n v="175"/>
    <n v="0"/>
    <s v="High"/>
    <n v="393"/>
    <s v="Salem_5"/>
    <x v="1"/>
  </r>
  <r>
    <n v="314"/>
    <x v="0"/>
    <n v="428"/>
    <n v="246"/>
    <n v="0"/>
    <s v="Low"/>
    <n v="0"/>
    <s v="Salem_5"/>
    <x v="1"/>
  </r>
  <r>
    <n v="314"/>
    <x v="1"/>
    <n v="442"/>
    <n v="271"/>
    <n v="0"/>
    <s v="Low"/>
    <n v="0"/>
    <s v="Salem_5"/>
    <x v="1"/>
  </r>
  <r>
    <n v="314"/>
    <x v="2"/>
    <n v="441"/>
    <n v="271"/>
    <n v="0"/>
    <s v="Low"/>
    <n v="0"/>
    <s v="Salem_5"/>
    <x v="1"/>
  </r>
  <r>
    <n v="322"/>
    <x v="0"/>
    <n v="326"/>
    <n v="148"/>
    <n v="0"/>
    <s v="Low"/>
    <n v="0"/>
    <s v="Salem_5"/>
    <x v="1"/>
  </r>
  <r>
    <n v="322"/>
    <x v="1"/>
    <n v="470"/>
    <n v="132"/>
    <n v="0"/>
    <s v="Low"/>
    <n v="0"/>
    <s v="Salem_5"/>
    <x v="1"/>
  </r>
  <r>
    <n v="322"/>
    <x v="2"/>
    <n v="476"/>
    <n v="127"/>
    <n v="0"/>
    <s v="Low"/>
    <n v="0"/>
    <s v="Salem_5"/>
    <x v="1"/>
  </r>
  <r>
    <n v="323"/>
    <x v="0"/>
    <n v="2"/>
    <n v="0"/>
    <n v="0"/>
    <s v="Low"/>
    <n v="0"/>
    <s v="Salem_5"/>
    <x v="1"/>
  </r>
  <r>
    <n v="323"/>
    <x v="1"/>
    <n v="2"/>
    <n v="0"/>
    <n v="0"/>
    <s v="High"/>
    <n v="2"/>
    <s v="Salem_5"/>
    <x v="1"/>
  </r>
  <r>
    <n v="323"/>
    <x v="2"/>
    <n v="1"/>
    <n v="3"/>
    <n v="0"/>
    <s v="High"/>
    <n v="4"/>
    <s v="Salem_5"/>
    <x v="1"/>
  </r>
  <r>
    <n v="324"/>
    <x v="0"/>
    <n v="674"/>
    <n v="280"/>
    <n v="0"/>
    <s v="Low"/>
    <n v="0"/>
    <s v="Salem_5"/>
    <x v="1"/>
  </r>
  <r>
    <n v="324"/>
    <x v="1"/>
    <n v="674"/>
    <n v="280"/>
    <n v="0"/>
    <s v="Low"/>
    <n v="0"/>
    <s v="Salem_5"/>
    <x v="1"/>
  </r>
  <r>
    <n v="324"/>
    <x v="2"/>
    <n v="667"/>
    <n v="273"/>
    <n v="0"/>
    <s v="Low"/>
    <n v="0"/>
    <s v="Salem_5"/>
    <x v="1"/>
  </r>
  <r>
    <n v="330"/>
    <x v="0"/>
    <n v="97"/>
    <n v="233"/>
    <n v="0"/>
    <s v="Low"/>
    <n v="0"/>
    <s v="Salem_5"/>
    <x v="1"/>
  </r>
  <r>
    <n v="330"/>
    <x v="1"/>
    <n v="97"/>
    <n v="233"/>
    <n v="0"/>
    <s v="High"/>
    <n v="330"/>
    <s v="Salem_5"/>
    <x v="1"/>
  </r>
  <r>
    <n v="330"/>
    <x v="2"/>
    <n v="105"/>
    <n v="266"/>
    <n v="0"/>
    <s v="High"/>
    <n v="371"/>
    <s v="Salem_5"/>
    <x v="1"/>
  </r>
  <r>
    <n v="332"/>
    <x v="0"/>
    <n v="171"/>
    <n v="226"/>
    <n v="0"/>
    <s v="Low"/>
    <n v="0"/>
    <s v="Salem_5"/>
    <x v="1"/>
  </r>
  <r>
    <n v="332"/>
    <x v="1"/>
    <n v="171"/>
    <n v="226"/>
    <n v="0"/>
    <s v="Low"/>
    <n v="0"/>
    <s v="Salem_5"/>
    <x v="1"/>
  </r>
  <r>
    <n v="332"/>
    <x v="2"/>
    <n v="173"/>
    <n v="229"/>
    <n v="0"/>
    <s v="Low"/>
    <n v="0"/>
    <s v="Salem_5"/>
    <x v="1"/>
  </r>
  <r>
    <n v="333"/>
    <x v="0"/>
    <n v="235"/>
    <n v="0"/>
    <n v="0"/>
    <s v="Low"/>
    <n v="0"/>
    <s v="Salem_5"/>
    <x v="1"/>
  </r>
  <r>
    <n v="333"/>
    <x v="1"/>
    <n v="235"/>
    <n v="0"/>
    <n v="0"/>
    <s v="Low"/>
    <n v="0"/>
    <s v="Salem_5"/>
    <x v="1"/>
  </r>
  <r>
    <n v="333"/>
    <x v="2"/>
    <n v="235"/>
    <n v="12"/>
    <n v="0"/>
    <s v="Low"/>
    <n v="0"/>
    <s v="Salem_5"/>
    <x v="1"/>
  </r>
  <r>
    <n v="334"/>
    <x v="0"/>
    <n v="524"/>
    <n v="107"/>
    <n v="0"/>
    <s v="Low"/>
    <n v="0"/>
    <s v="Salem_5"/>
    <x v="1"/>
  </r>
  <r>
    <n v="334"/>
    <x v="1"/>
    <n v="524"/>
    <n v="107"/>
    <n v="0"/>
    <s v="Low"/>
    <n v="0"/>
    <s v="Salem_5"/>
    <x v="1"/>
  </r>
  <r>
    <n v="334"/>
    <x v="2"/>
    <n v="542"/>
    <n v="222"/>
    <n v="0"/>
    <s v="Low"/>
    <n v="0"/>
    <s v="Salem_5"/>
    <x v="1"/>
  </r>
  <r>
    <n v="335"/>
    <x v="0"/>
    <n v="429"/>
    <n v="793"/>
    <n v="0"/>
    <s v="Low"/>
    <n v="0"/>
    <s v="Salem_5"/>
    <x v="1"/>
  </r>
  <r>
    <n v="335"/>
    <x v="1"/>
    <n v="483"/>
    <n v="758"/>
    <n v="0"/>
    <s v="High"/>
    <n v="1241"/>
    <s v="Salem_5"/>
    <x v="1"/>
  </r>
  <r>
    <n v="335"/>
    <x v="2"/>
    <n v="508"/>
    <n v="873"/>
    <n v="0"/>
    <s v="High"/>
    <n v="1381"/>
    <s v="Salem_5"/>
    <x v="1"/>
  </r>
  <r>
    <n v="336"/>
    <x v="0"/>
    <n v="330"/>
    <n v="430"/>
    <n v="0"/>
    <s v="Low"/>
    <n v="0"/>
    <s v="Salem_5"/>
    <x v="1"/>
  </r>
  <r>
    <n v="336"/>
    <x v="1"/>
    <n v="330"/>
    <n v="430"/>
    <n v="0"/>
    <s v="High"/>
    <n v="760"/>
    <s v="Salem_5"/>
    <x v="1"/>
  </r>
  <r>
    <n v="336"/>
    <x v="2"/>
    <n v="329"/>
    <n v="465"/>
    <n v="0"/>
    <s v="High"/>
    <n v="794"/>
    <s v="Salem_5"/>
    <x v="1"/>
  </r>
  <r>
    <n v="338"/>
    <x v="0"/>
    <n v="329"/>
    <n v="149"/>
    <n v="0"/>
    <s v="Low"/>
    <n v="0"/>
    <s v="Salem_5"/>
    <x v="1"/>
  </r>
  <r>
    <n v="338"/>
    <x v="1"/>
    <n v="358"/>
    <n v="232"/>
    <n v="0"/>
    <s v="Low"/>
    <n v="0"/>
    <s v="Salem_5"/>
    <x v="1"/>
  </r>
  <r>
    <n v="338"/>
    <x v="2"/>
    <n v="367"/>
    <n v="241"/>
    <n v="0"/>
    <s v="Low"/>
    <n v="0"/>
    <s v="Salem_5"/>
    <x v="1"/>
  </r>
  <r>
    <n v="345"/>
    <x v="0"/>
    <n v="319"/>
    <n v="3"/>
    <n v="0"/>
    <s v="Low"/>
    <n v="0"/>
    <s v="Salem_5"/>
    <x v="1"/>
  </r>
  <r>
    <n v="345"/>
    <x v="1"/>
    <n v="319"/>
    <n v="3"/>
    <n v="0"/>
    <s v="Low"/>
    <n v="0"/>
    <s v="Salem_5"/>
    <x v="1"/>
  </r>
  <r>
    <n v="345"/>
    <x v="2"/>
    <n v="439"/>
    <n v="4"/>
    <n v="0"/>
    <s v="Low"/>
    <n v="0"/>
    <s v="Salem_5"/>
    <x v="1"/>
  </r>
  <r>
    <n v="346"/>
    <x v="0"/>
    <n v="130"/>
    <n v="0"/>
    <n v="0"/>
    <s v="Low"/>
    <n v="0"/>
    <s v="Salem_5"/>
    <x v="1"/>
  </r>
  <r>
    <n v="346"/>
    <x v="1"/>
    <n v="130"/>
    <n v="0"/>
    <n v="0"/>
    <s v="Low"/>
    <n v="0"/>
    <s v="Salem_5"/>
    <x v="1"/>
  </r>
  <r>
    <n v="346"/>
    <x v="2"/>
    <n v="161"/>
    <n v="0"/>
    <n v="0"/>
    <s v="Low"/>
    <n v="0"/>
    <s v="Salem_5"/>
    <x v="1"/>
  </r>
  <r>
    <n v="347"/>
    <x v="0"/>
    <n v="417"/>
    <n v="91"/>
    <n v="0"/>
    <s v="Low"/>
    <n v="0"/>
    <s v="Salem_5"/>
    <x v="1"/>
  </r>
  <r>
    <n v="347"/>
    <x v="1"/>
    <n v="410"/>
    <n v="122"/>
    <n v="0"/>
    <s v="Low"/>
    <n v="0"/>
    <s v="Salem_5"/>
    <x v="1"/>
  </r>
  <r>
    <n v="347"/>
    <x v="2"/>
    <n v="409"/>
    <n v="167"/>
    <n v="0"/>
    <s v="Low"/>
    <n v="0"/>
    <s v="Salem_5"/>
    <x v="1"/>
  </r>
  <r>
    <n v="350"/>
    <x v="0"/>
    <n v="636"/>
    <n v="179"/>
    <n v="0"/>
    <s v="Low"/>
    <n v="0"/>
    <s v="Salem_5"/>
    <x v="1"/>
  </r>
  <r>
    <n v="350"/>
    <x v="1"/>
    <n v="701"/>
    <n v="144"/>
    <n v="0"/>
    <s v="Low"/>
    <n v="0"/>
    <s v="Salem_5"/>
    <x v="1"/>
  </r>
  <r>
    <n v="350"/>
    <x v="2"/>
    <n v="704"/>
    <n v="164"/>
    <n v="0"/>
    <s v="Low"/>
    <n v="0"/>
    <s v="Salem_5"/>
    <x v="1"/>
  </r>
  <r>
    <n v="354"/>
    <x v="0"/>
    <n v="35"/>
    <n v="385"/>
    <n v="0"/>
    <s v="Low"/>
    <n v="0"/>
    <s v="Salem_5"/>
    <x v="1"/>
  </r>
  <r>
    <n v="354"/>
    <x v="1"/>
    <n v="106"/>
    <n v="422"/>
    <n v="0"/>
    <s v="Low"/>
    <n v="0"/>
    <s v="Salem_5"/>
    <x v="1"/>
  </r>
  <r>
    <n v="354"/>
    <x v="2"/>
    <n v="577"/>
    <n v="2176"/>
    <n v="0"/>
    <s v="Low"/>
    <n v="0"/>
    <s v="Salem_5"/>
    <x v="1"/>
  </r>
  <r>
    <n v="357"/>
    <x v="0"/>
    <n v="817"/>
    <n v="320"/>
    <n v="0"/>
    <s v="Low"/>
    <n v="0"/>
    <s v="Salem_5"/>
    <x v="1"/>
  </r>
  <r>
    <n v="357"/>
    <x v="1"/>
    <n v="924"/>
    <n v="322"/>
    <n v="0"/>
    <s v="Low"/>
    <n v="0"/>
    <s v="Salem_5"/>
    <x v="1"/>
  </r>
  <r>
    <n v="357"/>
    <x v="2"/>
    <n v="969"/>
    <n v="743"/>
    <n v="0"/>
    <s v="Low"/>
    <n v="0"/>
    <s v="Salem_5"/>
    <x v="1"/>
  </r>
  <r>
    <n v="358"/>
    <x v="0"/>
    <n v="324"/>
    <n v="3"/>
    <n v="0"/>
    <s v="Low"/>
    <n v="0"/>
    <s v="Salem_5"/>
    <x v="1"/>
  </r>
  <r>
    <n v="358"/>
    <x v="1"/>
    <n v="324"/>
    <n v="3"/>
    <n v="0"/>
    <s v="Low"/>
    <n v="0"/>
    <s v="Salem_5"/>
    <x v="1"/>
  </r>
  <r>
    <n v="358"/>
    <x v="2"/>
    <n v="337"/>
    <n v="42"/>
    <n v="0"/>
    <s v="Low"/>
    <n v="0"/>
    <s v="Salem_5"/>
    <x v="1"/>
  </r>
  <r>
    <n v="359"/>
    <x v="0"/>
    <n v="401"/>
    <n v="196"/>
    <n v="0"/>
    <s v="Low"/>
    <n v="0"/>
    <s v="Salem_5"/>
    <x v="1"/>
  </r>
  <r>
    <n v="359"/>
    <x v="1"/>
    <n v="406"/>
    <n v="228"/>
    <n v="0"/>
    <s v="Low"/>
    <n v="0"/>
    <s v="Salem_5"/>
    <x v="1"/>
  </r>
  <r>
    <n v="359"/>
    <x v="2"/>
    <n v="405"/>
    <n v="228"/>
    <n v="0"/>
    <s v="Low"/>
    <n v="0"/>
    <s v="Salem_5"/>
    <x v="1"/>
  </r>
  <r>
    <n v="360"/>
    <x v="0"/>
    <n v="401"/>
    <n v="50"/>
    <n v="0"/>
    <s v="Low"/>
    <n v="0"/>
    <s v="Salem_5"/>
    <x v="1"/>
  </r>
  <r>
    <n v="360"/>
    <x v="1"/>
    <n v="401"/>
    <n v="50"/>
    <n v="0"/>
    <s v="Low"/>
    <n v="0"/>
    <s v="Salem_5"/>
    <x v="1"/>
  </r>
  <r>
    <n v="360"/>
    <x v="2"/>
    <n v="403"/>
    <n v="82"/>
    <n v="0"/>
    <s v="Low"/>
    <n v="0"/>
    <s v="Salem_5"/>
    <x v="1"/>
  </r>
  <r>
    <n v="361"/>
    <x v="0"/>
    <n v="119"/>
    <n v="1"/>
    <n v="0"/>
    <s v="Low"/>
    <n v="0"/>
    <s v="Salem_5"/>
    <x v="1"/>
  </r>
  <r>
    <n v="361"/>
    <x v="1"/>
    <n v="181"/>
    <n v="0"/>
    <n v="0"/>
    <s v="Low"/>
    <n v="0"/>
    <s v="Salem_5"/>
    <x v="1"/>
  </r>
  <r>
    <n v="361"/>
    <x v="2"/>
    <n v="181"/>
    <n v="0"/>
    <n v="0"/>
    <s v="Low"/>
    <n v="0"/>
    <s v="Salem_5"/>
    <x v="1"/>
  </r>
  <r>
    <n v="362"/>
    <x v="0"/>
    <n v="1"/>
    <n v="1"/>
    <n v="0"/>
    <s v="Low"/>
    <n v="0"/>
    <s v="Salem_5"/>
    <x v="1"/>
  </r>
  <r>
    <n v="362"/>
    <x v="1"/>
    <n v="3"/>
    <n v="0"/>
    <n v="0"/>
    <s v="Low"/>
    <n v="0"/>
    <s v="Salem_5"/>
    <x v="1"/>
  </r>
  <r>
    <n v="362"/>
    <x v="2"/>
    <n v="0"/>
    <n v="1"/>
    <n v="0"/>
    <s v="Low"/>
    <n v="0"/>
    <s v="Salem_5"/>
    <x v="1"/>
  </r>
  <r>
    <n v="363"/>
    <x v="0"/>
    <n v="719"/>
    <n v="191"/>
    <n v="0"/>
    <s v="Low"/>
    <n v="0"/>
    <s v="Salem_5"/>
    <x v="1"/>
  </r>
  <r>
    <n v="363"/>
    <x v="1"/>
    <n v="676"/>
    <n v="237"/>
    <n v="0"/>
    <s v="Low"/>
    <n v="0"/>
    <s v="Salem_5"/>
    <x v="1"/>
  </r>
  <r>
    <n v="363"/>
    <x v="2"/>
    <n v="674"/>
    <n v="268"/>
    <n v="0"/>
    <s v="Low"/>
    <n v="0"/>
    <s v="Salem_5"/>
    <x v="1"/>
  </r>
  <r>
    <n v="365"/>
    <x v="0"/>
    <n v="185"/>
    <n v="87"/>
    <n v="0"/>
    <s v="Low"/>
    <n v="0"/>
    <s v="Salem_5"/>
    <x v="1"/>
  </r>
  <r>
    <n v="365"/>
    <x v="1"/>
    <n v="192"/>
    <n v="103"/>
    <n v="0"/>
    <s v="Low"/>
    <n v="0"/>
    <s v="Salem_5"/>
    <x v="1"/>
  </r>
  <r>
    <n v="365"/>
    <x v="2"/>
    <n v="191"/>
    <n v="103"/>
    <n v="0"/>
    <s v="Low"/>
    <n v="0"/>
    <s v="Salem_5"/>
    <x v="1"/>
  </r>
  <r>
    <n v="366"/>
    <x v="0"/>
    <n v="410"/>
    <n v="378"/>
    <n v="0"/>
    <s v="Low"/>
    <n v="0"/>
    <s v="Salem_5"/>
    <x v="1"/>
  </r>
  <r>
    <n v="366"/>
    <x v="1"/>
    <n v="347"/>
    <n v="737"/>
    <n v="0"/>
    <s v="High"/>
    <n v="1084"/>
    <s v="Salem_5"/>
    <x v="1"/>
  </r>
  <r>
    <n v="366"/>
    <x v="2"/>
    <n v="341"/>
    <n v="800"/>
    <n v="0"/>
    <s v="High"/>
    <n v="1141"/>
    <s v="Salem_5"/>
    <x v="1"/>
  </r>
  <r>
    <n v="368"/>
    <x v="0"/>
    <n v="727"/>
    <n v="409"/>
    <n v="0"/>
    <s v="Low"/>
    <n v="0"/>
    <s v="Salem_5"/>
    <x v="1"/>
  </r>
  <r>
    <n v="368"/>
    <x v="1"/>
    <n v="727"/>
    <n v="409"/>
    <n v="0"/>
    <s v="Low"/>
    <n v="0"/>
    <s v="Salem_5"/>
    <x v="1"/>
  </r>
  <r>
    <n v="368"/>
    <x v="2"/>
    <n v="730"/>
    <n v="477"/>
    <n v="0"/>
    <s v="High"/>
    <n v="1207"/>
    <s v="Salem_5"/>
    <x v="1"/>
  </r>
  <r>
    <n v="373"/>
    <x v="0"/>
    <n v="608"/>
    <n v="141"/>
    <n v="0"/>
    <s v="Low"/>
    <n v="0"/>
    <s v="Salem_5"/>
    <x v="1"/>
  </r>
  <r>
    <n v="373"/>
    <x v="1"/>
    <n v="797"/>
    <n v="89"/>
    <n v="0"/>
    <s v="Low"/>
    <n v="0"/>
    <s v="Salem_5"/>
    <x v="1"/>
  </r>
  <r>
    <n v="373"/>
    <x v="2"/>
    <n v="1346"/>
    <n v="348"/>
    <n v="0"/>
    <s v="High"/>
    <n v="1694"/>
    <s v="Salem_5"/>
    <x v="1"/>
  </r>
  <r>
    <n v="374"/>
    <x v="0"/>
    <n v="356"/>
    <n v="19"/>
    <n v="0"/>
    <s v="Low"/>
    <n v="0"/>
    <s v="Salem_5"/>
    <x v="1"/>
  </r>
  <r>
    <n v="374"/>
    <x v="1"/>
    <n v="487"/>
    <n v="306"/>
    <n v="0"/>
    <s v="Low"/>
    <n v="0"/>
    <s v="Salem_5"/>
    <x v="1"/>
  </r>
  <r>
    <n v="374"/>
    <x v="2"/>
    <n v="502"/>
    <n v="598"/>
    <n v="0"/>
    <s v="High"/>
    <n v="1100"/>
    <s v="Salem_5"/>
    <x v="1"/>
  </r>
  <r>
    <n v="376"/>
    <x v="0"/>
    <n v="264"/>
    <n v="224"/>
    <n v="0"/>
    <s v="Low"/>
    <n v="0"/>
    <s v="Salem_5"/>
    <x v="1"/>
  </r>
  <r>
    <n v="376"/>
    <x v="1"/>
    <n v="226"/>
    <n v="299"/>
    <n v="0"/>
    <s v="High"/>
    <n v="525"/>
    <s v="Salem_5"/>
    <x v="1"/>
  </r>
  <r>
    <n v="376"/>
    <x v="2"/>
    <n v="227"/>
    <n v="301"/>
    <n v="0"/>
    <s v="High"/>
    <n v="528"/>
    <s v="Salem_5"/>
    <x v="1"/>
  </r>
  <r>
    <n v="378"/>
    <x v="0"/>
    <n v="562"/>
    <n v="56"/>
    <n v="0"/>
    <s v="Low"/>
    <n v="0"/>
    <s v="Salem_5"/>
    <x v="1"/>
  </r>
  <r>
    <n v="378"/>
    <x v="1"/>
    <n v="742"/>
    <n v="0"/>
    <n v="0"/>
    <s v="Low"/>
    <n v="0"/>
    <s v="Salem_5"/>
    <x v="1"/>
  </r>
  <r>
    <n v="378"/>
    <x v="2"/>
    <n v="757"/>
    <n v="0"/>
    <n v="0"/>
    <s v="Low"/>
    <n v="0"/>
    <s v="Salem_5"/>
    <x v="1"/>
  </r>
  <r>
    <n v="379"/>
    <x v="0"/>
    <n v="464"/>
    <n v="14"/>
    <n v="0"/>
    <s v="Low"/>
    <n v="0"/>
    <s v="Salem_5"/>
    <x v="1"/>
  </r>
  <r>
    <n v="379"/>
    <x v="1"/>
    <n v="464"/>
    <n v="14"/>
    <n v="0"/>
    <s v="Low"/>
    <n v="0"/>
    <s v="Salem_5"/>
    <x v="1"/>
  </r>
  <r>
    <n v="379"/>
    <x v="2"/>
    <n v="464"/>
    <n v="14"/>
    <n v="0"/>
    <s v="Low"/>
    <n v="0"/>
    <s v="Salem_5"/>
    <x v="1"/>
  </r>
  <r>
    <n v="380"/>
    <x v="0"/>
    <n v="953"/>
    <n v="130"/>
    <n v="0"/>
    <s v="Low"/>
    <n v="0"/>
    <s v="Salem_5"/>
    <x v="1"/>
  </r>
  <r>
    <n v="380"/>
    <x v="1"/>
    <n v="974"/>
    <n v="146"/>
    <n v="0"/>
    <s v="Low"/>
    <n v="0"/>
    <s v="Salem_5"/>
    <x v="1"/>
  </r>
  <r>
    <n v="380"/>
    <x v="2"/>
    <n v="994"/>
    <n v="149"/>
    <n v="0"/>
    <s v="Low"/>
    <n v="0"/>
    <s v="Salem_5"/>
    <x v="1"/>
  </r>
  <r>
    <n v="381"/>
    <x v="0"/>
    <n v="0"/>
    <n v="47"/>
    <n v="0"/>
    <s v="Low"/>
    <n v="0"/>
    <s v="Salem_5"/>
    <x v="1"/>
  </r>
  <r>
    <n v="381"/>
    <x v="1"/>
    <n v="0"/>
    <n v="47"/>
    <n v="0"/>
    <s v="High"/>
    <n v="47"/>
    <s v="Salem_5"/>
    <x v="1"/>
  </r>
  <r>
    <n v="381"/>
    <x v="2"/>
    <n v="0"/>
    <n v="92"/>
    <n v="0"/>
    <s v="High"/>
    <n v="92"/>
    <s v="Salem_5"/>
    <x v="1"/>
  </r>
  <r>
    <n v="382"/>
    <x v="0"/>
    <n v="124"/>
    <n v="2"/>
    <n v="0"/>
    <s v="Low"/>
    <n v="0"/>
    <s v="Salem_5"/>
    <x v="1"/>
  </r>
  <r>
    <n v="382"/>
    <x v="1"/>
    <n v="629"/>
    <n v="6"/>
    <n v="0"/>
    <s v="Low"/>
    <n v="0"/>
    <s v="Salem_5"/>
    <x v="1"/>
  </r>
  <r>
    <n v="382"/>
    <x v="2"/>
    <n v="852"/>
    <n v="150"/>
    <n v="0"/>
    <s v="Low"/>
    <n v="0"/>
    <s v="Salem_5"/>
    <x v="1"/>
  </r>
  <r>
    <n v="383"/>
    <x v="0"/>
    <n v="259"/>
    <n v="19"/>
    <n v="0"/>
    <s v="Low"/>
    <n v="0"/>
    <s v="Salem_5"/>
    <x v="1"/>
  </r>
  <r>
    <n v="383"/>
    <x v="1"/>
    <n v="591"/>
    <n v="0"/>
    <n v="0"/>
    <s v="Low"/>
    <n v="0"/>
    <s v="Salem_5"/>
    <x v="1"/>
  </r>
  <r>
    <n v="383"/>
    <x v="2"/>
    <n v="850"/>
    <n v="0"/>
    <n v="0"/>
    <s v="Low"/>
    <n v="0"/>
    <s v="Salem_5"/>
    <x v="1"/>
  </r>
  <r>
    <n v="384"/>
    <x v="0"/>
    <n v="414"/>
    <n v="223"/>
    <n v="0"/>
    <s v="Low"/>
    <n v="0"/>
    <s v="Salem_5"/>
    <x v="1"/>
  </r>
  <r>
    <n v="384"/>
    <x v="1"/>
    <n v="440"/>
    <n v="206"/>
    <n v="0"/>
    <s v="Low"/>
    <n v="0"/>
    <s v="Salem_5"/>
    <x v="1"/>
  </r>
  <r>
    <n v="384"/>
    <x v="2"/>
    <n v="438"/>
    <n v="347"/>
    <n v="0"/>
    <s v="High"/>
    <n v="785"/>
    <s v="Salem_5"/>
    <x v="1"/>
  </r>
  <r>
    <n v="388"/>
    <x v="0"/>
    <n v="10"/>
    <n v="2"/>
    <n v="0"/>
    <s v="Low"/>
    <n v="0"/>
    <s v="Salem_5"/>
    <x v="1"/>
  </r>
  <r>
    <n v="388"/>
    <x v="1"/>
    <n v="121"/>
    <n v="1"/>
    <n v="0"/>
    <s v="Low"/>
    <n v="0"/>
    <s v="Salem_5"/>
    <x v="1"/>
  </r>
  <r>
    <n v="388"/>
    <x v="2"/>
    <n v="318"/>
    <n v="186"/>
    <n v="0"/>
    <s v="Low"/>
    <n v="0"/>
    <s v="Salem_5"/>
    <x v="1"/>
  </r>
  <r>
    <n v="389"/>
    <x v="0"/>
    <n v="63"/>
    <n v="798"/>
    <n v="0"/>
    <s v="Low"/>
    <n v="0"/>
    <s v="Salem_5"/>
    <x v="1"/>
  </r>
  <r>
    <n v="389"/>
    <x v="1"/>
    <n v="274"/>
    <n v="869"/>
    <n v="0"/>
    <s v="High"/>
    <n v="1143"/>
    <s v="Salem_5"/>
    <x v="1"/>
  </r>
  <r>
    <n v="389"/>
    <x v="2"/>
    <n v="401"/>
    <n v="937"/>
    <n v="0"/>
    <s v="High"/>
    <n v="1338"/>
    <s v="Salem_5"/>
    <x v="1"/>
  </r>
  <r>
    <n v="390"/>
    <x v="0"/>
    <n v="622"/>
    <n v="646"/>
    <n v="0"/>
    <s v="Low"/>
    <n v="0"/>
    <s v="Salem_5"/>
    <x v="1"/>
  </r>
  <r>
    <n v="390"/>
    <x v="1"/>
    <n v="802"/>
    <n v="656"/>
    <n v="0"/>
    <s v="Low"/>
    <n v="0"/>
    <s v="Salem_5"/>
    <x v="1"/>
  </r>
  <r>
    <n v="390"/>
    <x v="2"/>
    <n v="805"/>
    <n v="658"/>
    <n v="0"/>
    <s v="Low"/>
    <n v="0"/>
    <s v="Salem_5"/>
    <x v="1"/>
  </r>
  <r>
    <n v="395"/>
    <x v="0"/>
    <n v="67"/>
    <n v="11"/>
    <n v="653"/>
    <s v="Low"/>
    <n v="0"/>
    <s v="Salem_5"/>
    <x v="1"/>
  </r>
  <r>
    <n v="395"/>
    <x v="1"/>
    <n v="14"/>
    <n v="97"/>
    <n v="754"/>
    <s v="Low"/>
    <n v="0"/>
    <s v="Salem_5"/>
    <x v="1"/>
  </r>
  <r>
    <n v="395"/>
    <x v="2"/>
    <n v="8"/>
    <n v="165"/>
    <n v="1057"/>
    <s v="Low"/>
    <n v="0"/>
    <s v="Salem_5"/>
    <x v="1"/>
  </r>
  <r>
    <n v="396"/>
    <x v="0"/>
    <n v="213"/>
    <n v="757"/>
    <n v="0"/>
    <s v="Low"/>
    <n v="0"/>
    <s v="Salem_5"/>
    <x v="1"/>
  </r>
  <r>
    <n v="396"/>
    <x v="1"/>
    <n v="213"/>
    <n v="757"/>
    <n v="0"/>
    <s v="Low"/>
    <n v="0"/>
    <s v="Salem_5"/>
    <x v="1"/>
  </r>
  <r>
    <n v="396"/>
    <x v="2"/>
    <n v="214"/>
    <n v="759"/>
    <n v="0"/>
    <s v="Low"/>
    <n v="0"/>
    <s v="Salem_5"/>
    <x v="1"/>
  </r>
  <r>
    <n v="411"/>
    <x v="0"/>
    <n v="27"/>
    <n v="6"/>
    <n v="0"/>
    <s v="Low"/>
    <n v="0"/>
    <s v="Marion_Inside_UBG_3"/>
    <x v="3"/>
  </r>
  <r>
    <n v="411"/>
    <x v="1"/>
    <n v="27"/>
    <n v="6"/>
    <n v="0"/>
    <s v="Low"/>
    <n v="0"/>
    <s v="Marion_Inside_UBG_3"/>
    <x v="3"/>
  </r>
  <r>
    <n v="411"/>
    <x v="2"/>
    <n v="679"/>
    <n v="110"/>
    <n v="0"/>
    <s v="High"/>
    <n v="789"/>
    <s v="Marion_Inside_UBG_3"/>
    <x v="3"/>
  </r>
  <r>
    <n v="414"/>
    <x v="0"/>
    <n v="96"/>
    <n v="0"/>
    <n v="0"/>
    <s v="Low"/>
    <n v="0"/>
    <s v="Marion_Outside_UGB"/>
    <x v="0"/>
  </r>
  <r>
    <n v="414"/>
    <x v="1"/>
    <n v="99"/>
    <n v="15"/>
    <n v="0"/>
    <s v="Low"/>
    <n v="0"/>
    <s v="Marion_Outside_UGB"/>
    <x v="0"/>
  </r>
  <r>
    <n v="414"/>
    <x v="2"/>
    <n v="111"/>
    <n v="15"/>
    <n v="0"/>
    <s v="Low"/>
    <n v="0"/>
    <s v="Marion_Outside_UGB"/>
    <x v="0"/>
  </r>
  <r>
    <n v="415"/>
    <x v="0"/>
    <n v="201"/>
    <n v="0"/>
    <n v="0"/>
    <s v="Low"/>
    <n v="0"/>
    <s v="Marion_Outside_UGB"/>
    <x v="0"/>
  </r>
  <r>
    <n v="415"/>
    <x v="1"/>
    <n v="277"/>
    <n v="18"/>
    <n v="0"/>
    <s v="Low"/>
    <n v="0"/>
    <s v="Marion_Outside_UGB"/>
    <x v="0"/>
  </r>
  <r>
    <n v="415"/>
    <x v="2"/>
    <n v="392"/>
    <n v="21"/>
    <n v="0"/>
    <s v="Low"/>
    <n v="0"/>
    <s v="Marion_Outside_UGB"/>
    <x v="0"/>
  </r>
  <r>
    <n v="416"/>
    <x v="0"/>
    <n v="439"/>
    <n v="19"/>
    <n v="0"/>
    <s v="Low"/>
    <n v="0"/>
    <s v="Turner"/>
    <x v="0"/>
  </r>
  <r>
    <n v="416"/>
    <x v="1"/>
    <n v="623"/>
    <n v="197"/>
    <n v="0"/>
    <s v="Low"/>
    <n v="0"/>
    <s v="Turner"/>
    <x v="0"/>
  </r>
  <r>
    <n v="416"/>
    <x v="2"/>
    <n v="1000"/>
    <n v="333"/>
    <n v="0"/>
    <s v="Low"/>
    <n v="0"/>
    <s v="Turner"/>
    <x v="0"/>
  </r>
  <r>
    <n v="417"/>
    <x v="0"/>
    <n v="131"/>
    <n v="0"/>
    <n v="0"/>
    <s v="Low"/>
    <n v="0"/>
    <s v="Turner"/>
    <x v="0"/>
  </r>
  <r>
    <n v="417"/>
    <x v="1"/>
    <n v="221"/>
    <n v="45"/>
    <n v="0"/>
    <s v="Low"/>
    <n v="0"/>
    <s v="Turner"/>
    <x v="0"/>
  </r>
  <r>
    <n v="417"/>
    <x v="2"/>
    <n v="229"/>
    <n v="44"/>
    <n v="0"/>
    <s v="Low"/>
    <n v="0"/>
    <s v="Turner"/>
    <x v="0"/>
  </r>
  <r>
    <n v="418"/>
    <x v="0"/>
    <n v="0"/>
    <n v="1"/>
    <n v="0"/>
    <s v="Low"/>
    <n v="0"/>
    <s v="Marion_Outside_UGB"/>
    <x v="0"/>
  </r>
  <r>
    <n v="418"/>
    <x v="1"/>
    <n v="173"/>
    <n v="21"/>
    <n v="0"/>
    <s v="Low"/>
    <n v="0"/>
    <s v="Marion_Outside_UGB"/>
    <x v="0"/>
  </r>
  <r>
    <n v="418"/>
    <x v="2"/>
    <n v="186"/>
    <n v="21"/>
    <n v="0"/>
    <s v="Low"/>
    <n v="0"/>
    <s v="Marion_Outside_UGB"/>
    <x v="0"/>
  </r>
  <r>
    <n v="419"/>
    <x v="0"/>
    <n v="69"/>
    <n v="4"/>
    <n v="0"/>
    <s v="Low"/>
    <n v="0"/>
    <s v="Marion_Outside_UGB"/>
    <x v="0"/>
  </r>
  <r>
    <n v="419"/>
    <x v="1"/>
    <n v="69"/>
    <n v="4"/>
    <n v="0"/>
    <s v="Low"/>
    <n v="0"/>
    <s v="Marion_Outside_UGB"/>
    <x v="0"/>
  </r>
  <r>
    <n v="419"/>
    <x v="2"/>
    <n v="81"/>
    <n v="3"/>
    <n v="0"/>
    <s v="Low"/>
    <n v="0"/>
    <s v="Marion_Outside_UGB"/>
    <x v="0"/>
  </r>
  <r>
    <n v="420"/>
    <x v="0"/>
    <n v="114"/>
    <n v="7"/>
    <n v="0"/>
    <s v="Low"/>
    <n v="0"/>
    <s v="Marion_Outside_UGB"/>
    <x v="0"/>
  </r>
  <r>
    <n v="420"/>
    <x v="1"/>
    <n v="199"/>
    <n v="4"/>
    <n v="0"/>
    <s v="Low"/>
    <n v="0"/>
    <s v="Marion_Outside_UGB"/>
    <x v="0"/>
  </r>
  <r>
    <n v="420"/>
    <x v="2"/>
    <n v="242"/>
    <n v="5"/>
    <n v="0"/>
    <s v="Low"/>
    <n v="0"/>
    <s v="Marion_Outside_UGB"/>
    <x v="0"/>
  </r>
  <r>
    <n v="421"/>
    <x v="0"/>
    <n v="111"/>
    <n v="120"/>
    <n v="0"/>
    <s v="Low"/>
    <n v="0"/>
    <s v="Salem_5"/>
    <x v="1"/>
  </r>
  <r>
    <n v="421"/>
    <x v="1"/>
    <n v="282"/>
    <n v="294"/>
    <n v="0"/>
    <s v="Low"/>
    <n v="0"/>
    <s v="Salem_5"/>
    <x v="1"/>
  </r>
  <r>
    <n v="421"/>
    <x v="2"/>
    <n v="403"/>
    <n v="292"/>
    <n v="0"/>
    <s v="Low"/>
    <n v="0"/>
    <s v="Salem_5"/>
    <x v="1"/>
  </r>
  <r>
    <n v="422"/>
    <x v="0"/>
    <n v="109"/>
    <n v="2"/>
    <n v="0"/>
    <s v="Low"/>
    <n v="0"/>
    <s v="Marion_Outside_UGB"/>
    <x v="0"/>
  </r>
  <r>
    <n v="422"/>
    <x v="1"/>
    <n v="113"/>
    <n v="3"/>
    <n v="0"/>
    <s v="Low"/>
    <n v="0"/>
    <s v="Marion_Outside_UGB"/>
    <x v="0"/>
  </r>
  <r>
    <n v="422"/>
    <x v="2"/>
    <n v="125"/>
    <n v="4"/>
    <n v="0"/>
    <s v="Low"/>
    <n v="0"/>
    <s v="Marion_Outside_UGB"/>
    <x v="0"/>
  </r>
  <r>
    <n v="423"/>
    <x v="0"/>
    <n v="139"/>
    <n v="0"/>
    <n v="0"/>
    <s v="Low"/>
    <n v="0"/>
    <s v="Marion_Outside_UGB"/>
    <x v="0"/>
  </r>
  <r>
    <n v="423"/>
    <x v="1"/>
    <n v="143"/>
    <n v="19"/>
    <n v="0"/>
    <s v="Low"/>
    <n v="0"/>
    <s v="Marion_Outside_UGB"/>
    <x v="0"/>
  </r>
  <r>
    <n v="423"/>
    <x v="2"/>
    <n v="157"/>
    <n v="20"/>
    <n v="0"/>
    <s v="Low"/>
    <n v="0"/>
    <s v="Marion_Outside_UGB"/>
    <x v="0"/>
  </r>
  <r>
    <n v="424"/>
    <x v="0"/>
    <n v="251"/>
    <n v="13"/>
    <n v="0"/>
    <s v="Low"/>
    <n v="0"/>
    <s v="Marion_Outside_UGB"/>
    <x v="0"/>
  </r>
  <r>
    <n v="424"/>
    <x v="1"/>
    <n v="251"/>
    <n v="16"/>
    <n v="0"/>
    <s v="Low"/>
    <n v="0"/>
    <s v="Marion_Outside_UGB"/>
    <x v="0"/>
  </r>
  <r>
    <n v="424"/>
    <x v="2"/>
    <n v="293"/>
    <n v="15"/>
    <n v="0"/>
    <s v="Low"/>
    <n v="0"/>
    <s v="Marion_Outside_UGB"/>
    <x v="0"/>
  </r>
  <r>
    <n v="426"/>
    <x v="0"/>
    <n v="193"/>
    <n v="12"/>
    <n v="0"/>
    <s v="Low"/>
    <n v="0"/>
    <s v="Salem_5"/>
    <x v="1"/>
  </r>
  <r>
    <n v="426"/>
    <x v="1"/>
    <n v="193"/>
    <n v="12"/>
    <n v="0"/>
    <s v="Low"/>
    <n v="0"/>
    <s v="Salem_5"/>
    <x v="1"/>
  </r>
  <r>
    <n v="426"/>
    <x v="2"/>
    <n v="689"/>
    <n v="14"/>
    <n v="0"/>
    <s v="Low"/>
    <n v="0"/>
    <s v="Salem_5"/>
    <x v="1"/>
  </r>
  <r>
    <n v="427"/>
    <x v="0"/>
    <n v="26"/>
    <n v="2"/>
    <n v="0"/>
    <s v="Low"/>
    <n v="0"/>
    <s v="Marion_Outside_UGB"/>
    <x v="0"/>
  </r>
  <r>
    <n v="427"/>
    <x v="1"/>
    <n v="26"/>
    <n v="2"/>
    <n v="0"/>
    <s v="Low"/>
    <n v="0"/>
    <s v="Marion_Outside_UGB"/>
    <x v="0"/>
  </r>
  <r>
    <n v="427"/>
    <x v="2"/>
    <n v="25"/>
    <n v="2"/>
    <n v="0"/>
    <s v="Low"/>
    <n v="0"/>
    <s v="Marion_Outside_UGB"/>
    <x v="0"/>
  </r>
  <r>
    <n v="428"/>
    <x v="0"/>
    <n v="38"/>
    <n v="0"/>
    <n v="0"/>
    <s v="Low"/>
    <n v="0"/>
    <s v="Marion_Outside_UGB"/>
    <x v="0"/>
  </r>
  <r>
    <n v="428"/>
    <x v="1"/>
    <n v="60"/>
    <n v="2"/>
    <n v="0"/>
    <s v="Low"/>
    <n v="0"/>
    <s v="Marion_Outside_UGB"/>
    <x v="0"/>
  </r>
  <r>
    <n v="428"/>
    <x v="2"/>
    <n v="76"/>
    <n v="2"/>
    <n v="0"/>
    <s v="Low"/>
    <n v="0"/>
    <s v="Marion_Outside_UGB"/>
    <x v="0"/>
  </r>
  <r>
    <n v="429"/>
    <x v="0"/>
    <n v="21"/>
    <n v="0"/>
    <n v="0"/>
    <s v="Low"/>
    <n v="0"/>
    <s v="Salem_5"/>
    <x v="1"/>
  </r>
  <r>
    <n v="429"/>
    <x v="1"/>
    <n v="273"/>
    <n v="129"/>
    <n v="0"/>
    <s v="Low"/>
    <n v="0"/>
    <s v="Salem_5"/>
    <x v="1"/>
  </r>
  <r>
    <n v="429"/>
    <x v="2"/>
    <n v="601"/>
    <n v="296"/>
    <n v="0"/>
    <s v="Low"/>
    <n v="0"/>
    <s v="Salem_5"/>
    <x v="1"/>
  </r>
  <r>
    <n v="430"/>
    <x v="0"/>
    <n v="133"/>
    <n v="1"/>
    <n v="0"/>
    <s v="Low"/>
    <n v="0"/>
    <s v="Salem_5"/>
    <x v="1"/>
  </r>
  <r>
    <n v="430"/>
    <x v="1"/>
    <n v="149"/>
    <n v="2"/>
    <n v="0"/>
    <s v="Low"/>
    <n v="0"/>
    <s v="Salem_5"/>
    <x v="1"/>
  </r>
  <r>
    <n v="430"/>
    <x v="2"/>
    <n v="613"/>
    <n v="39"/>
    <n v="0"/>
    <s v="Low"/>
    <n v="0"/>
    <s v="Salem_5"/>
    <x v="1"/>
  </r>
  <r>
    <n v="431"/>
    <x v="0"/>
    <n v="206"/>
    <n v="6"/>
    <n v="0"/>
    <s v="Low"/>
    <n v="0"/>
    <s v="Marion_Outside_UGB"/>
    <x v="0"/>
  </r>
  <r>
    <n v="431"/>
    <x v="1"/>
    <n v="233"/>
    <n v="10"/>
    <n v="0"/>
    <s v="Low"/>
    <n v="0"/>
    <s v="Marion_Outside_UGB"/>
    <x v="0"/>
  </r>
  <r>
    <n v="431"/>
    <x v="2"/>
    <n v="421"/>
    <n v="9"/>
    <n v="0"/>
    <s v="Low"/>
    <n v="0"/>
    <s v="Marion_Outside_UGB"/>
    <x v="0"/>
  </r>
  <r>
    <n v="432"/>
    <x v="0"/>
    <n v="109"/>
    <n v="6"/>
    <n v="0"/>
    <s v="Low"/>
    <n v="0"/>
    <s v="Marion_Outside_UGB"/>
    <x v="0"/>
  </r>
  <r>
    <n v="432"/>
    <x v="1"/>
    <n v="109"/>
    <n v="6"/>
    <n v="0"/>
    <s v="Low"/>
    <n v="0"/>
    <s v="Marion_Outside_UGB"/>
    <x v="0"/>
  </r>
  <r>
    <n v="432"/>
    <x v="2"/>
    <n v="175"/>
    <n v="5"/>
    <n v="0"/>
    <s v="Low"/>
    <n v="0"/>
    <s v="Marion_Outside_UGB"/>
    <x v="0"/>
  </r>
  <r>
    <n v="433"/>
    <x v="0"/>
    <n v="156"/>
    <n v="39"/>
    <n v="0"/>
    <s v="Low"/>
    <n v="0"/>
    <s v="Salem_5"/>
    <x v="1"/>
  </r>
  <r>
    <n v="433"/>
    <x v="1"/>
    <n v="435"/>
    <n v="13"/>
    <n v="0"/>
    <s v="Low"/>
    <n v="0"/>
    <s v="Salem_5"/>
    <x v="1"/>
  </r>
  <r>
    <n v="433"/>
    <x v="2"/>
    <n v="436"/>
    <n v="13"/>
    <n v="0"/>
    <s v="Low"/>
    <n v="0"/>
    <s v="Salem_5"/>
    <x v="1"/>
  </r>
  <r>
    <n v="434"/>
    <x v="0"/>
    <n v="77"/>
    <n v="0"/>
    <n v="0"/>
    <s v="Low"/>
    <n v="0"/>
    <s v="Salem_5"/>
    <x v="1"/>
  </r>
  <r>
    <n v="434"/>
    <x v="1"/>
    <n v="77"/>
    <n v="3"/>
    <n v="0"/>
    <s v="Low"/>
    <n v="0"/>
    <s v="Salem_5"/>
    <x v="1"/>
  </r>
  <r>
    <n v="434"/>
    <x v="2"/>
    <n v="117"/>
    <n v="2"/>
    <n v="0"/>
    <s v="Low"/>
    <n v="0"/>
    <s v="Salem_5"/>
    <x v="1"/>
  </r>
  <r>
    <n v="435"/>
    <x v="0"/>
    <n v="28"/>
    <n v="114"/>
    <n v="0"/>
    <s v="Low"/>
    <n v="0"/>
    <s v="Salem_5"/>
    <x v="1"/>
  </r>
  <r>
    <n v="435"/>
    <x v="1"/>
    <n v="211"/>
    <n v="4"/>
    <n v="0"/>
    <s v="Low"/>
    <n v="0"/>
    <s v="Salem_5"/>
    <x v="1"/>
  </r>
  <r>
    <n v="435"/>
    <x v="2"/>
    <n v="221"/>
    <n v="125"/>
    <n v="0"/>
    <s v="Low"/>
    <n v="0"/>
    <s v="Salem_5"/>
    <x v="1"/>
  </r>
  <r>
    <n v="436"/>
    <x v="0"/>
    <n v="1"/>
    <n v="1"/>
    <n v="0"/>
    <s v="Low"/>
    <n v="0"/>
    <s v="Salem_5"/>
    <x v="1"/>
  </r>
  <r>
    <n v="436"/>
    <x v="1"/>
    <n v="3"/>
    <n v="0"/>
    <n v="0"/>
    <s v="Low"/>
    <n v="0"/>
    <s v="Salem_5"/>
    <x v="1"/>
  </r>
  <r>
    <n v="436"/>
    <x v="2"/>
    <n v="1"/>
    <n v="4"/>
    <n v="0"/>
    <s v="Low"/>
    <n v="0"/>
    <s v="Salem_5"/>
    <x v="1"/>
  </r>
  <r>
    <n v="437"/>
    <x v="0"/>
    <n v="109"/>
    <n v="0"/>
    <n v="0"/>
    <s v="Low"/>
    <n v="0"/>
    <s v="Marion_Outside_UGB"/>
    <x v="0"/>
  </r>
  <r>
    <n v="437"/>
    <x v="1"/>
    <n v="119"/>
    <n v="2"/>
    <n v="0"/>
    <s v="Low"/>
    <n v="0"/>
    <s v="Marion_Outside_UGB"/>
    <x v="0"/>
  </r>
  <r>
    <n v="437"/>
    <x v="2"/>
    <n v="122"/>
    <n v="2"/>
    <n v="0"/>
    <s v="Low"/>
    <n v="0"/>
    <s v="Marion_Outside_UGB"/>
    <x v="0"/>
  </r>
  <r>
    <n v="439"/>
    <x v="0"/>
    <n v="23"/>
    <n v="0"/>
    <n v="0"/>
    <s v="Low"/>
    <n v="0"/>
    <s v="Salem_4"/>
    <x v="1"/>
  </r>
  <r>
    <n v="439"/>
    <x v="1"/>
    <n v="23"/>
    <n v="0"/>
    <n v="0"/>
    <s v="High"/>
    <n v="23"/>
    <s v="Salem_4"/>
    <x v="1"/>
  </r>
  <r>
    <n v="439"/>
    <x v="2"/>
    <n v="20"/>
    <n v="0"/>
    <n v="0"/>
    <s v="High"/>
    <n v="20"/>
    <s v="Salem_4"/>
    <x v="1"/>
  </r>
  <r>
    <n v="442"/>
    <x v="0"/>
    <n v="0"/>
    <n v="1"/>
    <n v="0"/>
    <s v="Low"/>
    <n v="0"/>
    <s v="Salem_5"/>
    <x v="1"/>
  </r>
  <r>
    <n v="442"/>
    <x v="1"/>
    <n v="0"/>
    <n v="1"/>
    <n v="0"/>
    <s v="Low"/>
    <n v="0"/>
    <s v="Salem_5"/>
    <x v="1"/>
  </r>
  <r>
    <n v="442"/>
    <x v="2"/>
    <n v="0"/>
    <n v="1"/>
    <n v="0"/>
    <s v="Low"/>
    <n v="0"/>
    <s v="Salem_5"/>
    <x v="1"/>
  </r>
  <r>
    <n v="443"/>
    <x v="0"/>
    <n v="0"/>
    <n v="1"/>
    <n v="0"/>
    <s v="Low"/>
    <n v="0"/>
    <s v="Marion_Outside_UGB"/>
    <x v="0"/>
  </r>
  <r>
    <n v="443"/>
    <x v="1"/>
    <n v="0"/>
    <n v="1"/>
    <n v="0"/>
    <s v="Low"/>
    <n v="0"/>
    <s v="Marion_Outside_UGB"/>
    <x v="0"/>
  </r>
  <r>
    <n v="443"/>
    <x v="2"/>
    <n v="0"/>
    <n v="1"/>
    <n v="0"/>
    <s v="Low"/>
    <n v="0"/>
    <s v="Marion_Outside_UGB"/>
    <x v="0"/>
  </r>
  <r>
    <n v="444"/>
    <x v="0"/>
    <n v="0"/>
    <n v="1"/>
    <n v="0"/>
    <s v="Low"/>
    <n v="0"/>
    <s v="Marion_Outside_UGB"/>
    <x v="0"/>
  </r>
  <r>
    <n v="444"/>
    <x v="1"/>
    <n v="0"/>
    <n v="1"/>
    <n v="0"/>
    <s v="Low"/>
    <n v="0"/>
    <s v="Marion_Outside_UGB"/>
    <x v="0"/>
  </r>
  <r>
    <n v="444"/>
    <x v="2"/>
    <n v="0"/>
    <n v="1"/>
    <n v="0"/>
    <s v="Low"/>
    <n v="0"/>
    <s v="Marion_Outside_UGB"/>
    <x v="0"/>
  </r>
  <r>
    <n v="447"/>
    <x v="0"/>
    <n v="6"/>
    <n v="0"/>
    <n v="0"/>
    <s v="Low"/>
    <n v="0"/>
    <s v="Salem_1"/>
    <x v="1"/>
  </r>
  <r>
    <n v="447"/>
    <x v="1"/>
    <n v="10"/>
    <n v="192"/>
    <n v="0"/>
    <s v="High"/>
    <n v="202"/>
    <s v="Salem_1"/>
    <x v="1"/>
  </r>
  <r>
    <n v="447"/>
    <x v="2"/>
    <n v="24"/>
    <n v="217"/>
    <n v="0"/>
    <s v="High"/>
    <n v="241"/>
    <s v="Salem_1"/>
    <x v="1"/>
  </r>
  <r>
    <n v="450"/>
    <x v="0"/>
    <n v="50"/>
    <n v="2"/>
    <n v="0"/>
    <s v="Low"/>
    <n v="0"/>
    <s v="Marion_Outside_UGB"/>
    <x v="0"/>
  </r>
  <r>
    <n v="450"/>
    <x v="1"/>
    <n v="50"/>
    <n v="2"/>
    <n v="0"/>
    <s v="Low"/>
    <n v="0"/>
    <s v="Marion_Outside_UGB"/>
    <x v="0"/>
  </r>
  <r>
    <n v="450"/>
    <x v="2"/>
    <n v="234"/>
    <n v="2"/>
    <n v="0"/>
    <s v="Low"/>
    <n v="0"/>
    <s v="Marion_Outside_UGB"/>
    <x v="0"/>
  </r>
  <r>
    <n v="451"/>
    <x v="0"/>
    <n v="51"/>
    <n v="2"/>
    <n v="0"/>
    <s v="Low"/>
    <n v="0"/>
    <s v="Marion_Inside_UBG_3"/>
    <x v="3"/>
  </r>
  <r>
    <n v="451"/>
    <x v="1"/>
    <n v="84"/>
    <n v="4"/>
    <n v="0"/>
    <s v="Low"/>
    <n v="0"/>
    <s v="Marion_Inside_UBG_3"/>
    <x v="3"/>
  </r>
  <r>
    <n v="451"/>
    <x v="2"/>
    <n v="754"/>
    <n v="113"/>
    <n v="0"/>
    <s v="Low"/>
    <n v="0"/>
    <s v="Marion_Inside_UBG_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40DC0-B4F9-478C-B25C-C9207DEA7C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6:Y21" firstHeaderRow="1" firstDataRow="2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3"/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HH's w/ High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26D5-8DB8-450D-B901-9B5C0C5F3234}">
  <dimension ref="A1:D1338"/>
  <sheetViews>
    <sheetView workbookViewId="0">
      <selection activeCell="G5" sqref="G5"/>
    </sheetView>
  </sheetViews>
  <sheetFormatPr defaultRowHeight="15" x14ac:dyDescent="0.25"/>
  <cols>
    <col min="2" max="2" width="17.140625" customWidth="1"/>
    <col min="3" max="3" width="26.85546875" customWidth="1"/>
    <col min="4" max="4" width="15.42578125" customWidth="1"/>
  </cols>
  <sheetData>
    <row r="1" spans="1:4" x14ac:dyDescent="0.25">
      <c r="A1" t="s">
        <v>1</v>
      </c>
      <c r="B1" t="s">
        <v>12</v>
      </c>
      <c r="C1" t="s">
        <v>0</v>
      </c>
      <c r="D1" t="s">
        <v>19</v>
      </c>
    </row>
    <row r="2" spans="1:4" x14ac:dyDescent="0.25">
      <c r="A2">
        <v>31</v>
      </c>
      <c r="B2">
        <v>31</v>
      </c>
      <c r="C2">
        <v>410530053013</v>
      </c>
      <c r="D2">
        <v>0.38059399999999999</v>
      </c>
    </row>
    <row r="3" spans="1:4" x14ac:dyDescent="0.25">
      <c r="A3">
        <v>31</v>
      </c>
      <c r="B3">
        <v>31</v>
      </c>
      <c r="C3">
        <v>410530053021</v>
      </c>
      <c r="D3">
        <v>5.1726000000000001E-2</v>
      </c>
    </row>
    <row r="4" spans="1:4" x14ac:dyDescent="0.25">
      <c r="A4">
        <v>31</v>
      </c>
      <c r="B4">
        <v>31</v>
      </c>
      <c r="C4">
        <v>410530053022</v>
      </c>
      <c r="D4">
        <v>99.567679999999996</v>
      </c>
    </row>
    <row r="5" spans="1:4" x14ac:dyDescent="0.25">
      <c r="A5">
        <v>32</v>
      </c>
      <c r="B5">
        <v>43</v>
      </c>
      <c r="C5">
        <v>410530053012</v>
      </c>
      <c r="D5">
        <v>1.8228999999999999E-2</v>
      </c>
    </row>
    <row r="6" spans="1:4" x14ac:dyDescent="0.25">
      <c r="A6">
        <v>32</v>
      </c>
      <c r="B6">
        <v>43</v>
      </c>
      <c r="C6">
        <v>410530053013</v>
      </c>
      <c r="D6">
        <v>57.713121000000001</v>
      </c>
    </row>
    <row r="7" spans="1:4" x14ac:dyDescent="0.25">
      <c r="A7">
        <v>32</v>
      </c>
      <c r="B7">
        <v>43</v>
      </c>
      <c r="C7">
        <v>410530053021</v>
      </c>
      <c r="D7">
        <v>7.1453000000000003E-2</v>
      </c>
    </row>
    <row r="8" spans="1:4" x14ac:dyDescent="0.25">
      <c r="A8">
        <v>32</v>
      </c>
      <c r="B8">
        <v>43</v>
      </c>
      <c r="C8">
        <v>410530053022</v>
      </c>
      <c r="D8">
        <v>42.197197000000003</v>
      </c>
    </row>
    <row r="9" spans="1:4" x14ac:dyDescent="0.25">
      <c r="A9">
        <v>33</v>
      </c>
      <c r="B9">
        <v>35</v>
      </c>
      <c r="C9">
        <v>410530053013</v>
      </c>
      <c r="D9">
        <v>3.0595000000000001E-2</v>
      </c>
    </row>
    <row r="10" spans="1:4" x14ac:dyDescent="0.25">
      <c r="A10">
        <v>33</v>
      </c>
      <c r="B10">
        <v>35</v>
      </c>
      <c r="C10">
        <v>410530053021</v>
      </c>
      <c r="D10">
        <v>17.941213999999999</v>
      </c>
    </row>
    <row r="11" spans="1:4" x14ac:dyDescent="0.25">
      <c r="A11">
        <v>33</v>
      </c>
      <c r="B11">
        <v>35</v>
      </c>
      <c r="C11">
        <v>410530053022</v>
      </c>
      <c r="D11">
        <v>82.028191000000007</v>
      </c>
    </row>
    <row r="12" spans="1:4" x14ac:dyDescent="0.25">
      <c r="A12">
        <v>34</v>
      </c>
      <c r="B12">
        <v>36</v>
      </c>
      <c r="C12">
        <v>410530053013</v>
      </c>
      <c r="D12">
        <v>1.559914</v>
      </c>
    </row>
    <row r="13" spans="1:4" x14ac:dyDescent="0.25">
      <c r="A13">
        <v>34</v>
      </c>
      <c r="B13">
        <v>36</v>
      </c>
      <c r="C13">
        <v>410530053021</v>
      </c>
      <c r="D13">
        <v>4.3220000000000003E-3</v>
      </c>
    </row>
    <row r="14" spans="1:4" x14ac:dyDescent="0.25">
      <c r="A14">
        <v>34</v>
      </c>
      <c r="B14">
        <v>36</v>
      </c>
      <c r="C14">
        <v>410530053022</v>
      </c>
      <c r="D14">
        <v>98.435764000000006</v>
      </c>
    </row>
    <row r="15" spans="1:4" x14ac:dyDescent="0.25">
      <c r="A15">
        <v>35</v>
      </c>
      <c r="B15">
        <v>37</v>
      </c>
      <c r="C15">
        <v>410530053014</v>
      </c>
      <c r="D15">
        <v>0.44725300000000001</v>
      </c>
    </row>
    <row r="16" spans="1:4" x14ac:dyDescent="0.25">
      <c r="A16">
        <v>35</v>
      </c>
      <c r="B16">
        <v>37</v>
      </c>
      <c r="C16">
        <v>410530053021</v>
      </c>
      <c r="D16">
        <v>7.2595000000000007E-2</v>
      </c>
    </row>
    <row r="17" spans="1:4" x14ac:dyDescent="0.25">
      <c r="A17">
        <v>35</v>
      </c>
      <c r="B17">
        <v>37</v>
      </c>
      <c r="C17">
        <v>410530053022</v>
      </c>
      <c r="D17">
        <v>99.480153000000001</v>
      </c>
    </row>
    <row r="18" spans="1:4" x14ac:dyDescent="0.25">
      <c r="A18">
        <v>36</v>
      </c>
      <c r="B18">
        <v>396</v>
      </c>
      <c r="C18">
        <v>410530053014</v>
      </c>
      <c r="D18">
        <v>99.761122</v>
      </c>
    </row>
    <row r="19" spans="1:4" x14ac:dyDescent="0.25">
      <c r="A19">
        <v>36</v>
      </c>
      <c r="B19">
        <v>396</v>
      </c>
      <c r="C19">
        <v>410530053021</v>
      </c>
      <c r="D19">
        <v>0.148262</v>
      </c>
    </row>
    <row r="20" spans="1:4" x14ac:dyDescent="0.25">
      <c r="A20">
        <v>36</v>
      </c>
      <c r="B20">
        <v>396</v>
      </c>
      <c r="C20">
        <v>410530053022</v>
      </c>
      <c r="D20">
        <v>9.0616000000000002E-2</v>
      </c>
    </row>
    <row r="21" spans="1:4" x14ac:dyDescent="0.25">
      <c r="A21">
        <v>37</v>
      </c>
      <c r="B21">
        <v>396</v>
      </c>
      <c r="C21">
        <v>410470024002</v>
      </c>
      <c r="D21">
        <v>1.415311</v>
      </c>
    </row>
    <row r="22" spans="1:4" x14ac:dyDescent="0.25">
      <c r="A22">
        <v>37</v>
      </c>
      <c r="B22">
        <v>396</v>
      </c>
      <c r="C22">
        <v>410530052042</v>
      </c>
      <c r="D22">
        <v>1.9746539999999999</v>
      </c>
    </row>
    <row r="23" spans="1:4" x14ac:dyDescent="0.25">
      <c r="A23">
        <v>37</v>
      </c>
      <c r="B23">
        <v>396</v>
      </c>
      <c r="C23">
        <v>410530053014</v>
      </c>
      <c r="D23">
        <v>91.671145999999993</v>
      </c>
    </row>
    <row r="24" spans="1:4" x14ac:dyDescent="0.25">
      <c r="A24">
        <v>37</v>
      </c>
      <c r="B24">
        <v>396</v>
      </c>
      <c r="C24">
        <v>410530053021</v>
      </c>
      <c r="D24">
        <v>4.9388889999999996</v>
      </c>
    </row>
    <row r="25" spans="1:4" x14ac:dyDescent="0.25">
      <c r="A25">
        <v>38</v>
      </c>
      <c r="B25">
        <v>406</v>
      </c>
      <c r="C25">
        <v>410470024002</v>
      </c>
      <c r="D25">
        <v>2.543485</v>
      </c>
    </row>
    <row r="26" spans="1:4" x14ac:dyDescent="0.25">
      <c r="A26">
        <v>38</v>
      </c>
      <c r="B26">
        <v>406</v>
      </c>
      <c r="C26">
        <v>410530052042</v>
      </c>
      <c r="D26">
        <v>97.454262</v>
      </c>
    </row>
    <row r="27" spans="1:4" x14ac:dyDescent="0.25">
      <c r="A27">
        <v>38</v>
      </c>
      <c r="B27">
        <v>406</v>
      </c>
      <c r="C27">
        <v>410530053014</v>
      </c>
      <c r="D27">
        <v>2.2560000000000002E-3</v>
      </c>
    </row>
    <row r="28" spans="1:4" x14ac:dyDescent="0.25">
      <c r="A28">
        <v>39</v>
      </c>
      <c r="B28">
        <v>402</v>
      </c>
      <c r="C28">
        <v>410530052042</v>
      </c>
      <c r="D28">
        <v>0.28504299999999999</v>
      </c>
    </row>
    <row r="29" spans="1:4" x14ac:dyDescent="0.25">
      <c r="A29">
        <v>39</v>
      </c>
      <c r="B29">
        <v>402</v>
      </c>
      <c r="C29">
        <v>410530053011</v>
      </c>
      <c r="D29">
        <v>3.9725000000000003E-2</v>
      </c>
    </row>
    <row r="30" spans="1:4" x14ac:dyDescent="0.25">
      <c r="A30">
        <v>39</v>
      </c>
      <c r="B30">
        <v>402</v>
      </c>
      <c r="C30">
        <v>410530053014</v>
      </c>
      <c r="D30">
        <v>99.675234000000003</v>
      </c>
    </row>
    <row r="31" spans="1:4" x14ac:dyDescent="0.25">
      <c r="A31">
        <v>40</v>
      </c>
      <c r="B31">
        <v>401</v>
      </c>
      <c r="C31">
        <v>410530053011</v>
      </c>
      <c r="D31">
        <v>5.4016630000000001</v>
      </c>
    </row>
    <row r="32" spans="1:4" x14ac:dyDescent="0.25">
      <c r="A32">
        <v>40</v>
      </c>
      <c r="B32">
        <v>401</v>
      </c>
      <c r="C32">
        <v>410530053013</v>
      </c>
      <c r="D32">
        <v>1.0345E-2</v>
      </c>
    </row>
    <row r="33" spans="1:4" x14ac:dyDescent="0.25">
      <c r="A33">
        <v>40</v>
      </c>
      <c r="B33">
        <v>401</v>
      </c>
      <c r="C33">
        <v>410530053014</v>
      </c>
      <c r="D33">
        <v>94.299880000000002</v>
      </c>
    </row>
    <row r="34" spans="1:4" x14ac:dyDescent="0.25">
      <c r="A34">
        <v>40</v>
      </c>
      <c r="B34">
        <v>401</v>
      </c>
      <c r="C34">
        <v>410530053022</v>
      </c>
      <c r="D34">
        <v>0.28811100000000001</v>
      </c>
    </row>
    <row r="35" spans="1:4" x14ac:dyDescent="0.25">
      <c r="A35">
        <v>41</v>
      </c>
      <c r="B35">
        <v>401</v>
      </c>
      <c r="C35">
        <v>410530053011</v>
      </c>
      <c r="D35">
        <v>2.7139999999999998E-3</v>
      </c>
    </row>
    <row r="36" spans="1:4" x14ac:dyDescent="0.25">
      <c r="A36">
        <v>41</v>
      </c>
      <c r="B36">
        <v>401</v>
      </c>
      <c r="C36">
        <v>410530053013</v>
      </c>
      <c r="D36">
        <v>30.770121</v>
      </c>
    </row>
    <row r="37" spans="1:4" x14ac:dyDescent="0.25">
      <c r="A37">
        <v>41</v>
      </c>
      <c r="B37">
        <v>401</v>
      </c>
      <c r="C37">
        <v>410530053014</v>
      </c>
      <c r="D37">
        <v>0.22727900000000001</v>
      </c>
    </row>
    <row r="38" spans="1:4" x14ac:dyDescent="0.25">
      <c r="A38">
        <v>41</v>
      </c>
      <c r="B38">
        <v>401</v>
      </c>
      <c r="C38">
        <v>410530053022</v>
      </c>
      <c r="D38">
        <v>68.999887000000001</v>
      </c>
    </row>
    <row r="39" spans="1:4" x14ac:dyDescent="0.25">
      <c r="A39">
        <v>42</v>
      </c>
      <c r="B39">
        <v>405</v>
      </c>
      <c r="C39">
        <v>410470014012</v>
      </c>
      <c r="D39">
        <v>0.141736</v>
      </c>
    </row>
    <row r="40" spans="1:4" x14ac:dyDescent="0.25">
      <c r="A40">
        <v>42</v>
      </c>
      <c r="B40">
        <v>405</v>
      </c>
      <c r="C40">
        <v>410470025021</v>
      </c>
      <c r="D40">
        <v>0.33075100000000002</v>
      </c>
    </row>
    <row r="41" spans="1:4" x14ac:dyDescent="0.25">
      <c r="A41">
        <v>42</v>
      </c>
      <c r="B41">
        <v>405</v>
      </c>
      <c r="C41">
        <v>410530053012</v>
      </c>
      <c r="D41">
        <v>1.7802819999999999</v>
      </c>
    </row>
    <row r="42" spans="1:4" x14ac:dyDescent="0.25">
      <c r="A42">
        <v>42</v>
      </c>
      <c r="B42">
        <v>405</v>
      </c>
      <c r="C42">
        <v>410530053013</v>
      </c>
      <c r="D42">
        <v>95.360907999999995</v>
      </c>
    </row>
    <row r="43" spans="1:4" x14ac:dyDescent="0.25">
      <c r="A43">
        <v>42</v>
      </c>
      <c r="B43">
        <v>405</v>
      </c>
      <c r="C43">
        <v>410530053022</v>
      </c>
      <c r="D43">
        <v>2.386323</v>
      </c>
    </row>
    <row r="44" spans="1:4" x14ac:dyDescent="0.25">
      <c r="A44">
        <v>43</v>
      </c>
      <c r="B44">
        <v>399</v>
      </c>
      <c r="C44">
        <v>410470003003</v>
      </c>
      <c r="D44">
        <v>0.26866099999999998</v>
      </c>
    </row>
    <row r="45" spans="1:4" x14ac:dyDescent="0.25">
      <c r="A45">
        <v>43</v>
      </c>
      <c r="B45">
        <v>399</v>
      </c>
      <c r="C45">
        <v>410470004001</v>
      </c>
      <c r="D45">
        <v>1.5765000000000001E-2</v>
      </c>
    </row>
    <row r="46" spans="1:4" x14ac:dyDescent="0.25">
      <c r="A46">
        <v>43</v>
      </c>
      <c r="B46">
        <v>399</v>
      </c>
      <c r="C46">
        <v>410470014012</v>
      </c>
      <c r="D46">
        <v>3.7941000000000003E-2</v>
      </c>
    </row>
    <row r="47" spans="1:4" x14ac:dyDescent="0.25">
      <c r="A47">
        <v>43</v>
      </c>
      <c r="B47">
        <v>399</v>
      </c>
      <c r="C47">
        <v>410470014021</v>
      </c>
      <c r="D47">
        <v>7.9705999999999999E-2</v>
      </c>
    </row>
    <row r="48" spans="1:4" x14ac:dyDescent="0.25">
      <c r="A48">
        <v>43</v>
      </c>
      <c r="B48">
        <v>399</v>
      </c>
      <c r="C48">
        <v>410470014023</v>
      </c>
      <c r="D48">
        <v>9.2828999999999995E-2</v>
      </c>
    </row>
    <row r="49" spans="1:4" x14ac:dyDescent="0.25">
      <c r="A49">
        <v>43</v>
      </c>
      <c r="B49">
        <v>399</v>
      </c>
      <c r="C49">
        <v>410530052061</v>
      </c>
      <c r="D49">
        <v>36.110078000000001</v>
      </c>
    </row>
    <row r="50" spans="1:4" x14ac:dyDescent="0.25">
      <c r="A50">
        <v>43</v>
      </c>
      <c r="B50">
        <v>399</v>
      </c>
      <c r="C50">
        <v>410530053012</v>
      </c>
      <c r="D50">
        <v>63.310676999999998</v>
      </c>
    </row>
    <row r="51" spans="1:4" x14ac:dyDescent="0.25">
      <c r="A51">
        <v>43</v>
      </c>
      <c r="B51">
        <v>399</v>
      </c>
      <c r="C51">
        <v>410530053013</v>
      </c>
      <c r="D51">
        <v>8.4338999999999997E-2</v>
      </c>
    </row>
    <row r="52" spans="1:4" x14ac:dyDescent="0.25">
      <c r="A52">
        <v>44</v>
      </c>
      <c r="B52">
        <v>405</v>
      </c>
      <c r="C52">
        <v>410530053012</v>
      </c>
      <c r="D52">
        <v>99.997094000000004</v>
      </c>
    </row>
    <row r="53" spans="1:4" x14ac:dyDescent="0.25">
      <c r="A53">
        <v>44</v>
      </c>
      <c r="B53">
        <v>405</v>
      </c>
      <c r="C53">
        <v>410530053013</v>
      </c>
      <c r="D53">
        <v>2.8960000000000001E-3</v>
      </c>
    </row>
    <row r="54" spans="1:4" x14ac:dyDescent="0.25">
      <c r="A54">
        <v>45</v>
      </c>
      <c r="B54">
        <v>43</v>
      </c>
      <c r="C54">
        <v>410530052053</v>
      </c>
      <c r="D54">
        <v>6.365E-3</v>
      </c>
    </row>
    <row r="55" spans="1:4" x14ac:dyDescent="0.25">
      <c r="A55">
        <v>45</v>
      </c>
      <c r="B55">
        <v>43</v>
      </c>
      <c r="C55">
        <v>410530053012</v>
      </c>
      <c r="D55">
        <v>0.225799</v>
      </c>
    </row>
    <row r="56" spans="1:4" x14ac:dyDescent="0.25">
      <c r="A56">
        <v>45</v>
      </c>
      <c r="B56">
        <v>43</v>
      </c>
      <c r="C56">
        <v>410530053013</v>
      </c>
      <c r="D56">
        <v>98.924274999999994</v>
      </c>
    </row>
    <row r="57" spans="1:4" x14ac:dyDescent="0.25">
      <c r="A57">
        <v>45</v>
      </c>
      <c r="B57">
        <v>43</v>
      </c>
      <c r="C57">
        <v>410530053022</v>
      </c>
      <c r="D57">
        <v>0.84356500000000001</v>
      </c>
    </row>
    <row r="58" spans="1:4" x14ac:dyDescent="0.25">
      <c r="A58">
        <v>46</v>
      </c>
      <c r="B58">
        <v>45</v>
      </c>
      <c r="C58">
        <v>410530053012</v>
      </c>
      <c r="D58">
        <v>99.752443</v>
      </c>
    </row>
    <row r="59" spans="1:4" x14ac:dyDescent="0.25">
      <c r="A59">
        <v>46</v>
      </c>
      <c r="B59">
        <v>45</v>
      </c>
      <c r="C59">
        <v>410530053013</v>
      </c>
      <c r="D59">
        <v>0.247561</v>
      </c>
    </row>
    <row r="60" spans="1:4" x14ac:dyDescent="0.25">
      <c r="A60">
        <v>47</v>
      </c>
      <c r="B60">
        <v>46</v>
      </c>
      <c r="C60">
        <v>410530052053</v>
      </c>
      <c r="D60">
        <v>1.1968129999999999</v>
      </c>
    </row>
    <row r="61" spans="1:4" x14ac:dyDescent="0.25">
      <c r="A61">
        <v>47</v>
      </c>
      <c r="B61">
        <v>46</v>
      </c>
      <c r="C61">
        <v>410530053012</v>
      </c>
      <c r="D61">
        <v>1.2990390000000001</v>
      </c>
    </row>
    <row r="62" spans="1:4" x14ac:dyDescent="0.25">
      <c r="A62">
        <v>47</v>
      </c>
      <c r="B62">
        <v>46</v>
      </c>
      <c r="C62">
        <v>410530053013</v>
      </c>
      <c r="D62">
        <v>97.504142000000002</v>
      </c>
    </row>
    <row r="63" spans="1:4" x14ac:dyDescent="0.25">
      <c r="A63">
        <v>48</v>
      </c>
      <c r="B63">
        <v>399</v>
      </c>
      <c r="C63">
        <v>410530052061</v>
      </c>
      <c r="D63">
        <v>0.104794</v>
      </c>
    </row>
    <row r="64" spans="1:4" x14ac:dyDescent="0.25">
      <c r="A64">
        <v>48</v>
      </c>
      <c r="B64">
        <v>399</v>
      </c>
      <c r="C64">
        <v>410530053012</v>
      </c>
      <c r="D64">
        <v>99.895099000000002</v>
      </c>
    </row>
    <row r="65" spans="1:4" x14ac:dyDescent="0.25">
      <c r="A65">
        <v>49</v>
      </c>
      <c r="B65">
        <v>398</v>
      </c>
      <c r="C65">
        <v>410530052053</v>
      </c>
      <c r="D65">
        <v>98.219441000000003</v>
      </c>
    </row>
    <row r="66" spans="1:4" x14ac:dyDescent="0.25">
      <c r="A66">
        <v>49</v>
      </c>
      <c r="B66">
        <v>398</v>
      </c>
      <c r="C66">
        <v>410530052061</v>
      </c>
      <c r="D66">
        <v>0.79351499999999997</v>
      </c>
    </row>
    <row r="67" spans="1:4" x14ac:dyDescent="0.25">
      <c r="A67">
        <v>49</v>
      </c>
      <c r="B67">
        <v>398</v>
      </c>
      <c r="C67">
        <v>410530053012</v>
      </c>
      <c r="D67">
        <v>0.97750400000000004</v>
      </c>
    </row>
    <row r="68" spans="1:4" x14ac:dyDescent="0.25">
      <c r="A68">
        <v>49</v>
      </c>
      <c r="B68">
        <v>398</v>
      </c>
      <c r="C68">
        <v>410530053013</v>
      </c>
      <c r="D68">
        <v>9.5460000000000007E-3</v>
      </c>
    </row>
    <row r="69" spans="1:4" x14ac:dyDescent="0.25">
      <c r="A69">
        <v>50</v>
      </c>
      <c r="B69">
        <v>43</v>
      </c>
      <c r="C69">
        <v>410530052052</v>
      </c>
      <c r="D69">
        <v>3.21E-4</v>
      </c>
    </row>
    <row r="70" spans="1:4" x14ac:dyDescent="0.25">
      <c r="A70">
        <v>50</v>
      </c>
      <c r="B70">
        <v>43</v>
      </c>
      <c r="C70">
        <v>410530052053</v>
      </c>
      <c r="D70">
        <v>0.46137299999999998</v>
      </c>
    </row>
    <row r="71" spans="1:4" x14ac:dyDescent="0.25">
      <c r="A71">
        <v>50</v>
      </c>
      <c r="B71">
        <v>43</v>
      </c>
      <c r="C71">
        <v>410530053011</v>
      </c>
      <c r="D71">
        <v>5.8710000000000004E-3</v>
      </c>
    </row>
    <row r="72" spans="1:4" x14ac:dyDescent="0.25">
      <c r="A72">
        <v>50</v>
      </c>
      <c r="B72">
        <v>43</v>
      </c>
      <c r="C72">
        <v>410530053013</v>
      </c>
      <c r="D72">
        <v>99.388129000000006</v>
      </c>
    </row>
    <row r="73" spans="1:4" x14ac:dyDescent="0.25">
      <c r="A73">
        <v>50</v>
      </c>
      <c r="B73">
        <v>43</v>
      </c>
      <c r="C73">
        <v>410530053022</v>
      </c>
      <c r="D73">
        <v>0.14430899999999999</v>
      </c>
    </row>
    <row r="74" spans="1:4" x14ac:dyDescent="0.25">
      <c r="A74">
        <v>51</v>
      </c>
      <c r="B74">
        <v>398</v>
      </c>
      <c r="C74">
        <v>410530052051</v>
      </c>
      <c r="D74">
        <v>8.8710000000000004E-3</v>
      </c>
    </row>
    <row r="75" spans="1:4" x14ac:dyDescent="0.25">
      <c r="A75">
        <v>51</v>
      </c>
      <c r="B75">
        <v>398</v>
      </c>
      <c r="C75">
        <v>410530052052</v>
      </c>
      <c r="D75">
        <v>4.6290000000000003E-3</v>
      </c>
    </row>
    <row r="76" spans="1:4" x14ac:dyDescent="0.25">
      <c r="A76">
        <v>51</v>
      </c>
      <c r="B76">
        <v>398</v>
      </c>
      <c r="C76">
        <v>410530052053</v>
      </c>
      <c r="D76">
        <v>99.910006999999993</v>
      </c>
    </row>
    <row r="77" spans="1:4" x14ac:dyDescent="0.25">
      <c r="A77">
        <v>51</v>
      </c>
      <c r="B77">
        <v>398</v>
      </c>
      <c r="C77">
        <v>410530052061</v>
      </c>
      <c r="D77">
        <v>1.4912999999999999E-2</v>
      </c>
    </row>
    <row r="78" spans="1:4" x14ac:dyDescent="0.25">
      <c r="A78">
        <v>51</v>
      </c>
      <c r="B78">
        <v>398</v>
      </c>
      <c r="C78">
        <v>410530053013</v>
      </c>
      <c r="D78">
        <v>6.1573999999999997E-2</v>
      </c>
    </row>
    <row r="79" spans="1:4" x14ac:dyDescent="0.25">
      <c r="A79">
        <v>52</v>
      </c>
      <c r="B79">
        <v>52</v>
      </c>
      <c r="C79">
        <v>410530052051</v>
      </c>
      <c r="D79">
        <v>79.264805999999993</v>
      </c>
    </row>
    <row r="80" spans="1:4" x14ac:dyDescent="0.25">
      <c r="A80">
        <v>52</v>
      </c>
      <c r="B80">
        <v>52</v>
      </c>
      <c r="C80">
        <v>410530052052</v>
      </c>
      <c r="D80">
        <v>0.273949</v>
      </c>
    </row>
    <row r="81" spans="1:4" x14ac:dyDescent="0.25">
      <c r="A81">
        <v>52</v>
      </c>
      <c r="B81">
        <v>52</v>
      </c>
      <c r="C81">
        <v>410530052053</v>
      </c>
      <c r="D81">
        <v>18.599053000000001</v>
      </c>
    </row>
    <row r="82" spans="1:4" x14ac:dyDescent="0.25">
      <c r="A82">
        <v>52</v>
      </c>
      <c r="B82">
        <v>52</v>
      </c>
      <c r="C82">
        <v>410530052061</v>
      </c>
      <c r="D82">
        <v>1.86219</v>
      </c>
    </row>
    <row r="83" spans="1:4" x14ac:dyDescent="0.25">
      <c r="A83">
        <v>53</v>
      </c>
      <c r="B83">
        <v>399</v>
      </c>
      <c r="C83">
        <v>410530052051</v>
      </c>
      <c r="D83">
        <v>2.6800000000000001E-4</v>
      </c>
    </row>
    <row r="84" spans="1:4" x14ac:dyDescent="0.25">
      <c r="A84">
        <v>53</v>
      </c>
      <c r="B84">
        <v>399</v>
      </c>
      <c r="C84">
        <v>410530052061</v>
      </c>
      <c r="D84">
        <v>99.999724999999998</v>
      </c>
    </row>
    <row r="85" spans="1:4" x14ac:dyDescent="0.25">
      <c r="A85">
        <v>54</v>
      </c>
      <c r="B85">
        <v>52</v>
      </c>
      <c r="C85">
        <v>410530052052</v>
      </c>
      <c r="D85">
        <v>99.767399999999995</v>
      </c>
    </row>
    <row r="86" spans="1:4" x14ac:dyDescent="0.25">
      <c r="A86">
        <v>54</v>
      </c>
      <c r="B86">
        <v>52</v>
      </c>
      <c r="C86">
        <v>410530052053</v>
      </c>
      <c r="D86">
        <v>0.232603</v>
      </c>
    </row>
    <row r="87" spans="1:4" x14ac:dyDescent="0.25">
      <c r="A87">
        <v>55</v>
      </c>
      <c r="B87">
        <v>401</v>
      </c>
      <c r="C87">
        <v>410530052052</v>
      </c>
      <c r="D87">
        <v>0.68428999999999995</v>
      </c>
    </row>
    <row r="88" spans="1:4" x14ac:dyDescent="0.25">
      <c r="A88">
        <v>55</v>
      </c>
      <c r="B88">
        <v>401</v>
      </c>
      <c r="C88">
        <v>410530053011</v>
      </c>
      <c r="D88">
        <v>99.184223000000003</v>
      </c>
    </row>
    <row r="89" spans="1:4" x14ac:dyDescent="0.25">
      <c r="A89">
        <v>55</v>
      </c>
      <c r="B89">
        <v>401</v>
      </c>
      <c r="C89">
        <v>410530053013</v>
      </c>
      <c r="D89">
        <v>0.13149</v>
      </c>
    </row>
    <row r="90" spans="1:4" x14ac:dyDescent="0.25">
      <c r="A90">
        <v>56</v>
      </c>
      <c r="B90">
        <v>401</v>
      </c>
      <c r="C90">
        <v>410530052032</v>
      </c>
      <c r="D90">
        <v>0.30765399999999998</v>
      </c>
    </row>
    <row r="91" spans="1:4" x14ac:dyDescent="0.25">
      <c r="A91">
        <v>56</v>
      </c>
      <c r="B91">
        <v>401</v>
      </c>
      <c r="C91">
        <v>410530052052</v>
      </c>
      <c r="D91">
        <v>0.35004299999999999</v>
      </c>
    </row>
    <row r="92" spans="1:4" x14ac:dyDescent="0.25">
      <c r="A92">
        <v>56</v>
      </c>
      <c r="B92">
        <v>401</v>
      </c>
      <c r="C92">
        <v>410530053011</v>
      </c>
      <c r="D92">
        <v>93.484814</v>
      </c>
    </row>
    <row r="93" spans="1:4" x14ac:dyDescent="0.25">
      <c r="A93">
        <v>56</v>
      </c>
      <c r="B93">
        <v>401</v>
      </c>
      <c r="C93">
        <v>410530053014</v>
      </c>
      <c r="D93">
        <v>5.857488</v>
      </c>
    </row>
    <row r="94" spans="1:4" x14ac:dyDescent="0.25">
      <c r="A94">
        <v>57</v>
      </c>
      <c r="B94">
        <v>404</v>
      </c>
      <c r="C94">
        <v>410530052032</v>
      </c>
      <c r="D94">
        <v>2.5201000000000001E-2</v>
      </c>
    </row>
    <row r="95" spans="1:4" x14ac:dyDescent="0.25">
      <c r="A95">
        <v>57</v>
      </c>
      <c r="B95">
        <v>404</v>
      </c>
      <c r="C95">
        <v>410530052033</v>
      </c>
      <c r="D95">
        <v>0.68612300000000004</v>
      </c>
    </row>
    <row r="96" spans="1:4" x14ac:dyDescent="0.25">
      <c r="A96">
        <v>57</v>
      </c>
      <c r="B96">
        <v>404</v>
      </c>
      <c r="C96">
        <v>410530052052</v>
      </c>
      <c r="D96">
        <v>99.288673000000003</v>
      </c>
    </row>
    <row r="97" spans="1:4" x14ac:dyDescent="0.25">
      <c r="A97">
        <v>58</v>
      </c>
      <c r="B97">
        <v>54</v>
      </c>
      <c r="C97">
        <v>410530052033</v>
      </c>
      <c r="D97">
        <v>2.3054709999999998</v>
      </c>
    </row>
    <row r="98" spans="1:4" x14ac:dyDescent="0.25">
      <c r="A98">
        <v>58</v>
      </c>
      <c r="B98">
        <v>54</v>
      </c>
      <c r="C98">
        <v>410530052052</v>
      </c>
      <c r="D98">
        <v>97.694518000000002</v>
      </c>
    </row>
    <row r="99" spans="1:4" x14ac:dyDescent="0.25">
      <c r="A99">
        <v>59</v>
      </c>
      <c r="B99">
        <v>53</v>
      </c>
      <c r="C99">
        <v>410530052031</v>
      </c>
      <c r="D99">
        <v>0.137575</v>
      </c>
    </row>
    <row r="100" spans="1:4" x14ac:dyDescent="0.25">
      <c r="A100">
        <v>59</v>
      </c>
      <c r="B100">
        <v>53</v>
      </c>
      <c r="C100">
        <v>410530052033</v>
      </c>
      <c r="D100">
        <v>1.4173150000000001</v>
      </c>
    </row>
    <row r="101" spans="1:4" x14ac:dyDescent="0.25">
      <c r="A101">
        <v>59</v>
      </c>
      <c r="B101">
        <v>53</v>
      </c>
      <c r="C101">
        <v>410530052051</v>
      </c>
      <c r="D101">
        <v>3.2189329999999998</v>
      </c>
    </row>
    <row r="102" spans="1:4" x14ac:dyDescent="0.25">
      <c r="A102">
        <v>59</v>
      </c>
      <c r="B102">
        <v>53</v>
      </c>
      <c r="C102">
        <v>410530052052</v>
      </c>
      <c r="D102">
        <v>95.226185999999998</v>
      </c>
    </row>
    <row r="103" spans="1:4" x14ac:dyDescent="0.25">
      <c r="A103">
        <v>60</v>
      </c>
      <c r="B103">
        <v>51</v>
      </c>
      <c r="C103">
        <v>410530052031</v>
      </c>
      <c r="D103">
        <v>1.8086610000000001</v>
      </c>
    </row>
    <row r="104" spans="1:4" x14ac:dyDescent="0.25">
      <c r="A104">
        <v>60</v>
      </c>
      <c r="B104">
        <v>51</v>
      </c>
      <c r="C104">
        <v>410530052051</v>
      </c>
      <c r="D104">
        <v>97.993382999999994</v>
      </c>
    </row>
    <row r="105" spans="1:4" x14ac:dyDescent="0.25">
      <c r="A105">
        <v>60</v>
      </c>
      <c r="B105">
        <v>51</v>
      </c>
      <c r="C105">
        <v>410530052061</v>
      </c>
      <c r="D105">
        <v>0.197962</v>
      </c>
    </row>
    <row r="106" spans="1:4" x14ac:dyDescent="0.25">
      <c r="A106">
        <v>61</v>
      </c>
      <c r="B106">
        <v>399</v>
      </c>
      <c r="C106">
        <v>410530052031</v>
      </c>
      <c r="D106">
        <v>2.892E-3</v>
      </c>
    </row>
    <row r="107" spans="1:4" x14ac:dyDescent="0.25">
      <c r="A107">
        <v>61</v>
      </c>
      <c r="B107">
        <v>399</v>
      </c>
      <c r="C107">
        <v>410530052051</v>
      </c>
      <c r="D107">
        <v>1.0433E-2</v>
      </c>
    </row>
    <row r="108" spans="1:4" x14ac:dyDescent="0.25">
      <c r="A108">
        <v>61</v>
      </c>
      <c r="B108">
        <v>399</v>
      </c>
      <c r="C108">
        <v>410530052061</v>
      </c>
      <c r="D108">
        <v>99.986637999999999</v>
      </c>
    </row>
    <row r="109" spans="1:4" x14ac:dyDescent="0.25">
      <c r="A109">
        <v>62</v>
      </c>
      <c r="B109">
        <v>399</v>
      </c>
      <c r="C109">
        <v>410470002001</v>
      </c>
      <c r="D109">
        <v>1.1469400000000001</v>
      </c>
    </row>
    <row r="110" spans="1:4" x14ac:dyDescent="0.25">
      <c r="A110">
        <v>62</v>
      </c>
      <c r="B110">
        <v>399</v>
      </c>
      <c r="C110">
        <v>410470002002</v>
      </c>
      <c r="D110">
        <v>1.437476</v>
      </c>
    </row>
    <row r="111" spans="1:4" x14ac:dyDescent="0.25">
      <c r="A111">
        <v>62</v>
      </c>
      <c r="B111">
        <v>399</v>
      </c>
      <c r="C111">
        <v>410470003003</v>
      </c>
      <c r="D111">
        <v>0.10882699999999999</v>
      </c>
    </row>
    <row r="112" spans="1:4" x14ac:dyDescent="0.25">
      <c r="A112">
        <v>62</v>
      </c>
      <c r="B112">
        <v>399</v>
      </c>
      <c r="C112">
        <v>410470013001</v>
      </c>
      <c r="D112">
        <v>0.56066199999999999</v>
      </c>
    </row>
    <row r="113" spans="1:4" x14ac:dyDescent="0.25">
      <c r="A113">
        <v>62</v>
      </c>
      <c r="B113">
        <v>399</v>
      </c>
      <c r="C113">
        <v>410530051001</v>
      </c>
      <c r="D113">
        <v>6.4063160000000003</v>
      </c>
    </row>
    <row r="114" spans="1:4" x14ac:dyDescent="0.25">
      <c r="A114">
        <v>62</v>
      </c>
      <c r="B114">
        <v>399</v>
      </c>
      <c r="C114">
        <v>410530052041</v>
      </c>
      <c r="D114">
        <v>12.991346</v>
      </c>
    </row>
    <row r="115" spans="1:4" x14ac:dyDescent="0.25">
      <c r="A115">
        <v>62</v>
      </c>
      <c r="B115">
        <v>399</v>
      </c>
      <c r="C115">
        <v>410530052061</v>
      </c>
      <c r="D115">
        <v>77.348449000000002</v>
      </c>
    </row>
    <row r="116" spans="1:4" x14ac:dyDescent="0.25">
      <c r="A116">
        <v>63</v>
      </c>
      <c r="B116">
        <v>68</v>
      </c>
      <c r="C116">
        <v>410530051001</v>
      </c>
      <c r="D116">
        <v>20.810661</v>
      </c>
    </row>
    <row r="117" spans="1:4" x14ac:dyDescent="0.25">
      <c r="A117">
        <v>63</v>
      </c>
      <c r="B117">
        <v>68</v>
      </c>
      <c r="C117">
        <v>410530052031</v>
      </c>
      <c r="D117">
        <v>1.7228E-2</v>
      </c>
    </row>
    <row r="118" spans="1:4" x14ac:dyDescent="0.25">
      <c r="A118">
        <v>63</v>
      </c>
      <c r="B118">
        <v>68</v>
      </c>
      <c r="C118">
        <v>410530052041</v>
      </c>
      <c r="D118">
        <v>1.3617349999999999</v>
      </c>
    </row>
    <row r="119" spans="1:4" x14ac:dyDescent="0.25">
      <c r="A119">
        <v>63</v>
      </c>
      <c r="B119">
        <v>68</v>
      </c>
      <c r="C119">
        <v>410530052061</v>
      </c>
      <c r="D119">
        <v>77.810372000000001</v>
      </c>
    </row>
    <row r="120" spans="1:4" x14ac:dyDescent="0.25">
      <c r="A120">
        <v>64</v>
      </c>
      <c r="B120">
        <v>65</v>
      </c>
      <c r="C120">
        <v>410530051001</v>
      </c>
      <c r="D120">
        <v>83.891262999999995</v>
      </c>
    </row>
    <row r="121" spans="1:4" x14ac:dyDescent="0.25">
      <c r="A121">
        <v>64</v>
      </c>
      <c r="B121">
        <v>65</v>
      </c>
      <c r="C121">
        <v>410530052031</v>
      </c>
      <c r="D121">
        <v>15.387511</v>
      </c>
    </row>
    <row r="122" spans="1:4" x14ac:dyDescent="0.25">
      <c r="A122">
        <v>64</v>
      </c>
      <c r="B122">
        <v>65</v>
      </c>
      <c r="C122">
        <v>410530052061</v>
      </c>
      <c r="D122">
        <v>0.72121500000000005</v>
      </c>
    </row>
    <row r="123" spans="1:4" x14ac:dyDescent="0.25">
      <c r="A123">
        <v>65</v>
      </c>
      <c r="B123">
        <v>65</v>
      </c>
      <c r="C123">
        <v>410530051002</v>
      </c>
      <c r="D123">
        <v>0.117214</v>
      </c>
    </row>
    <row r="124" spans="1:4" x14ac:dyDescent="0.25">
      <c r="A124">
        <v>65</v>
      </c>
      <c r="B124">
        <v>65</v>
      </c>
      <c r="C124">
        <v>410530052031</v>
      </c>
      <c r="D124">
        <v>69.004880999999997</v>
      </c>
    </row>
    <row r="125" spans="1:4" x14ac:dyDescent="0.25">
      <c r="A125">
        <v>65</v>
      </c>
      <c r="B125">
        <v>65</v>
      </c>
      <c r="C125">
        <v>410530052033</v>
      </c>
      <c r="D125">
        <v>30.877915999999999</v>
      </c>
    </row>
    <row r="126" spans="1:4" x14ac:dyDescent="0.25">
      <c r="A126">
        <v>66</v>
      </c>
      <c r="B126">
        <v>406</v>
      </c>
      <c r="C126">
        <v>410530052032</v>
      </c>
      <c r="D126">
        <v>3.1061999999999999E-2</v>
      </c>
    </row>
    <row r="127" spans="1:4" x14ac:dyDescent="0.25">
      <c r="A127">
        <v>66</v>
      </c>
      <c r="B127">
        <v>406</v>
      </c>
      <c r="C127">
        <v>410530052033</v>
      </c>
      <c r="D127">
        <v>99.842896999999994</v>
      </c>
    </row>
    <row r="128" spans="1:4" x14ac:dyDescent="0.25">
      <c r="A128">
        <v>66</v>
      </c>
      <c r="B128">
        <v>406</v>
      </c>
      <c r="C128">
        <v>410530052041</v>
      </c>
      <c r="D128">
        <v>5.4113000000000001E-2</v>
      </c>
    </row>
    <row r="129" spans="1:4" x14ac:dyDescent="0.25">
      <c r="A129">
        <v>66</v>
      </c>
      <c r="B129">
        <v>406</v>
      </c>
      <c r="C129">
        <v>410530052042</v>
      </c>
      <c r="D129">
        <v>7.1926000000000004E-2</v>
      </c>
    </row>
    <row r="130" spans="1:4" x14ac:dyDescent="0.25">
      <c r="A130">
        <v>67</v>
      </c>
      <c r="B130">
        <v>404</v>
      </c>
      <c r="C130">
        <v>410530052032</v>
      </c>
      <c r="D130">
        <v>82.801079999999999</v>
      </c>
    </row>
    <row r="131" spans="1:4" x14ac:dyDescent="0.25">
      <c r="A131">
        <v>67</v>
      </c>
      <c r="B131">
        <v>404</v>
      </c>
      <c r="C131">
        <v>410530052033</v>
      </c>
      <c r="D131">
        <v>16.541834999999999</v>
      </c>
    </row>
    <row r="132" spans="1:4" x14ac:dyDescent="0.25">
      <c r="A132">
        <v>67</v>
      </c>
      <c r="B132">
        <v>404</v>
      </c>
      <c r="C132">
        <v>410530052042</v>
      </c>
      <c r="D132">
        <v>0.42754500000000001</v>
      </c>
    </row>
    <row r="133" spans="1:4" x14ac:dyDescent="0.25">
      <c r="A133">
        <v>67</v>
      </c>
      <c r="B133">
        <v>404</v>
      </c>
      <c r="C133">
        <v>410530052052</v>
      </c>
      <c r="D133">
        <v>0.217027</v>
      </c>
    </row>
    <row r="134" spans="1:4" x14ac:dyDescent="0.25">
      <c r="A134">
        <v>67</v>
      </c>
      <c r="B134">
        <v>404</v>
      </c>
      <c r="C134">
        <v>410530053011</v>
      </c>
      <c r="D134">
        <v>1.2513E-2</v>
      </c>
    </row>
    <row r="135" spans="1:4" x14ac:dyDescent="0.25">
      <c r="A135">
        <v>68</v>
      </c>
      <c r="B135">
        <v>404</v>
      </c>
      <c r="C135">
        <v>410530052032</v>
      </c>
      <c r="D135">
        <v>99.134332999999998</v>
      </c>
    </row>
    <row r="136" spans="1:4" x14ac:dyDescent="0.25">
      <c r="A136">
        <v>68</v>
      </c>
      <c r="B136">
        <v>404</v>
      </c>
      <c r="C136">
        <v>410530052052</v>
      </c>
      <c r="D136">
        <v>0.19321199999999999</v>
      </c>
    </row>
    <row r="137" spans="1:4" x14ac:dyDescent="0.25">
      <c r="A137">
        <v>68</v>
      </c>
      <c r="B137">
        <v>404</v>
      </c>
      <c r="C137">
        <v>410530053011</v>
      </c>
      <c r="D137">
        <v>0.67244400000000004</v>
      </c>
    </row>
    <row r="138" spans="1:4" x14ac:dyDescent="0.25">
      <c r="A138">
        <v>69</v>
      </c>
      <c r="B138">
        <v>406</v>
      </c>
      <c r="C138">
        <v>410530052032</v>
      </c>
      <c r="D138">
        <v>0.68131399999999998</v>
      </c>
    </row>
    <row r="139" spans="1:4" x14ac:dyDescent="0.25">
      <c r="A139">
        <v>69</v>
      </c>
      <c r="B139">
        <v>406</v>
      </c>
      <c r="C139">
        <v>410530052042</v>
      </c>
      <c r="D139">
        <v>1.067175</v>
      </c>
    </row>
    <row r="140" spans="1:4" x14ac:dyDescent="0.25">
      <c r="A140">
        <v>69</v>
      </c>
      <c r="B140">
        <v>406</v>
      </c>
      <c r="C140">
        <v>410530053011</v>
      </c>
      <c r="D140">
        <v>96.749387999999996</v>
      </c>
    </row>
    <row r="141" spans="1:4" x14ac:dyDescent="0.25">
      <c r="A141">
        <v>69</v>
      </c>
      <c r="B141">
        <v>406</v>
      </c>
      <c r="C141">
        <v>410530053014</v>
      </c>
      <c r="D141">
        <v>1.5021180000000001</v>
      </c>
    </row>
    <row r="142" spans="1:4" x14ac:dyDescent="0.25">
      <c r="A142">
        <v>70</v>
      </c>
      <c r="B142">
        <v>406</v>
      </c>
      <c r="C142">
        <v>410530052032</v>
      </c>
      <c r="D142">
        <v>9.9999999999999995E-7</v>
      </c>
    </row>
    <row r="143" spans="1:4" x14ac:dyDescent="0.25">
      <c r="A143">
        <v>70</v>
      </c>
      <c r="B143">
        <v>406</v>
      </c>
      <c r="C143">
        <v>410530052033</v>
      </c>
      <c r="D143">
        <v>3.1824999999999999E-2</v>
      </c>
    </row>
    <row r="144" spans="1:4" x14ac:dyDescent="0.25">
      <c r="A144">
        <v>70</v>
      </c>
      <c r="B144">
        <v>406</v>
      </c>
      <c r="C144">
        <v>410530052042</v>
      </c>
      <c r="D144">
        <v>99.968175000000002</v>
      </c>
    </row>
    <row r="145" spans="1:4" x14ac:dyDescent="0.25">
      <c r="A145">
        <v>71</v>
      </c>
      <c r="B145">
        <v>407</v>
      </c>
      <c r="C145">
        <v>410530052031</v>
      </c>
      <c r="D145">
        <v>0.78980700000000004</v>
      </c>
    </row>
    <row r="146" spans="1:4" x14ac:dyDescent="0.25">
      <c r="A146">
        <v>71</v>
      </c>
      <c r="B146">
        <v>407</v>
      </c>
      <c r="C146">
        <v>410530052033</v>
      </c>
      <c r="D146">
        <v>1.337275</v>
      </c>
    </row>
    <row r="147" spans="1:4" x14ac:dyDescent="0.25">
      <c r="A147">
        <v>71</v>
      </c>
      <c r="B147">
        <v>407</v>
      </c>
      <c r="C147">
        <v>410530052041</v>
      </c>
      <c r="D147">
        <v>67.396455000000003</v>
      </c>
    </row>
    <row r="148" spans="1:4" x14ac:dyDescent="0.25">
      <c r="A148">
        <v>71</v>
      </c>
      <c r="B148">
        <v>407</v>
      </c>
      <c r="C148">
        <v>410530052042</v>
      </c>
      <c r="D148">
        <v>30.476462999999999</v>
      </c>
    </row>
    <row r="149" spans="1:4" x14ac:dyDescent="0.25">
      <c r="A149">
        <v>72</v>
      </c>
      <c r="B149">
        <v>407</v>
      </c>
      <c r="C149">
        <v>410530052041</v>
      </c>
      <c r="D149">
        <v>99.999998000000005</v>
      </c>
    </row>
    <row r="150" spans="1:4" x14ac:dyDescent="0.25">
      <c r="A150">
        <v>73</v>
      </c>
      <c r="B150">
        <v>407</v>
      </c>
      <c r="C150">
        <v>410470024002</v>
      </c>
      <c r="D150">
        <v>2.0041419999999999</v>
      </c>
    </row>
    <row r="151" spans="1:4" x14ac:dyDescent="0.25">
      <c r="A151">
        <v>73</v>
      </c>
      <c r="B151">
        <v>407</v>
      </c>
      <c r="C151">
        <v>410530052031</v>
      </c>
      <c r="D151">
        <v>1.2880000000000001E-3</v>
      </c>
    </row>
    <row r="152" spans="1:4" x14ac:dyDescent="0.25">
      <c r="A152">
        <v>73</v>
      </c>
      <c r="B152">
        <v>407</v>
      </c>
      <c r="C152">
        <v>410530052041</v>
      </c>
      <c r="D152">
        <v>89.958337</v>
      </c>
    </row>
    <row r="153" spans="1:4" x14ac:dyDescent="0.25">
      <c r="A153">
        <v>73</v>
      </c>
      <c r="B153">
        <v>407</v>
      </c>
      <c r="C153">
        <v>410530052042</v>
      </c>
      <c r="D153">
        <v>8.0362340000000003</v>
      </c>
    </row>
    <row r="154" spans="1:4" x14ac:dyDescent="0.25">
      <c r="A154">
        <v>74</v>
      </c>
      <c r="B154">
        <v>407</v>
      </c>
      <c r="C154">
        <v>410530051002</v>
      </c>
      <c r="D154">
        <v>2.5168750000000002</v>
      </c>
    </row>
    <row r="155" spans="1:4" x14ac:dyDescent="0.25">
      <c r="A155">
        <v>74</v>
      </c>
      <c r="B155">
        <v>407</v>
      </c>
      <c r="C155">
        <v>410530052031</v>
      </c>
      <c r="D155">
        <v>50.406041999999999</v>
      </c>
    </row>
    <row r="156" spans="1:4" x14ac:dyDescent="0.25">
      <c r="A156">
        <v>74</v>
      </c>
      <c r="B156">
        <v>407</v>
      </c>
      <c r="C156">
        <v>410530052033</v>
      </c>
      <c r="D156">
        <v>46.952227999999998</v>
      </c>
    </row>
    <row r="157" spans="1:4" x14ac:dyDescent="0.25">
      <c r="A157">
        <v>74</v>
      </c>
      <c r="B157">
        <v>407</v>
      </c>
      <c r="C157">
        <v>410530052041</v>
      </c>
      <c r="D157">
        <v>0.124852</v>
      </c>
    </row>
    <row r="158" spans="1:4" x14ac:dyDescent="0.25">
      <c r="A158">
        <v>75</v>
      </c>
      <c r="B158">
        <v>62</v>
      </c>
      <c r="C158">
        <v>410530051001</v>
      </c>
      <c r="D158">
        <v>3.0705E-2</v>
      </c>
    </row>
    <row r="159" spans="1:4" x14ac:dyDescent="0.25">
      <c r="A159">
        <v>75</v>
      </c>
      <c r="B159">
        <v>62</v>
      </c>
      <c r="C159">
        <v>410530051002</v>
      </c>
      <c r="D159">
        <v>99.840418</v>
      </c>
    </row>
    <row r="160" spans="1:4" x14ac:dyDescent="0.25">
      <c r="A160">
        <v>75</v>
      </c>
      <c r="B160">
        <v>62</v>
      </c>
      <c r="C160">
        <v>410530052031</v>
      </c>
      <c r="D160">
        <v>0.12887199999999999</v>
      </c>
    </row>
    <row r="161" spans="1:4" x14ac:dyDescent="0.25">
      <c r="A161">
        <v>76</v>
      </c>
      <c r="B161">
        <v>407</v>
      </c>
      <c r="C161">
        <v>410470013001</v>
      </c>
      <c r="D161">
        <v>0.89353499999999997</v>
      </c>
    </row>
    <row r="162" spans="1:4" x14ac:dyDescent="0.25">
      <c r="A162">
        <v>76</v>
      </c>
      <c r="B162">
        <v>407</v>
      </c>
      <c r="C162">
        <v>410530051001</v>
      </c>
      <c r="D162">
        <v>4.1330000000000004E-3</v>
      </c>
    </row>
    <row r="163" spans="1:4" x14ac:dyDescent="0.25">
      <c r="A163">
        <v>76</v>
      </c>
      <c r="B163">
        <v>407</v>
      </c>
      <c r="C163">
        <v>410530051002</v>
      </c>
      <c r="D163">
        <v>21.026827999999998</v>
      </c>
    </row>
    <row r="164" spans="1:4" x14ac:dyDescent="0.25">
      <c r="A164">
        <v>76</v>
      </c>
      <c r="B164">
        <v>407</v>
      </c>
      <c r="C164">
        <v>410530052031</v>
      </c>
      <c r="D164">
        <v>34.217691000000002</v>
      </c>
    </row>
    <row r="165" spans="1:4" x14ac:dyDescent="0.25">
      <c r="A165">
        <v>76</v>
      </c>
      <c r="B165">
        <v>407</v>
      </c>
      <c r="C165">
        <v>410530052041</v>
      </c>
      <c r="D165">
        <v>43.857816999999997</v>
      </c>
    </row>
    <row r="166" spans="1:4" x14ac:dyDescent="0.25">
      <c r="A166">
        <v>77</v>
      </c>
      <c r="B166">
        <v>64</v>
      </c>
      <c r="C166">
        <v>410470013001</v>
      </c>
      <c r="D166">
        <v>4.0048630000000003</v>
      </c>
    </row>
    <row r="167" spans="1:4" x14ac:dyDescent="0.25">
      <c r="A167">
        <v>77</v>
      </c>
      <c r="B167">
        <v>64</v>
      </c>
      <c r="C167">
        <v>410530051001</v>
      </c>
      <c r="D167">
        <v>41.78528</v>
      </c>
    </row>
    <row r="168" spans="1:4" x14ac:dyDescent="0.25">
      <c r="A168">
        <v>77</v>
      </c>
      <c r="B168">
        <v>64</v>
      </c>
      <c r="C168">
        <v>410530051002</v>
      </c>
      <c r="D168">
        <v>5.4429999999999999E-3</v>
      </c>
    </row>
    <row r="169" spans="1:4" x14ac:dyDescent="0.25">
      <c r="A169">
        <v>77</v>
      </c>
      <c r="B169">
        <v>64</v>
      </c>
      <c r="C169">
        <v>410530052041</v>
      </c>
      <c r="D169">
        <v>54.204407000000003</v>
      </c>
    </row>
    <row r="170" spans="1:4" x14ac:dyDescent="0.25">
      <c r="A170">
        <v>78</v>
      </c>
      <c r="B170">
        <v>63</v>
      </c>
      <c r="C170">
        <v>410530051001</v>
      </c>
      <c r="D170">
        <v>76.346344000000002</v>
      </c>
    </row>
    <row r="171" spans="1:4" x14ac:dyDescent="0.25">
      <c r="A171">
        <v>78</v>
      </c>
      <c r="B171">
        <v>63</v>
      </c>
      <c r="C171">
        <v>410530051002</v>
      </c>
      <c r="D171">
        <v>9.6342999999999998E-2</v>
      </c>
    </row>
    <row r="172" spans="1:4" x14ac:dyDescent="0.25">
      <c r="A172">
        <v>78</v>
      </c>
      <c r="B172">
        <v>63</v>
      </c>
      <c r="C172">
        <v>410530052031</v>
      </c>
      <c r="D172">
        <v>23.557314000000002</v>
      </c>
    </row>
    <row r="173" spans="1:4" x14ac:dyDescent="0.25">
      <c r="A173">
        <v>79</v>
      </c>
      <c r="B173">
        <v>67</v>
      </c>
      <c r="C173">
        <v>410470013001</v>
      </c>
      <c r="D173">
        <v>3.5883970000000001</v>
      </c>
    </row>
    <row r="174" spans="1:4" x14ac:dyDescent="0.25">
      <c r="A174">
        <v>79</v>
      </c>
      <c r="B174">
        <v>67</v>
      </c>
      <c r="C174">
        <v>410530051001</v>
      </c>
      <c r="D174">
        <v>54.235908000000002</v>
      </c>
    </row>
    <row r="175" spans="1:4" x14ac:dyDescent="0.25">
      <c r="A175">
        <v>79</v>
      </c>
      <c r="B175">
        <v>67</v>
      </c>
      <c r="C175">
        <v>410530052041</v>
      </c>
      <c r="D175">
        <v>42.034379000000001</v>
      </c>
    </row>
    <row r="176" spans="1:4" x14ac:dyDescent="0.25">
      <c r="A176">
        <v>79</v>
      </c>
      <c r="B176">
        <v>67</v>
      </c>
      <c r="C176">
        <v>410530052061</v>
      </c>
      <c r="D176">
        <v>0.141317</v>
      </c>
    </row>
    <row r="177" spans="1:4" x14ac:dyDescent="0.25">
      <c r="A177">
        <v>80</v>
      </c>
      <c r="B177">
        <v>79</v>
      </c>
      <c r="C177">
        <v>410470014012</v>
      </c>
      <c r="D177">
        <v>4.9950000000000003E-3</v>
      </c>
    </row>
    <row r="178" spans="1:4" x14ac:dyDescent="0.25">
      <c r="A178">
        <v>80</v>
      </c>
      <c r="B178">
        <v>79</v>
      </c>
      <c r="C178">
        <v>410470025021</v>
      </c>
      <c r="D178">
        <v>99.992289</v>
      </c>
    </row>
    <row r="179" spans="1:4" x14ac:dyDescent="0.25">
      <c r="A179">
        <v>80</v>
      </c>
      <c r="B179">
        <v>79</v>
      </c>
      <c r="C179">
        <v>410470025032</v>
      </c>
      <c r="D179">
        <v>2.3739999999999998E-3</v>
      </c>
    </row>
    <row r="180" spans="1:4" x14ac:dyDescent="0.25">
      <c r="A180">
        <v>80</v>
      </c>
      <c r="B180">
        <v>79</v>
      </c>
      <c r="C180">
        <v>410470025043</v>
      </c>
      <c r="D180">
        <v>3.4099999999999999E-4</v>
      </c>
    </row>
    <row r="181" spans="1:4" x14ac:dyDescent="0.25">
      <c r="A181">
        <v>81</v>
      </c>
      <c r="B181">
        <v>399</v>
      </c>
      <c r="C181">
        <v>410470014012</v>
      </c>
      <c r="D181">
        <v>96.172454999999999</v>
      </c>
    </row>
    <row r="182" spans="1:4" x14ac:dyDescent="0.25">
      <c r="A182">
        <v>81</v>
      </c>
      <c r="B182">
        <v>399</v>
      </c>
      <c r="C182">
        <v>410470025021</v>
      </c>
      <c r="D182">
        <v>0.94797399999999998</v>
      </c>
    </row>
    <row r="183" spans="1:4" x14ac:dyDescent="0.25">
      <c r="A183">
        <v>81</v>
      </c>
      <c r="B183">
        <v>399</v>
      </c>
      <c r="C183">
        <v>410530053012</v>
      </c>
      <c r="D183">
        <v>0.45237100000000002</v>
      </c>
    </row>
    <row r="184" spans="1:4" x14ac:dyDescent="0.25">
      <c r="A184">
        <v>81</v>
      </c>
      <c r="B184">
        <v>399</v>
      </c>
      <c r="C184">
        <v>410530053013</v>
      </c>
      <c r="D184">
        <v>2.4272</v>
      </c>
    </row>
    <row r="185" spans="1:4" x14ac:dyDescent="0.25">
      <c r="A185">
        <v>82</v>
      </c>
      <c r="B185">
        <v>81</v>
      </c>
      <c r="C185">
        <v>410470014011</v>
      </c>
      <c r="D185">
        <v>94.443263999999999</v>
      </c>
    </row>
    <row r="186" spans="1:4" x14ac:dyDescent="0.25">
      <c r="A186">
        <v>82</v>
      </c>
      <c r="B186">
        <v>81</v>
      </c>
      <c r="C186">
        <v>410470014012</v>
      </c>
      <c r="D186">
        <v>1.695778</v>
      </c>
    </row>
    <row r="187" spans="1:4" x14ac:dyDescent="0.25">
      <c r="A187">
        <v>82</v>
      </c>
      <c r="B187">
        <v>81</v>
      </c>
      <c r="C187">
        <v>410470014013</v>
      </c>
      <c r="D187">
        <v>0.54077299999999995</v>
      </c>
    </row>
    <row r="188" spans="1:4" x14ac:dyDescent="0.25">
      <c r="A188">
        <v>82</v>
      </c>
      <c r="B188">
        <v>81</v>
      </c>
      <c r="C188">
        <v>410470025021</v>
      </c>
      <c r="D188">
        <v>3.3201860000000001</v>
      </c>
    </row>
    <row r="189" spans="1:4" x14ac:dyDescent="0.25">
      <c r="A189">
        <v>83</v>
      </c>
      <c r="B189">
        <v>74</v>
      </c>
      <c r="C189">
        <v>410470025021</v>
      </c>
      <c r="D189">
        <v>99.935828000000001</v>
      </c>
    </row>
    <row r="190" spans="1:4" x14ac:dyDescent="0.25">
      <c r="A190">
        <v>83</v>
      </c>
      <c r="B190">
        <v>74</v>
      </c>
      <c r="C190">
        <v>410470025043</v>
      </c>
      <c r="D190">
        <v>6.4170000000000005E-2</v>
      </c>
    </row>
    <row r="191" spans="1:4" x14ac:dyDescent="0.25">
      <c r="A191">
        <v>84</v>
      </c>
      <c r="B191">
        <v>73</v>
      </c>
      <c r="C191">
        <v>410470025021</v>
      </c>
      <c r="D191">
        <v>99.999999000000003</v>
      </c>
    </row>
    <row r="192" spans="1:4" x14ac:dyDescent="0.25">
      <c r="A192">
        <v>85</v>
      </c>
      <c r="B192">
        <v>73</v>
      </c>
      <c r="C192">
        <v>410470025021</v>
      </c>
      <c r="D192">
        <v>68.221293000000003</v>
      </c>
    </row>
    <row r="193" spans="1:4" x14ac:dyDescent="0.25">
      <c r="A193">
        <v>85</v>
      </c>
      <c r="B193">
        <v>73</v>
      </c>
      <c r="C193">
        <v>410470025042</v>
      </c>
      <c r="D193">
        <v>31.778711999999999</v>
      </c>
    </row>
    <row r="194" spans="1:4" x14ac:dyDescent="0.25">
      <c r="A194">
        <v>86</v>
      </c>
      <c r="B194">
        <v>86</v>
      </c>
      <c r="C194">
        <v>410470025021</v>
      </c>
      <c r="D194">
        <v>59.828539999999997</v>
      </c>
    </row>
    <row r="195" spans="1:4" x14ac:dyDescent="0.25">
      <c r="A195">
        <v>86</v>
      </c>
      <c r="B195">
        <v>86</v>
      </c>
      <c r="C195">
        <v>410470025031</v>
      </c>
      <c r="D195">
        <v>0.135902</v>
      </c>
    </row>
    <row r="196" spans="1:4" x14ac:dyDescent="0.25">
      <c r="A196">
        <v>86</v>
      </c>
      <c r="B196">
        <v>86</v>
      </c>
      <c r="C196">
        <v>410470025033</v>
      </c>
      <c r="D196">
        <v>39.517972999999998</v>
      </c>
    </row>
    <row r="197" spans="1:4" x14ac:dyDescent="0.25">
      <c r="A197">
        <v>86</v>
      </c>
      <c r="B197">
        <v>86</v>
      </c>
      <c r="C197">
        <v>410470025042</v>
      </c>
      <c r="D197">
        <v>0.51758499999999996</v>
      </c>
    </row>
    <row r="198" spans="1:4" x14ac:dyDescent="0.25">
      <c r="A198">
        <v>87</v>
      </c>
      <c r="B198">
        <v>74</v>
      </c>
      <c r="C198">
        <v>410470025021</v>
      </c>
      <c r="D198">
        <v>0.423319</v>
      </c>
    </row>
    <row r="199" spans="1:4" x14ac:dyDescent="0.25">
      <c r="A199">
        <v>87</v>
      </c>
      <c r="B199">
        <v>74</v>
      </c>
      <c r="C199">
        <v>410470025041</v>
      </c>
      <c r="D199">
        <v>18.272269000000001</v>
      </c>
    </row>
    <row r="200" spans="1:4" x14ac:dyDescent="0.25">
      <c r="A200">
        <v>87</v>
      </c>
      <c r="B200">
        <v>74</v>
      </c>
      <c r="C200">
        <v>410470025042</v>
      </c>
      <c r="D200">
        <v>41.936889000000001</v>
      </c>
    </row>
    <row r="201" spans="1:4" x14ac:dyDescent="0.25">
      <c r="A201">
        <v>87</v>
      </c>
      <c r="B201">
        <v>74</v>
      </c>
      <c r="C201">
        <v>410470025043</v>
      </c>
      <c r="D201">
        <v>39.367522999999998</v>
      </c>
    </row>
    <row r="202" spans="1:4" x14ac:dyDescent="0.25">
      <c r="A202">
        <v>88</v>
      </c>
      <c r="B202">
        <v>81</v>
      </c>
      <c r="C202">
        <v>410470014011</v>
      </c>
      <c r="D202">
        <v>0.285719</v>
      </c>
    </row>
    <row r="203" spans="1:4" x14ac:dyDescent="0.25">
      <c r="A203">
        <v>88</v>
      </c>
      <c r="B203">
        <v>81</v>
      </c>
      <c r="C203">
        <v>410470025021</v>
      </c>
      <c r="D203">
        <v>34.001973</v>
      </c>
    </row>
    <row r="204" spans="1:4" x14ac:dyDescent="0.25">
      <c r="A204">
        <v>88</v>
      </c>
      <c r="B204">
        <v>81</v>
      </c>
      <c r="C204">
        <v>410470025031</v>
      </c>
      <c r="D204">
        <v>4.0412119999999998</v>
      </c>
    </row>
    <row r="205" spans="1:4" x14ac:dyDescent="0.25">
      <c r="A205">
        <v>88</v>
      </c>
      <c r="B205">
        <v>81</v>
      </c>
      <c r="C205">
        <v>410470025032</v>
      </c>
      <c r="D205">
        <v>38.620444999999997</v>
      </c>
    </row>
    <row r="206" spans="1:4" x14ac:dyDescent="0.25">
      <c r="A206">
        <v>88</v>
      </c>
      <c r="B206">
        <v>81</v>
      </c>
      <c r="C206">
        <v>410470025041</v>
      </c>
      <c r="D206">
        <v>17.196137</v>
      </c>
    </row>
    <row r="207" spans="1:4" x14ac:dyDescent="0.25">
      <c r="A207">
        <v>88</v>
      </c>
      <c r="B207">
        <v>81</v>
      </c>
      <c r="C207">
        <v>410470025043</v>
      </c>
      <c r="D207">
        <v>5.8545210000000001</v>
      </c>
    </row>
    <row r="208" spans="1:4" x14ac:dyDescent="0.25">
      <c r="A208">
        <v>89</v>
      </c>
      <c r="B208">
        <v>77</v>
      </c>
      <c r="C208">
        <v>410470025031</v>
      </c>
      <c r="D208">
        <v>49.130895000000002</v>
      </c>
    </row>
    <row r="209" spans="1:4" x14ac:dyDescent="0.25">
      <c r="A209">
        <v>89</v>
      </c>
      <c r="B209">
        <v>77</v>
      </c>
      <c r="C209">
        <v>410470025032</v>
      </c>
      <c r="D209">
        <v>0.16697100000000001</v>
      </c>
    </row>
    <row r="210" spans="1:4" x14ac:dyDescent="0.25">
      <c r="A210">
        <v>89</v>
      </c>
      <c r="B210">
        <v>77</v>
      </c>
      <c r="C210">
        <v>410470025033</v>
      </c>
      <c r="D210">
        <v>0.224385</v>
      </c>
    </row>
    <row r="211" spans="1:4" x14ac:dyDescent="0.25">
      <c r="A211">
        <v>89</v>
      </c>
      <c r="B211">
        <v>77</v>
      </c>
      <c r="C211">
        <v>410470025041</v>
      </c>
      <c r="D211">
        <v>41.352533000000001</v>
      </c>
    </row>
    <row r="212" spans="1:4" x14ac:dyDescent="0.25">
      <c r="A212">
        <v>89</v>
      </c>
      <c r="B212">
        <v>77</v>
      </c>
      <c r="C212">
        <v>410470025042</v>
      </c>
      <c r="D212">
        <v>9.125216</v>
      </c>
    </row>
    <row r="213" spans="1:4" x14ac:dyDescent="0.25">
      <c r="A213">
        <v>90</v>
      </c>
      <c r="B213">
        <v>81</v>
      </c>
      <c r="C213">
        <v>410470014011</v>
      </c>
      <c r="D213">
        <v>0.421958</v>
      </c>
    </row>
    <row r="214" spans="1:4" x14ac:dyDescent="0.25">
      <c r="A214">
        <v>90</v>
      </c>
      <c r="B214">
        <v>81</v>
      </c>
      <c r="C214">
        <v>410470015012</v>
      </c>
      <c r="D214">
        <v>0.20788899999999999</v>
      </c>
    </row>
    <row r="215" spans="1:4" x14ac:dyDescent="0.25">
      <c r="A215">
        <v>90</v>
      </c>
      <c r="B215">
        <v>81</v>
      </c>
      <c r="C215">
        <v>410470025031</v>
      </c>
      <c r="D215">
        <v>1.7154670000000001</v>
      </c>
    </row>
    <row r="216" spans="1:4" x14ac:dyDescent="0.25">
      <c r="A216">
        <v>90</v>
      </c>
      <c r="B216">
        <v>81</v>
      </c>
      <c r="C216">
        <v>410470025032</v>
      </c>
      <c r="D216">
        <v>97.578169000000003</v>
      </c>
    </row>
    <row r="217" spans="1:4" x14ac:dyDescent="0.25">
      <c r="A217">
        <v>90</v>
      </c>
      <c r="B217">
        <v>81</v>
      </c>
      <c r="C217">
        <v>410470025033</v>
      </c>
      <c r="D217">
        <v>7.6525999999999997E-2</v>
      </c>
    </row>
    <row r="218" spans="1:4" x14ac:dyDescent="0.25">
      <c r="A218">
        <v>91</v>
      </c>
      <c r="B218">
        <v>81</v>
      </c>
      <c r="C218">
        <v>410470015012</v>
      </c>
      <c r="D218">
        <v>3.1935820000000001</v>
      </c>
    </row>
    <row r="219" spans="1:4" x14ac:dyDescent="0.25">
      <c r="A219">
        <v>91</v>
      </c>
      <c r="B219">
        <v>81</v>
      </c>
      <c r="C219">
        <v>410470025031</v>
      </c>
      <c r="D219">
        <v>0.19401399999999999</v>
      </c>
    </row>
    <row r="220" spans="1:4" x14ac:dyDescent="0.25">
      <c r="A220">
        <v>91</v>
      </c>
      <c r="B220">
        <v>81</v>
      </c>
      <c r="C220">
        <v>410470025032</v>
      </c>
      <c r="D220">
        <v>0.66247699999999998</v>
      </c>
    </row>
    <row r="221" spans="1:4" x14ac:dyDescent="0.25">
      <c r="A221">
        <v>91</v>
      </c>
      <c r="B221">
        <v>81</v>
      </c>
      <c r="C221">
        <v>410470025033</v>
      </c>
      <c r="D221">
        <v>95.949922999999998</v>
      </c>
    </row>
    <row r="222" spans="1:4" x14ac:dyDescent="0.25">
      <c r="A222">
        <v>92</v>
      </c>
      <c r="B222">
        <v>86</v>
      </c>
      <c r="C222">
        <v>410470015011</v>
      </c>
      <c r="D222">
        <v>92.712650999999994</v>
      </c>
    </row>
    <row r="223" spans="1:4" x14ac:dyDescent="0.25">
      <c r="A223">
        <v>92</v>
      </c>
      <c r="B223">
        <v>86</v>
      </c>
      <c r="C223">
        <v>410470025021</v>
      </c>
      <c r="D223">
        <v>6.0400369999999999</v>
      </c>
    </row>
    <row r="224" spans="1:4" x14ac:dyDescent="0.25">
      <c r="A224">
        <v>92</v>
      </c>
      <c r="B224">
        <v>86</v>
      </c>
      <c r="C224">
        <v>410470025023</v>
      </c>
      <c r="D224">
        <v>1.2473129999999999</v>
      </c>
    </row>
    <row r="225" spans="1:4" x14ac:dyDescent="0.25">
      <c r="A225">
        <v>93</v>
      </c>
      <c r="B225">
        <v>85</v>
      </c>
      <c r="C225">
        <v>410470015011</v>
      </c>
      <c r="D225">
        <v>97.094245999999998</v>
      </c>
    </row>
    <row r="226" spans="1:4" x14ac:dyDescent="0.25">
      <c r="A226">
        <v>93</v>
      </c>
      <c r="B226">
        <v>85</v>
      </c>
      <c r="C226">
        <v>410470015012</v>
      </c>
      <c r="D226">
        <v>1.985727</v>
      </c>
    </row>
    <row r="227" spans="1:4" x14ac:dyDescent="0.25">
      <c r="A227">
        <v>93</v>
      </c>
      <c r="B227">
        <v>85</v>
      </c>
      <c r="C227">
        <v>410470015022</v>
      </c>
      <c r="D227">
        <v>1.9999999999999999E-6</v>
      </c>
    </row>
    <row r="228" spans="1:4" x14ac:dyDescent="0.25">
      <c r="A228">
        <v>93</v>
      </c>
      <c r="B228">
        <v>85</v>
      </c>
      <c r="C228">
        <v>410470025021</v>
      </c>
      <c r="D228">
        <v>1.3388000000000001E-2</v>
      </c>
    </row>
    <row r="229" spans="1:4" x14ac:dyDescent="0.25">
      <c r="A229">
        <v>93</v>
      </c>
      <c r="B229">
        <v>85</v>
      </c>
      <c r="C229">
        <v>410470025033</v>
      </c>
      <c r="D229">
        <v>0.90663700000000003</v>
      </c>
    </row>
    <row r="230" spans="1:4" x14ac:dyDescent="0.25">
      <c r="A230">
        <v>94</v>
      </c>
      <c r="B230">
        <v>84</v>
      </c>
      <c r="C230">
        <v>410470015011</v>
      </c>
      <c r="D230">
        <v>8.5523869999999995</v>
      </c>
    </row>
    <row r="231" spans="1:4" x14ac:dyDescent="0.25">
      <c r="A231">
        <v>94</v>
      </c>
      <c r="B231">
        <v>84</v>
      </c>
      <c r="C231">
        <v>410470015012</v>
      </c>
      <c r="D231">
        <v>90.109651999999997</v>
      </c>
    </row>
    <row r="232" spans="1:4" x14ac:dyDescent="0.25">
      <c r="A232">
        <v>94</v>
      </c>
      <c r="B232">
        <v>84</v>
      </c>
      <c r="C232">
        <v>410470015022</v>
      </c>
      <c r="D232">
        <v>3.9315000000000003E-2</v>
      </c>
    </row>
    <row r="233" spans="1:4" x14ac:dyDescent="0.25">
      <c r="A233">
        <v>94</v>
      </c>
      <c r="B233">
        <v>84</v>
      </c>
      <c r="C233">
        <v>410470015023</v>
      </c>
      <c r="D233">
        <v>9.1996999999999995E-2</v>
      </c>
    </row>
    <row r="234" spans="1:4" x14ac:dyDescent="0.25">
      <c r="A234">
        <v>94</v>
      </c>
      <c r="B234">
        <v>84</v>
      </c>
      <c r="C234">
        <v>410470025033</v>
      </c>
      <c r="D234">
        <v>1.2066509999999999</v>
      </c>
    </row>
    <row r="235" spans="1:4" x14ac:dyDescent="0.25">
      <c r="A235">
        <v>95</v>
      </c>
      <c r="B235">
        <v>83</v>
      </c>
      <c r="C235">
        <v>410470014011</v>
      </c>
      <c r="D235">
        <v>4.7571000000000002E-2</v>
      </c>
    </row>
    <row r="236" spans="1:4" x14ac:dyDescent="0.25">
      <c r="A236">
        <v>95</v>
      </c>
      <c r="B236">
        <v>83</v>
      </c>
      <c r="C236">
        <v>410470015012</v>
      </c>
      <c r="D236">
        <v>44.090483999999996</v>
      </c>
    </row>
    <row r="237" spans="1:4" x14ac:dyDescent="0.25">
      <c r="A237">
        <v>95</v>
      </c>
      <c r="B237">
        <v>83</v>
      </c>
      <c r="C237">
        <v>410470015013</v>
      </c>
      <c r="D237">
        <v>55.500768999999998</v>
      </c>
    </row>
    <row r="238" spans="1:4" x14ac:dyDescent="0.25">
      <c r="A238">
        <v>95</v>
      </c>
      <c r="B238">
        <v>83</v>
      </c>
      <c r="C238">
        <v>410470015023</v>
      </c>
      <c r="D238">
        <v>5.5695000000000001E-2</v>
      </c>
    </row>
    <row r="239" spans="1:4" x14ac:dyDescent="0.25">
      <c r="A239">
        <v>95</v>
      </c>
      <c r="B239">
        <v>83</v>
      </c>
      <c r="C239">
        <v>410470025033</v>
      </c>
      <c r="D239">
        <v>0.305483</v>
      </c>
    </row>
    <row r="240" spans="1:4" x14ac:dyDescent="0.25">
      <c r="A240">
        <v>96</v>
      </c>
      <c r="B240">
        <v>81</v>
      </c>
      <c r="C240">
        <v>410470014011</v>
      </c>
      <c r="D240">
        <v>92.972391000000002</v>
      </c>
    </row>
    <row r="241" spans="1:4" x14ac:dyDescent="0.25">
      <c r="A241">
        <v>96</v>
      </c>
      <c r="B241">
        <v>81</v>
      </c>
      <c r="C241">
        <v>410470015013</v>
      </c>
      <c r="D241">
        <v>0.12424</v>
      </c>
    </row>
    <row r="242" spans="1:4" x14ac:dyDescent="0.25">
      <c r="A242">
        <v>96</v>
      </c>
      <c r="B242">
        <v>81</v>
      </c>
      <c r="C242">
        <v>410470025021</v>
      </c>
      <c r="D242">
        <v>6.2442650000000004</v>
      </c>
    </row>
    <row r="243" spans="1:4" x14ac:dyDescent="0.25">
      <c r="A243">
        <v>96</v>
      </c>
      <c r="B243">
        <v>81</v>
      </c>
      <c r="C243">
        <v>410470025032</v>
      </c>
      <c r="D243">
        <v>0.65909799999999996</v>
      </c>
    </row>
    <row r="244" spans="1:4" x14ac:dyDescent="0.25">
      <c r="A244">
        <v>97</v>
      </c>
      <c r="B244">
        <v>88</v>
      </c>
      <c r="C244">
        <v>410470014011</v>
      </c>
      <c r="D244">
        <v>97.766204999999999</v>
      </c>
    </row>
    <row r="245" spans="1:4" x14ac:dyDescent="0.25">
      <c r="A245">
        <v>97</v>
      </c>
      <c r="B245">
        <v>88</v>
      </c>
      <c r="C245">
        <v>410470014013</v>
      </c>
      <c r="D245">
        <v>1.6387160000000001</v>
      </c>
    </row>
    <row r="246" spans="1:4" x14ac:dyDescent="0.25">
      <c r="A246">
        <v>97</v>
      </c>
      <c r="B246">
        <v>88</v>
      </c>
      <c r="C246">
        <v>410470015013</v>
      </c>
      <c r="D246">
        <v>0.595082</v>
      </c>
    </row>
    <row r="247" spans="1:4" x14ac:dyDescent="0.25">
      <c r="A247">
        <v>98</v>
      </c>
      <c r="B247">
        <v>94</v>
      </c>
      <c r="C247">
        <v>410470015011</v>
      </c>
      <c r="D247">
        <v>97.603662999999997</v>
      </c>
    </row>
    <row r="248" spans="1:4" x14ac:dyDescent="0.25">
      <c r="A248">
        <v>98</v>
      </c>
      <c r="B248">
        <v>94</v>
      </c>
      <c r="C248">
        <v>410470025023</v>
      </c>
      <c r="D248">
        <v>2.396334</v>
      </c>
    </row>
    <row r="249" spans="1:4" x14ac:dyDescent="0.25">
      <c r="A249">
        <v>99</v>
      </c>
      <c r="B249">
        <v>94</v>
      </c>
      <c r="C249">
        <v>410470015011</v>
      </c>
      <c r="D249">
        <v>98.889241999999996</v>
      </c>
    </row>
    <row r="250" spans="1:4" x14ac:dyDescent="0.25">
      <c r="A250">
        <v>99</v>
      </c>
      <c r="B250">
        <v>94</v>
      </c>
      <c r="C250">
        <v>410470015012</v>
      </c>
      <c r="D250">
        <v>0.412412</v>
      </c>
    </row>
    <row r="251" spans="1:4" x14ac:dyDescent="0.25">
      <c r="A251">
        <v>99</v>
      </c>
      <c r="B251">
        <v>94</v>
      </c>
      <c r="C251">
        <v>410470015022</v>
      </c>
      <c r="D251">
        <v>0.69833900000000004</v>
      </c>
    </row>
    <row r="252" spans="1:4" x14ac:dyDescent="0.25">
      <c r="A252">
        <v>100</v>
      </c>
      <c r="B252">
        <v>94</v>
      </c>
      <c r="C252">
        <v>410470015011</v>
      </c>
      <c r="D252">
        <v>3.2873019999999999</v>
      </c>
    </row>
    <row r="253" spans="1:4" x14ac:dyDescent="0.25">
      <c r="A253">
        <v>100</v>
      </c>
      <c r="B253">
        <v>94</v>
      </c>
      <c r="C253">
        <v>410470015022</v>
      </c>
      <c r="D253">
        <v>94.514167999999998</v>
      </c>
    </row>
    <row r="254" spans="1:4" x14ac:dyDescent="0.25">
      <c r="A254">
        <v>100</v>
      </c>
      <c r="B254">
        <v>94</v>
      </c>
      <c r="C254">
        <v>410470025023</v>
      </c>
      <c r="D254">
        <v>2.198528</v>
      </c>
    </row>
    <row r="255" spans="1:4" x14ac:dyDescent="0.25">
      <c r="A255">
        <v>101</v>
      </c>
      <c r="B255">
        <v>94</v>
      </c>
      <c r="C255">
        <v>410470015011</v>
      </c>
      <c r="D255">
        <v>0.55367900000000003</v>
      </c>
    </row>
    <row r="256" spans="1:4" x14ac:dyDescent="0.25">
      <c r="A256">
        <v>101</v>
      </c>
      <c r="B256">
        <v>94</v>
      </c>
      <c r="C256">
        <v>410470015022</v>
      </c>
      <c r="D256">
        <v>99.446312000000006</v>
      </c>
    </row>
    <row r="257" spans="1:4" x14ac:dyDescent="0.25">
      <c r="A257">
        <v>102</v>
      </c>
      <c r="B257">
        <v>100</v>
      </c>
      <c r="C257">
        <v>410470015013</v>
      </c>
      <c r="D257">
        <v>1.1332999999999999E-2</v>
      </c>
    </row>
    <row r="258" spans="1:4" x14ac:dyDescent="0.25">
      <c r="A258">
        <v>102</v>
      </c>
      <c r="B258">
        <v>100</v>
      </c>
      <c r="C258">
        <v>410470015021</v>
      </c>
      <c r="D258">
        <v>0.152471</v>
      </c>
    </row>
    <row r="259" spans="1:4" x14ac:dyDescent="0.25">
      <c r="A259">
        <v>102</v>
      </c>
      <c r="B259">
        <v>100</v>
      </c>
      <c r="C259">
        <v>410470015022</v>
      </c>
      <c r="D259">
        <v>98.993547000000007</v>
      </c>
    </row>
    <row r="260" spans="1:4" x14ac:dyDescent="0.25">
      <c r="A260">
        <v>102</v>
      </c>
      <c r="B260">
        <v>100</v>
      </c>
      <c r="C260">
        <v>410470015023</v>
      </c>
      <c r="D260">
        <v>0.84263500000000002</v>
      </c>
    </row>
    <row r="261" spans="1:4" x14ac:dyDescent="0.25">
      <c r="A261">
        <v>103</v>
      </c>
      <c r="B261">
        <v>93</v>
      </c>
      <c r="C261">
        <v>410470015011</v>
      </c>
      <c r="D261">
        <v>7.8445000000000001E-2</v>
      </c>
    </row>
    <row r="262" spans="1:4" x14ac:dyDescent="0.25">
      <c r="A262">
        <v>103</v>
      </c>
      <c r="B262">
        <v>93</v>
      </c>
      <c r="C262">
        <v>410470015012</v>
      </c>
      <c r="D262">
        <v>1.5381000000000001E-2</v>
      </c>
    </row>
    <row r="263" spans="1:4" x14ac:dyDescent="0.25">
      <c r="A263">
        <v>103</v>
      </c>
      <c r="B263">
        <v>93</v>
      </c>
      <c r="C263">
        <v>410470015013</v>
      </c>
      <c r="D263">
        <v>25.421137000000002</v>
      </c>
    </row>
    <row r="264" spans="1:4" x14ac:dyDescent="0.25">
      <c r="A264">
        <v>103</v>
      </c>
      <c r="B264">
        <v>93</v>
      </c>
      <c r="C264">
        <v>410470015021</v>
      </c>
      <c r="D264">
        <v>2.2180999999999999E-2</v>
      </c>
    </row>
    <row r="265" spans="1:4" x14ac:dyDescent="0.25">
      <c r="A265">
        <v>103</v>
      </c>
      <c r="B265">
        <v>93</v>
      </c>
      <c r="C265">
        <v>410470015022</v>
      </c>
      <c r="D265">
        <v>11.577932000000001</v>
      </c>
    </row>
    <row r="266" spans="1:4" x14ac:dyDescent="0.25">
      <c r="A266">
        <v>103</v>
      </c>
      <c r="B266">
        <v>93</v>
      </c>
      <c r="C266">
        <v>410470015023</v>
      </c>
      <c r="D266">
        <v>62.884923999999998</v>
      </c>
    </row>
    <row r="267" spans="1:4" x14ac:dyDescent="0.25">
      <c r="A267">
        <v>104</v>
      </c>
      <c r="B267">
        <v>93</v>
      </c>
      <c r="C267">
        <v>410470015013</v>
      </c>
      <c r="D267">
        <v>56.666468999999999</v>
      </c>
    </row>
    <row r="268" spans="1:4" x14ac:dyDescent="0.25">
      <c r="A268">
        <v>104</v>
      </c>
      <c r="B268">
        <v>93</v>
      </c>
      <c r="C268">
        <v>410470015021</v>
      </c>
      <c r="D268">
        <v>43.333523999999997</v>
      </c>
    </row>
    <row r="269" spans="1:4" x14ac:dyDescent="0.25">
      <c r="A269">
        <v>105</v>
      </c>
      <c r="B269">
        <v>90</v>
      </c>
      <c r="C269">
        <v>410470014013</v>
      </c>
      <c r="D269">
        <v>1.4742580000000001</v>
      </c>
    </row>
    <row r="270" spans="1:4" x14ac:dyDescent="0.25">
      <c r="A270">
        <v>105</v>
      </c>
      <c r="B270">
        <v>90</v>
      </c>
      <c r="C270">
        <v>410470015013</v>
      </c>
      <c r="D270">
        <v>98.525752999999995</v>
      </c>
    </row>
    <row r="271" spans="1:4" x14ac:dyDescent="0.25">
      <c r="A271">
        <v>106</v>
      </c>
      <c r="B271">
        <v>92</v>
      </c>
      <c r="C271">
        <v>410470014013</v>
      </c>
      <c r="D271">
        <v>4.8399320000000001</v>
      </c>
    </row>
    <row r="272" spans="1:4" x14ac:dyDescent="0.25">
      <c r="A272">
        <v>106</v>
      </c>
      <c r="B272">
        <v>92</v>
      </c>
      <c r="C272">
        <v>410470015013</v>
      </c>
      <c r="D272">
        <v>33.060046</v>
      </c>
    </row>
    <row r="273" spans="1:4" x14ac:dyDescent="0.25">
      <c r="A273">
        <v>106</v>
      </c>
      <c r="B273">
        <v>92</v>
      </c>
      <c r="C273">
        <v>410470015021</v>
      </c>
      <c r="D273">
        <v>62.100026999999997</v>
      </c>
    </row>
    <row r="274" spans="1:4" x14ac:dyDescent="0.25">
      <c r="A274">
        <v>107</v>
      </c>
      <c r="B274">
        <v>89</v>
      </c>
      <c r="C274">
        <v>410470014013</v>
      </c>
      <c r="D274">
        <v>99.999992000000006</v>
      </c>
    </row>
    <row r="275" spans="1:4" x14ac:dyDescent="0.25">
      <c r="A275">
        <v>108</v>
      </c>
      <c r="B275">
        <v>89</v>
      </c>
      <c r="C275">
        <v>410470014013</v>
      </c>
      <c r="D275">
        <v>99.357299999999995</v>
      </c>
    </row>
    <row r="276" spans="1:4" x14ac:dyDescent="0.25">
      <c r="A276">
        <v>108</v>
      </c>
      <c r="B276">
        <v>89</v>
      </c>
      <c r="C276">
        <v>410470015013</v>
      </c>
      <c r="D276">
        <v>0.64270700000000003</v>
      </c>
    </row>
    <row r="277" spans="1:4" x14ac:dyDescent="0.25">
      <c r="A277">
        <v>109</v>
      </c>
      <c r="B277">
        <v>88</v>
      </c>
      <c r="C277">
        <v>410470014012</v>
      </c>
      <c r="D277">
        <v>1.4015610000000001</v>
      </c>
    </row>
    <row r="278" spans="1:4" x14ac:dyDescent="0.25">
      <c r="A278">
        <v>109</v>
      </c>
      <c r="B278">
        <v>88</v>
      </c>
      <c r="C278">
        <v>410470014013</v>
      </c>
      <c r="D278">
        <v>98.493061999999995</v>
      </c>
    </row>
    <row r="279" spans="1:4" x14ac:dyDescent="0.25">
      <c r="A279">
        <v>109</v>
      </c>
      <c r="B279">
        <v>88</v>
      </c>
      <c r="C279">
        <v>410470014021</v>
      </c>
      <c r="D279">
        <v>1.635E-3</v>
      </c>
    </row>
    <row r="280" spans="1:4" x14ac:dyDescent="0.25">
      <c r="A280">
        <v>109</v>
      </c>
      <c r="B280">
        <v>88</v>
      </c>
      <c r="C280">
        <v>410470014022</v>
      </c>
      <c r="D280">
        <v>0.103742</v>
      </c>
    </row>
    <row r="281" spans="1:4" x14ac:dyDescent="0.25">
      <c r="A281">
        <v>110</v>
      </c>
      <c r="B281">
        <v>95</v>
      </c>
      <c r="C281">
        <v>410470014012</v>
      </c>
      <c r="D281">
        <v>99.530343999999999</v>
      </c>
    </row>
    <row r="282" spans="1:4" x14ac:dyDescent="0.25">
      <c r="A282">
        <v>110</v>
      </c>
      <c r="B282">
        <v>95</v>
      </c>
      <c r="C282">
        <v>410470014021</v>
      </c>
      <c r="D282">
        <v>0.46966400000000003</v>
      </c>
    </row>
    <row r="283" spans="1:4" x14ac:dyDescent="0.25">
      <c r="A283">
        <v>111</v>
      </c>
      <c r="B283">
        <v>95</v>
      </c>
      <c r="C283">
        <v>410470014012</v>
      </c>
      <c r="D283">
        <v>8.7150049999999997</v>
      </c>
    </row>
    <row r="284" spans="1:4" x14ac:dyDescent="0.25">
      <c r="A284">
        <v>111</v>
      </c>
      <c r="B284">
        <v>95</v>
      </c>
      <c r="C284">
        <v>410470014021</v>
      </c>
      <c r="D284">
        <v>90.311835000000002</v>
      </c>
    </row>
    <row r="285" spans="1:4" x14ac:dyDescent="0.25">
      <c r="A285">
        <v>111</v>
      </c>
      <c r="B285">
        <v>95</v>
      </c>
      <c r="C285">
        <v>410470014022</v>
      </c>
      <c r="D285">
        <v>1.3290000000000001E-3</v>
      </c>
    </row>
    <row r="286" spans="1:4" x14ac:dyDescent="0.25">
      <c r="A286">
        <v>111</v>
      </c>
      <c r="B286">
        <v>95</v>
      </c>
      <c r="C286">
        <v>410470014023</v>
      </c>
      <c r="D286">
        <v>0.80874199999999996</v>
      </c>
    </row>
    <row r="287" spans="1:4" x14ac:dyDescent="0.25">
      <c r="A287">
        <v>111</v>
      </c>
      <c r="B287">
        <v>95</v>
      </c>
      <c r="C287">
        <v>410530053012</v>
      </c>
      <c r="D287">
        <v>0.163081</v>
      </c>
    </row>
    <row r="288" spans="1:4" x14ac:dyDescent="0.25">
      <c r="A288">
        <v>112</v>
      </c>
      <c r="B288">
        <v>97</v>
      </c>
      <c r="C288">
        <v>410470014013</v>
      </c>
      <c r="D288">
        <v>9.5599000000000003E-2</v>
      </c>
    </row>
    <row r="289" spans="1:4" x14ac:dyDescent="0.25">
      <c r="A289">
        <v>112</v>
      </c>
      <c r="B289">
        <v>97</v>
      </c>
      <c r="C289">
        <v>410470014021</v>
      </c>
      <c r="D289">
        <v>0.97983799999999999</v>
      </c>
    </row>
    <row r="290" spans="1:4" x14ac:dyDescent="0.25">
      <c r="A290">
        <v>112</v>
      </c>
      <c r="B290">
        <v>97</v>
      </c>
      <c r="C290">
        <v>410470014022</v>
      </c>
      <c r="D290">
        <v>98.797506999999996</v>
      </c>
    </row>
    <row r="291" spans="1:4" x14ac:dyDescent="0.25">
      <c r="A291">
        <v>112</v>
      </c>
      <c r="B291">
        <v>97</v>
      </c>
      <c r="C291">
        <v>410470014023</v>
      </c>
      <c r="D291">
        <v>0.127057</v>
      </c>
    </row>
    <row r="292" spans="1:4" x14ac:dyDescent="0.25">
      <c r="A292">
        <v>113</v>
      </c>
      <c r="B292">
        <v>97</v>
      </c>
      <c r="C292">
        <v>410470014013</v>
      </c>
      <c r="D292">
        <v>0.87738300000000002</v>
      </c>
    </row>
    <row r="293" spans="1:4" x14ac:dyDescent="0.25">
      <c r="A293">
        <v>113</v>
      </c>
      <c r="B293">
        <v>97</v>
      </c>
      <c r="C293">
        <v>410470014022</v>
      </c>
      <c r="D293">
        <v>99.018637999999996</v>
      </c>
    </row>
    <row r="294" spans="1:4" x14ac:dyDescent="0.25">
      <c r="A294">
        <v>113</v>
      </c>
      <c r="B294">
        <v>97</v>
      </c>
      <c r="C294">
        <v>410470014023</v>
      </c>
      <c r="D294">
        <v>0.103975</v>
      </c>
    </row>
    <row r="295" spans="1:4" x14ac:dyDescent="0.25">
      <c r="A295">
        <v>114</v>
      </c>
      <c r="B295">
        <v>98</v>
      </c>
      <c r="C295">
        <v>410470014013</v>
      </c>
      <c r="D295">
        <v>3.4632000000000003E-2</v>
      </c>
    </row>
    <row r="296" spans="1:4" x14ac:dyDescent="0.25">
      <c r="A296">
        <v>114</v>
      </c>
      <c r="B296">
        <v>98</v>
      </c>
      <c r="C296">
        <v>410470014022</v>
      </c>
      <c r="D296">
        <v>4.3660909999999999</v>
      </c>
    </row>
    <row r="297" spans="1:4" x14ac:dyDescent="0.25">
      <c r="A297">
        <v>114</v>
      </c>
      <c r="B297">
        <v>98</v>
      </c>
      <c r="C297">
        <v>410470015021</v>
      </c>
      <c r="D297">
        <v>63.993431999999999</v>
      </c>
    </row>
    <row r="298" spans="1:4" x14ac:dyDescent="0.25">
      <c r="A298">
        <v>114</v>
      </c>
      <c r="B298">
        <v>98</v>
      </c>
      <c r="C298">
        <v>410470015033</v>
      </c>
      <c r="D298">
        <v>31.605862999999999</v>
      </c>
    </row>
    <row r="299" spans="1:4" x14ac:dyDescent="0.25">
      <c r="A299">
        <v>115</v>
      </c>
      <c r="B299">
        <v>99</v>
      </c>
      <c r="C299">
        <v>410470015013</v>
      </c>
      <c r="D299">
        <v>4.6321000000000001E-2</v>
      </c>
    </row>
    <row r="300" spans="1:4" x14ac:dyDescent="0.25">
      <c r="A300">
        <v>115</v>
      </c>
      <c r="B300">
        <v>99</v>
      </c>
      <c r="C300">
        <v>410470015021</v>
      </c>
      <c r="D300">
        <v>51.516755000000003</v>
      </c>
    </row>
    <row r="301" spans="1:4" x14ac:dyDescent="0.25">
      <c r="A301">
        <v>115</v>
      </c>
      <c r="B301">
        <v>99</v>
      </c>
      <c r="C301">
        <v>410470015033</v>
      </c>
      <c r="D301">
        <v>48.436929999999997</v>
      </c>
    </row>
    <row r="302" spans="1:4" x14ac:dyDescent="0.25">
      <c r="A302">
        <v>116</v>
      </c>
      <c r="B302">
        <v>140</v>
      </c>
      <c r="C302">
        <v>410470015013</v>
      </c>
      <c r="D302">
        <v>2.0617E-2</v>
      </c>
    </row>
    <row r="303" spans="1:4" x14ac:dyDescent="0.25">
      <c r="A303">
        <v>116</v>
      </c>
      <c r="B303">
        <v>140</v>
      </c>
      <c r="C303">
        <v>410470015021</v>
      </c>
      <c r="D303">
        <v>48.490411999999999</v>
      </c>
    </row>
    <row r="304" spans="1:4" x14ac:dyDescent="0.25">
      <c r="A304">
        <v>116</v>
      </c>
      <c r="B304">
        <v>140</v>
      </c>
      <c r="C304">
        <v>410470015022</v>
      </c>
      <c r="D304">
        <v>31.372240000000001</v>
      </c>
    </row>
    <row r="305" spans="1:4" x14ac:dyDescent="0.25">
      <c r="A305">
        <v>116</v>
      </c>
      <c r="B305">
        <v>140</v>
      </c>
      <c r="C305">
        <v>410470015033</v>
      </c>
      <c r="D305">
        <v>20.116731000000001</v>
      </c>
    </row>
    <row r="306" spans="1:4" x14ac:dyDescent="0.25">
      <c r="A306">
        <v>117</v>
      </c>
      <c r="B306">
        <v>109</v>
      </c>
      <c r="C306">
        <v>410470015031</v>
      </c>
      <c r="D306">
        <v>42.04439</v>
      </c>
    </row>
    <row r="307" spans="1:4" x14ac:dyDescent="0.25">
      <c r="A307">
        <v>117</v>
      </c>
      <c r="B307">
        <v>109</v>
      </c>
      <c r="C307">
        <v>410470015032</v>
      </c>
      <c r="D307">
        <v>7.7988080000000002</v>
      </c>
    </row>
    <row r="308" spans="1:4" x14ac:dyDescent="0.25">
      <c r="A308">
        <v>117</v>
      </c>
      <c r="B308">
        <v>109</v>
      </c>
      <c r="C308">
        <v>410470015033</v>
      </c>
      <c r="D308">
        <v>50.156801999999999</v>
      </c>
    </row>
    <row r="309" spans="1:4" x14ac:dyDescent="0.25">
      <c r="A309">
        <v>118</v>
      </c>
      <c r="B309">
        <v>107</v>
      </c>
      <c r="C309">
        <v>410470014022</v>
      </c>
      <c r="D309">
        <v>0.27896799999999999</v>
      </c>
    </row>
    <row r="310" spans="1:4" x14ac:dyDescent="0.25">
      <c r="A310">
        <v>118</v>
      </c>
      <c r="B310">
        <v>107</v>
      </c>
      <c r="C310">
        <v>410470014023</v>
      </c>
      <c r="D310">
        <v>2.3578999999999999E-2</v>
      </c>
    </row>
    <row r="311" spans="1:4" x14ac:dyDescent="0.25">
      <c r="A311">
        <v>118</v>
      </c>
      <c r="B311">
        <v>107</v>
      </c>
      <c r="C311">
        <v>410470015031</v>
      </c>
      <c r="D311">
        <v>71.243148000000005</v>
      </c>
    </row>
    <row r="312" spans="1:4" x14ac:dyDescent="0.25">
      <c r="A312">
        <v>118</v>
      </c>
      <c r="B312">
        <v>107</v>
      </c>
      <c r="C312">
        <v>410470015032</v>
      </c>
      <c r="D312">
        <v>1.338246</v>
      </c>
    </row>
    <row r="313" spans="1:4" x14ac:dyDescent="0.25">
      <c r="A313">
        <v>118</v>
      </c>
      <c r="B313">
        <v>107</v>
      </c>
      <c r="C313">
        <v>410470015033</v>
      </c>
      <c r="D313">
        <v>27.116061999999999</v>
      </c>
    </row>
    <row r="314" spans="1:4" x14ac:dyDescent="0.25">
      <c r="A314">
        <v>119</v>
      </c>
      <c r="B314">
        <v>107</v>
      </c>
      <c r="C314">
        <v>410470004001</v>
      </c>
      <c r="D314">
        <v>0.20541400000000001</v>
      </c>
    </row>
    <row r="315" spans="1:4" x14ac:dyDescent="0.25">
      <c r="A315">
        <v>119</v>
      </c>
      <c r="B315">
        <v>107</v>
      </c>
      <c r="C315">
        <v>410470014023</v>
      </c>
      <c r="D315">
        <v>2.5240019999999999</v>
      </c>
    </row>
    <row r="316" spans="1:4" x14ac:dyDescent="0.25">
      <c r="A316">
        <v>119</v>
      </c>
      <c r="B316">
        <v>107</v>
      </c>
      <c r="C316">
        <v>410470015031</v>
      </c>
      <c r="D316">
        <v>0.89699099999999998</v>
      </c>
    </row>
    <row r="317" spans="1:4" x14ac:dyDescent="0.25">
      <c r="A317">
        <v>119</v>
      </c>
      <c r="B317">
        <v>107</v>
      </c>
      <c r="C317">
        <v>410470015032</v>
      </c>
      <c r="D317">
        <v>95.726567000000003</v>
      </c>
    </row>
    <row r="318" spans="1:4" x14ac:dyDescent="0.25">
      <c r="A318">
        <v>119</v>
      </c>
      <c r="B318">
        <v>107</v>
      </c>
      <c r="C318">
        <v>410470015033</v>
      </c>
      <c r="D318">
        <v>0.64701500000000001</v>
      </c>
    </row>
    <row r="319" spans="1:4" x14ac:dyDescent="0.25">
      <c r="A319">
        <v>120</v>
      </c>
      <c r="B319">
        <v>102</v>
      </c>
      <c r="C319">
        <v>410470014023</v>
      </c>
      <c r="D319">
        <v>99.999982000000003</v>
      </c>
    </row>
    <row r="320" spans="1:4" x14ac:dyDescent="0.25">
      <c r="A320">
        <v>121</v>
      </c>
      <c r="B320">
        <v>399</v>
      </c>
      <c r="C320">
        <v>410470014021</v>
      </c>
      <c r="D320">
        <v>1.107E-2</v>
      </c>
    </row>
    <row r="321" spans="1:4" x14ac:dyDescent="0.25">
      <c r="A321">
        <v>121</v>
      </c>
      <c r="B321">
        <v>399</v>
      </c>
      <c r="C321">
        <v>410470014022</v>
      </c>
      <c r="D321">
        <v>3.4071999999999998E-2</v>
      </c>
    </row>
    <row r="322" spans="1:4" x14ac:dyDescent="0.25">
      <c r="A322">
        <v>121</v>
      </c>
      <c r="B322">
        <v>399</v>
      </c>
      <c r="C322">
        <v>410470014023</v>
      </c>
      <c r="D322">
        <v>99.345680999999999</v>
      </c>
    </row>
    <row r="323" spans="1:4" x14ac:dyDescent="0.25">
      <c r="A323">
        <v>121</v>
      </c>
      <c r="B323">
        <v>399</v>
      </c>
      <c r="C323">
        <v>410530053012</v>
      </c>
      <c r="D323">
        <v>0.60917500000000002</v>
      </c>
    </row>
    <row r="324" spans="1:4" x14ac:dyDescent="0.25">
      <c r="A324">
        <v>122</v>
      </c>
      <c r="B324">
        <v>399</v>
      </c>
      <c r="C324">
        <v>410470004001</v>
      </c>
      <c r="D324">
        <v>3.2804540000000002</v>
      </c>
    </row>
    <row r="325" spans="1:4" x14ac:dyDescent="0.25">
      <c r="A325">
        <v>122</v>
      </c>
      <c r="B325">
        <v>399</v>
      </c>
      <c r="C325">
        <v>410470014023</v>
      </c>
      <c r="D325">
        <v>96.130021999999997</v>
      </c>
    </row>
    <row r="326" spans="1:4" x14ac:dyDescent="0.25">
      <c r="A326">
        <v>122</v>
      </c>
      <c r="B326">
        <v>399</v>
      </c>
      <c r="C326">
        <v>410530052061</v>
      </c>
      <c r="D326">
        <v>0.41921000000000003</v>
      </c>
    </row>
    <row r="327" spans="1:4" x14ac:dyDescent="0.25">
      <c r="A327">
        <v>122</v>
      </c>
      <c r="B327">
        <v>399</v>
      </c>
      <c r="C327">
        <v>410530053012</v>
      </c>
      <c r="D327">
        <v>0.17031099999999999</v>
      </c>
    </row>
    <row r="328" spans="1:4" x14ac:dyDescent="0.25">
      <c r="A328">
        <v>123</v>
      </c>
      <c r="B328">
        <v>106</v>
      </c>
      <c r="C328">
        <v>410470004001</v>
      </c>
      <c r="D328">
        <v>7.1647239999999996</v>
      </c>
    </row>
    <row r="329" spans="1:4" x14ac:dyDescent="0.25">
      <c r="A329">
        <v>123</v>
      </c>
      <c r="B329">
        <v>106</v>
      </c>
      <c r="C329">
        <v>410470014023</v>
      </c>
      <c r="D329">
        <v>92.835284000000001</v>
      </c>
    </row>
    <row r="330" spans="1:4" x14ac:dyDescent="0.25">
      <c r="A330">
        <v>124</v>
      </c>
      <c r="B330">
        <v>399</v>
      </c>
      <c r="C330">
        <v>410470004001</v>
      </c>
      <c r="D330">
        <v>98.412217999999996</v>
      </c>
    </row>
    <row r="331" spans="1:4" x14ac:dyDescent="0.25">
      <c r="A331">
        <v>124</v>
      </c>
      <c r="B331">
        <v>399</v>
      </c>
      <c r="C331">
        <v>410470014023</v>
      </c>
      <c r="D331">
        <v>7.8779000000000002E-2</v>
      </c>
    </row>
    <row r="332" spans="1:4" x14ac:dyDescent="0.25">
      <c r="A332">
        <v>124</v>
      </c>
      <c r="B332">
        <v>399</v>
      </c>
      <c r="C332">
        <v>410530052061</v>
      </c>
      <c r="D332">
        <v>1.50901</v>
      </c>
    </row>
    <row r="333" spans="1:4" x14ac:dyDescent="0.25">
      <c r="A333">
        <v>125</v>
      </c>
      <c r="B333">
        <v>135</v>
      </c>
      <c r="C333">
        <v>410470004001</v>
      </c>
      <c r="D333">
        <v>57.135210000000001</v>
      </c>
    </row>
    <row r="334" spans="1:4" x14ac:dyDescent="0.25">
      <c r="A334">
        <v>125</v>
      </c>
      <c r="B334">
        <v>135</v>
      </c>
      <c r="C334">
        <v>410470004002</v>
      </c>
      <c r="D334">
        <v>42.156675</v>
      </c>
    </row>
    <row r="335" spans="1:4" x14ac:dyDescent="0.25">
      <c r="A335">
        <v>125</v>
      </c>
      <c r="B335">
        <v>135</v>
      </c>
      <c r="C335">
        <v>410470015032</v>
      </c>
      <c r="D335">
        <v>0.70811800000000003</v>
      </c>
    </row>
    <row r="336" spans="1:4" x14ac:dyDescent="0.25">
      <c r="A336">
        <v>126</v>
      </c>
      <c r="B336">
        <v>112</v>
      </c>
      <c r="C336">
        <v>410470004001</v>
      </c>
      <c r="D336">
        <v>0.44491999999999998</v>
      </c>
    </row>
    <row r="337" spans="1:4" x14ac:dyDescent="0.25">
      <c r="A337">
        <v>126</v>
      </c>
      <c r="B337">
        <v>112</v>
      </c>
      <c r="C337">
        <v>410470004002</v>
      </c>
      <c r="D337">
        <v>97.822771000000003</v>
      </c>
    </row>
    <row r="338" spans="1:4" x14ac:dyDescent="0.25">
      <c r="A338">
        <v>126</v>
      </c>
      <c r="B338">
        <v>112</v>
      </c>
      <c r="C338">
        <v>410470015031</v>
      </c>
      <c r="D338">
        <v>0.46928999999999998</v>
      </c>
    </row>
    <row r="339" spans="1:4" x14ac:dyDescent="0.25">
      <c r="A339">
        <v>126</v>
      </c>
      <c r="B339">
        <v>112</v>
      </c>
      <c r="C339">
        <v>410470015032</v>
      </c>
      <c r="D339">
        <v>1.2630189999999999</v>
      </c>
    </row>
    <row r="340" spans="1:4" x14ac:dyDescent="0.25">
      <c r="A340">
        <v>127</v>
      </c>
      <c r="B340">
        <v>109</v>
      </c>
      <c r="C340">
        <v>410470015032</v>
      </c>
      <c r="D340">
        <v>100.000016</v>
      </c>
    </row>
    <row r="341" spans="1:4" x14ac:dyDescent="0.25">
      <c r="A341">
        <v>128</v>
      </c>
      <c r="B341">
        <v>112</v>
      </c>
      <c r="C341">
        <v>410470004002</v>
      </c>
      <c r="D341">
        <v>0.85407299999999997</v>
      </c>
    </row>
    <row r="342" spans="1:4" x14ac:dyDescent="0.25">
      <c r="A342">
        <v>128</v>
      </c>
      <c r="B342">
        <v>112</v>
      </c>
      <c r="C342">
        <v>410470015031</v>
      </c>
      <c r="D342">
        <v>27.604755000000001</v>
      </c>
    </row>
    <row r="343" spans="1:4" x14ac:dyDescent="0.25">
      <c r="A343">
        <v>128</v>
      </c>
      <c r="B343">
        <v>112</v>
      </c>
      <c r="C343">
        <v>410470015032</v>
      </c>
      <c r="D343">
        <v>47.288446999999998</v>
      </c>
    </row>
    <row r="344" spans="1:4" x14ac:dyDescent="0.25">
      <c r="A344">
        <v>128</v>
      </c>
      <c r="B344">
        <v>112</v>
      </c>
      <c r="C344">
        <v>410470015033</v>
      </c>
      <c r="D344">
        <v>24.252724000000001</v>
      </c>
    </row>
    <row r="345" spans="1:4" x14ac:dyDescent="0.25">
      <c r="A345">
        <v>129</v>
      </c>
      <c r="B345">
        <v>113</v>
      </c>
      <c r="C345">
        <v>410470025021</v>
      </c>
      <c r="D345">
        <v>100.000001</v>
      </c>
    </row>
    <row r="346" spans="1:4" x14ac:dyDescent="0.25">
      <c r="A346">
        <v>130</v>
      </c>
      <c r="B346">
        <v>116</v>
      </c>
      <c r="C346">
        <v>410470025021</v>
      </c>
      <c r="D346">
        <v>0.87987499999999996</v>
      </c>
    </row>
    <row r="347" spans="1:4" x14ac:dyDescent="0.25">
      <c r="A347">
        <v>130</v>
      </c>
      <c r="B347">
        <v>116</v>
      </c>
      <c r="C347">
        <v>410470025022</v>
      </c>
      <c r="D347">
        <v>99.120119000000003</v>
      </c>
    </row>
    <row r="348" spans="1:4" x14ac:dyDescent="0.25">
      <c r="A348">
        <v>131</v>
      </c>
      <c r="B348">
        <v>117</v>
      </c>
      <c r="C348">
        <v>410470025021</v>
      </c>
      <c r="D348">
        <v>91.859464000000003</v>
      </c>
    </row>
    <row r="349" spans="1:4" x14ac:dyDescent="0.25">
      <c r="A349">
        <v>131</v>
      </c>
      <c r="B349">
        <v>117</v>
      </c>
      <c r="C349">
        <v>410470025022</v>
      </c>
      <c r="D349">
        <v>0.218025</v>
      </c>
    </row>
    <row r="350" spans="1:4" x14ac:dyDescent="0.25">
      <c r="A350">
        <v>131</v>
      </c>
      <c r="B350">
        <v>117</v>
      </c>
      <c r="C350">
        <v>410470025023</v>
      </c>
      <c r="D350">
        <v>7.9225099999999999</v>
      </c>
    </row>
    <row r="351" spans="1:4" x14ac:dyDescent="0.25">
      <c r="A351">
        <v>132</v>
      </c>
      <c r="B351">
        <v>114</v>
      </c>
      <c r="C351">
        <v>410470025021</v>
      </c>
      <c r="D351">
        <v>0.15437100000000001</v>
      </c>
    </row>
    <row r="352" spans="1:4" x14ac:dyDescent="0.25">
      <c r="A352">
        <v>132</v>
      </c>
      <c r="B352">
        <v>114</v>
      </c>
      <c r="C352">
        <v>410470025022</v>
      </c>
      <c r="D352">
        <v>99.845629000000002</v>
      </c>
    </row>
    <row r="353" spans="1:4" x14ac:dyDescent="0.25">
      <c r="A353">
        <v>133</v>
      </c>
      <c r="B353">
        <v>120</v>
      </c>
      <c r="C353">
        <v>410470025021</v>
      </c>
      <c r="D353">
        <v>3.2750000000000001E-2</v>
      </c>
    </row>
    <row r="354" spans="1:4" x14ac:dyDescent="0.25">
      <c r="A354">
        <v>133</v>
      </c>
      <c r="B354">
        <v>120</v>
      </c>
      <c r="C354">
        <v>410470025022</v>
      </c>
      <c r="D354">
        <v>99.844731999999993</v>
      </c>
    </row>
    <row r="355" spans="1:4" x14ac:dyDescent="0.25">
      <c r="A355">
        <v>133</v>
      </c>
      <c r="B355">
        <v>120</v>
      </c>
      <c r="C355">
        <v>410470026001</v>
      </c>
      <c r="D355">
        <v>0.121063</v>
      </c>
    </row>
    <row r="356" spans="1:4" x14ac:dyDescent="0.25">
      <c r="A356">
        <v>133</v>
      </c>
      <c r="B356">
        <v>120</v>
      </c>
      <c r="C356">
        <v>410470026002</v>
      </c>
      <c r="D356">
        <v>1.4549999999999999E-3</v>
      </c>
    </row>
    <row r="357" spans="1:4" x14ac:dyDescent="0.25">
      <c r="A357">
        <v>134</v>
      </c>
      <c r="B357">
        <v>115</v>
      </c>
      <c r="C357">
        <v>410470025022</v>
      </c>
      <c r="D357">
        <v>99.880234000000002</v>
      </c>
    </row>
    <row r="358" spans="1:4" x14ac:dyDescent="0.25">
      <c r="A358">
        <v>134</v>
      </c>
      <c r="B358">
        <v>115</v>
      </c>
      <c r="C358">
        <v>410470025023</v>
      </c>
      <c r="D358">
        <v>0.119769</v>
      </c>
    </row>
    <row r="359" spans="1:4" x14ac:dyDescent="0.25">
      <c r="A359">
        <v>135</v>
      </c>
      <c r="B359">
        <v>140</v>
      </c>
      <c r="C359">
        <v>410470016011</v>
      </c>
      <c r="D359">
        <v>3.533407</v>
      </c>
    </row>
    <row r="360" spans="1:4" x14ac:dyDescent="0.25">
      <c r="A360">
        <v>135</v>
      </c>
      <c r="B360">
        <v>140</v>
      </c>
      <c r="C360">
        <v>410470016014</v>
      </c>
      <c r="D360">
        <v>5.3476999999999997E-2</v>
      </c>
    </row>
    <row r="361" spans="1:4" x14ac:dyDescent="0.25">
      <c r="A361">
        <v>135</v>
      </c>
      <c r="B361">
        <v>140</v>
      </c>
      <c r="C361">
        <v>410470025021</v>
      </c>
      <c r="D361">
        <v>0.80248600000000003</v>
      </c>
    </row>
    <row r="362" spans="1:4" x14ac:dyDescent="0.25">
      <c r="A362">
        <v>135</v>
      </c>
      <c r="B362">
        <v>140</v>
      </c>
      <c r="C362">
        <v>410470025023</v>
      </c>
      <c r="D362">
        <v>95.610630999999998</v>
      </c>
    </row>
    <row r="363" spans="1:4" x14ac:dyDescent="0.25">
      <c r="A363">
        <v>136</v>
      </c>
      <c r="B363">
        <v>119</v>
      </c>
      <c r="C363">
        <v>410470016014</v>
      </c>
      <c r="D363">
        <v>0.25741399999999998</v>
      </c>
    </row>
    <row r="364" spans="1:4" x14ac:dyDescent="0.25">
      <c r="A364">
        <v>136</v>
      </c>
      <c r="B364">
        <v>119</v>
      </c>
      <c r="C364">
        <v>410470016015</v>
      </c>
      <c r="D364">
        <v>0.20357500000000001</v>
      </c>
    </row>
    <row r="365" spans="1:4" x14ac:dyDescent="0.25">
      <c r="A365">
        <v>136</v>
      </c>
      <c r="B365">
        <v>119</v>
      </c>
      <c r="C365">
        <v>410470025022</v>
      </c>
      <c r="D365">
        <v>0.25024299999999999</v>
      </c>
    </row>
    <row r="366" spans="1:4" x14ac:dyDescent="0.25">
      <c r="A366">
        <v>136</v>
      </c>
      <c r="B366">
        <v>119</v>
      </c>
      <c r="C366">
        <v>410470025023</v>
      </c>
      <c r="D366">
        <v>99.288767000000007</v>
      </c>
    </row>
    <row r="367" spans="1:4" x14ac:dyDescent="0.25">
      <c r="A367">
        <v>137</v>
      </c>
      <c r="B367">
        <v>119</v>
      </c>
      <c r="C367">
        <v>410470016015</v>
      </c>
      <c r="D367">
        <v>4.3099999999999996E-3</v>
      </c>
    </row>
    <row r="368" spans="1:4" x14ac:dyDescent="0.25">
      <c r="A368">
        <v>137</v>
      </c>
      <c r="B368">
        <v>119</v>
      </c>
      <c r="C368">
        <v>410470016031</v>
      </c>
      <c r="D368">
        <v>0.42621300000000001</v>
      </c>
    </row>
    <row r="369" spans="1:4" x14ac:dyDescent="0.25">
      <c r="A369">
        <v>137</v>
      </c>
      <c r="B369">
        <v>119</v>
      </c>
      <c r="C369">
        <v>410470025022</v>
      </c>
      <c r="D369">
        <v>2.127488</v>
      </c>
    </row>
    <row r="370" spans="1:4" x14ac:dyDescent="0.25">
      <c r="A370">
        <v>137</v>
      </c>
      <c r="B370">
        <v>119</v>
      </c>
      <c r="C370">
        <v>410470025023</v>
      </c>
      <c r="D370">
        <v>97.441980999999998</v>
      </c>
    </row>
    <row r="371" spans="1:4" x14ac:dyDescent="0.25">
      <c r="A371">
        <v>138</v>
      </c>
      <c r="B371">
        <v>129</v>
      </c>
      <c r="C371">
        <v>410470016031</v>
      </c>
      <c r="D371">
        <v>1.453E-2</v>
      </c>
    </row>
    <row r="372" spans="1:4" x14ac:dyDescent="0.25">
      <c r="A372">
        <v>138</v>
      </c>
      <c r="B372">
        <v>129</v>
      </c>
      <c r="C372">
        <v>410470025022</v>
      </c>
      <c r="D372">
        <v>98.225773000000004</v>
      </c>
    </row>
    <row r="373" spans="1:4" x14ac:dyDescent="0.25">
      <c r="A373">
        <v>138</v>
      </c>
      <c r="B373">
        <v>129</v>
      </c>
      <c r="C373">
        <v>410470025023</v>
      </c>
      <c r="D373">
        <v>1.175E-3</v>
      </c>
    </row>
    <row r="374" spans="1:4" x14ac:dyDescent="0.25">
      <c r="A374">
        <v>138</v>
      </c>
      <c r="B374">
        <v>129</v>
      </c>
      <c r="C374">
        <v>410470026001</v>
      </c>
      <c r="D374">
        <v>1.7585230000000001</v>
      </c>
    </row>
    <row r="375" spans="1:4" x14ac:dyDescent="0.25">
      <c r="A375">
        <v>139</v>
      </c>
      <c r="B375">
        <v>133</v>
      </c>
      <c r="C375">
        <v>410470016031</v>
      </c>
      <c r="D375">
        <v>99.747494000000003</v>
      </c>
    </row>
    <row r="376" spans="1:4" x14ac:dyDescent="0.25">
      <c r="A376">
        <v>139</v>
      </c>
      <c r="B376">
        <v>133</v>
      </c>
      <c r="C376">
        <v>410470016033</v>
      </c>
      <c r="D376">
        <v>3.026E-3</v>
      </c>
    </row>
    <row r="377" spans="1:4" x14ac:dyDescent="0.25">
      <c r="A377">
        <v>139</v>
      </c>
      <c r="B377">
        <v>133</v>
      </c>
      <c r="C377">
        <v>410470025022</v>
      </c>
      <c r="D377">
        <v>0.10245799999999999</v>
      </c>
    </row>
    <row r="378" spans="1:4" x14ac:dyDescent="0.25">
      <c r="A378">
        <v>139</v>
      </c>
      <c r="B378">
        <v>133</v>
      </c>
      <c r="C378">
        <v>410470026001</v>
      </c>
      <c r="D378">
        <v>0.14702100000000001</v>
      </c>
    </row>
    <row r="379" spans="1:4" x14ac:dyDescent="0.25">
      <c r="A379">
        <v>140</v>
      </c>
      <c r="B379">
        <v>128</v>
      </c>
      <c r="C379">
        <v>410470016012</v>
      </c>
      <c r="D379">
        <v>9.476E-3</v>
      </c>
    </row>
    <row r="380" spans="1:4" x14ac:dyDescent="0.25">
      <c r="A380">
        <v>140</v>
      </c>
      <c r="B380">
        <v>128</v>
      </c>
      <c r="C380">
        <v>410470016013</v>
      </c>
      <c r="D380">
        <v>11.029918</v>
      </c>
    </row>
    <row r="381" spans="1:4" x14ac:dyDescent="0.25">
      <c r="A381">
        <v>140</v>
      </c>
      <c r="B381">
        <v>128</v>
      </c>
      <c r="C381">
        <v>410470016014</v>
      </c>
      <c r="D381">
        <v>24.925615000000001</v>
      </c>
    </row>
    <row r="382" spans="1:4" x14ac:dyDescent="0.25">
      <c r="A382">
        <v>140</v>
      </c>
      <c r="B382">
        <v>128</v>
      </c>
      <c r="C382">
        <v>410470016015</v>
      </c>
      <c r="D382">
        <v>39.517113999999999</v>
      </c>
    </row>
    <row r="383" spans="1:4" x14ac:dyDescent="0.25">
      <c r="A383">
        <v>140</v>
      </c>
      <c r="B383">
        <v>128</v>
      </c>
      <c r="C383">
        <v>410470016031</v>
      </c>
      <c r="D383">
        <v>24.056370000000001</v>
      </c>
    </row>
    <row r="384" spans="1:4" x14ac:dyDescent="0.25">
      <c r="A384">
        <v>140</v>
      </c>
      <c r="B384">
        <v>128</v>
      </c>
      <c r="C384">
        <v>410470016032</v>
      </c>
      <c r="D384">
        <v>0.37340000000000001</v>
      </c>
    </row>
    <row r="385" spans="1:4" x14ac:dyDescent="0.25">
      <c r="A385">
        <v>140</v>
      </c>
      <c r="B385">
        <v>128</v>
      </c>
      <c r="C385">
        <v>410470025022</v>
      </c>
      <c r="D385">
        <v>2.9932E-2</v>
      </c>
    </row>
    <row r="386" spans="1:4" x14ac:dyDescent="0.25">
      <c r="A386">
        <v>140</v>
      </c>
      <c r="B386">
        <v>128</v>
      </c>
      <c r="C386">
        <v>410470025023</v>
      </c>
      <c r="D386">
        <v>5.8179000000000002E-2</v>
      </c>
    </row>
    <row r="387" spans="1:4" x14ac:dyDescent="0.25">
      <c r="A387">
        <v>141</v>
      </c>
      <c r="B387">
        <v>125</v>
      </c>
      <c r="C387">
        <v>410470016011</v>
      </c>
      <c r="D387">
        <v>81.672916000000001</v>
      </c>
    </row>
    <row r="388" spans="1:4" x14ac:dyDescent="0.25">
      <c r="A388">
        <v>141</v>
      </c>
      <c r="B388">
        <v>125</v>
      </c>
      <c r="C388">
        <v>410470016012</v>
      </c>
      <c r="D388">
        <v>9.1399999999999999E-4</v>
      </c>
    </row>
    <row r="389" spans="1:4" x14ac:dyDescent="0.25">
      <c r="A389">
        <v>141</v>
      </c>
      <c r="B389">
        <v>125</v>
      </c>
      <c r="C389">
        <v>410470016014</v>
      </c>
      <c r="D389">
        <v>3.8305880000000001</v>
      </c>
    </row>
    <row r="390" spans="1:4" x14ac:dyDescent="0.25">
      <c r="A390">
        <v>141</v>
      </c>
      <c r="B390">
        <v>125</v>
      </c>
      <c r="C390">
        <v>410470016051</v>
      </c>
      <c r="D390">
        <v>14.49558</v>
      </c>
    </row>
    <row r="391" spans="1:4" x14ac:dyDescent="0.25">
      <c r="A391">
        <v>142</v>
      </c>
      <c r="B391">
        <v>123</v>
      </c>
      <c r="C391">
        <v>410470016011</v>
      </c>
      <c r="D391">
        <v>99.678554000000005</v>
      </c>
    </row>
    <row r="392" spans="1:4" x14ac:dyDescent="0.25">
      <c r="A392">
        <v>142</v>
      </c>
      <c r="B392">
        <v>123</v>
      </c>
      <c r="C392">
        <v>410470016014</v>
      </c>
      <c r="D392">
        <v>0.32144299999999998</v>
      </c>
    </row>
    <row r="393" spans="1:4" x14ac:dyDescent="0.25">
      <c r="A393">
        <v>143</v>
      </c>
      <c r="B393">
        <v>140</v>
      </c>
      <c r="C393">
        <v>410470016011</v>
      </c>
      <c r="D393">
        <v>99.699721999999994</v>
      </c>
    </row>
    <row r="394" spans="1:4" x14ac:dyDescent="0.25">
      <c r="A394">
        <v>143</v>
      </c>
      <c r="B394">
        <v>140</v>
      </c>
      <c r="C394">
        <v>410470016014</v>
      </c>
      <c r="D394">
        <v>0.30027900000000002</v>
      </c>
    </row>
    <row r="395" spans="1:4" x14ac:dyDescent="0.25">
      <c r="A395">
        <v>144</v>
      </c>
      <c r="B395">
        <v>142</v>
      </c>
      <c r="C395">
        <v>410470004003</v>
      </c>
      <c r="D395">
        <v>1.923E-3</v>
      </c>
    </row>
    <row r="396" spans="1:4" x14ac:dyDescent="0.25">
      <c r="A396">
        <v>144</v>
      </c>
      <c r="B396">
        <v>142</v>
      </c>
      <c r="C396">
        <v>410470016011</v>
      </c>
      <c r="D396">
        <v>95.223149000000006</v>
      </c>
    </row>
    <row r="397" spans="1:4" x14ac:dyDescent="0.25">
      <c r="A397">
        <v>144</v>
      </c>
      <c r="B397">
        <v>142</v>
      </c>
      <c r="C397">
        <v>410470016051</v>
      </c>
      <c r="D397">
        <v>4.7749329999999999</v>
      </c>
    </row>
    <row r="398" spans="1:4" x14ac:dyDescent="0.25">
      <c r="A398">
        <v>145</v>
      </c>
      <c r="B398">
        <v>142</v>
      </c>
      <c r="C398">
        <v>410470016011</v>
      </c>
      <c r="D398">
        <v>58.239631000000003</v>
      </c>
    </row>
    <row r="399" spans="1:4" x14ac:dyDescent="0.25">
      <c r="A399">
        <v>145</v>
      </c>
      <c r="B399">
        <v>142</v>
      </c>
      <c r="C399">
        <v>410470016012</v>
      </c>
      <c r="D399">
        <v>33.712659000000002</v>
      </c>
    </row>
    <row r="400" spans="1:4" x14ac:dyDescent="0.25">
      <c r="A400">
        <v>145</v>
      </c>
      <c r="B400">
        <v>142</v>
      </c>
      <c r="C400">
        <v>410470016014</v>
      </c>
      <c r="D400">
        <v>0.29147400000000001</v>
      </c>
    </row>
    <row r="401" spans="1:4" x14ac:dyDescent="0.25">
      <c r="A401">
        <v>145</v>
      </c>
      <c r="B401">
        <v>142</v>
      </c>
      <c r="C401">
        <v>410470016051</v>
      </c>
      <c r="D401">
        <v>7.7344020000000002</v>
      </c>
    </row>
    <row r="402" spans="1:4" x14ac:dyDescent="0.25">
      <c r="A402">
        <v>145</v>
      </c>
      <c r="B402">
        <v>142</v>
      </c>
      <c r="C402">
        <v>410470016063</v>
      </c>
      <c r="D402">
        <v>2.1829999999999999E-2</v>
      </c>
    </row>
    <row r="403" spans="1:4" x14ac:dyDescent="0.25">
      <c r="A403">
        <v>146</v>
      </c>
      <c r="B403">
        <v>130</v>
      </c>
      <c r="C403">
        <v>410470016012</v>
      </c>
      <c r="D403">
        <v>48.879745999999997</v>
      </c>
    </row>
    <row r="404" spans="1:4" x14ac:dyDescent="0.25">
      <c r="A404">
        <v>146</v>
      </c>
      <c r="B404">
        <v>130</v>
      </c>
      <c r="C404">
        <v>410470016013</v>
      </c>
      <c r="D404">
        <v>34.850898999999998</v>
      </c>
    </row>
    <row r="405" spans="1:4" x14ac:dyDescent="0.25">
      <c r="A405">
        <v>146</v>
      </c>
      <c r="B405">
        <v>130</v>
      </c>
      <c r="C405">
        <v>410470016014</v>
      </c>
      <c r="D405">
        <v>6.9128410000000002</v>
      </c>
    </row>
    <row r="406" spans="1:4" x14ac:dyDescent="0.25">
      <c r="A406">
        <v>146</v>
      </c>
      <c r="B406">
        <v>130</v>
      </c>
      <c r="C406">
        <v>410470016015</v>
      </c>
      <c r="D406">
        <v>4.7329999999999997E-2</v>
      </c>
    </row>
    <row r="407" spans="1:4" x14ac:dyDescent="0.25">
      <c r="A407">
        <v>146</v>
      </c>
      <c r="B407">
        <v>130</v>
      </c>
      <c r="C407">
        <v>410470016032</v>
      </c>
      <c r="D407">
        <v>0.28273999999999999</v>
      </c>
    </row>
    <row r="408" spans="1:4" x14ac:dyDescent="0.25">
      <c r="A408">
        <v>146</v>
      </c>
      <c r="B408">
        <v>130</v>
      </c>
      <c r="C408">
        <v>410470016062</v>
      </c>
      <c r="D408">
        <v>4.2959999999999998E-2</v>
      </c>
    </row>
    <row r="409" spans="1:4" x14ac:dyDescent="0.25">
      <c r="A409">
        <v>146</v>
      </c>
      <c r="B409">
        <v>130</v>
      </c>
      <c r="C409">
        <v>410470016063</v>
      </c>
      <c r="D409">
        <v>8.9834849999999999</v>
      </c>
    </row>
    <row r="410" spans="1:4" x14ac:dyDescent="0.25">
      <c r="A410">
        <v>147</v>
      </c>
      <c r="B410">
        <v>132</v>
      </c>
      <c r="C410">
        <v>410470016012</v>
      </c>
      <c r="D410">
        <v>8.4882639999999991</v>
      </c>
    </row>
    <row r="411" spans="1:4" x14ac:dyDescent="0.25">
      <c r="A411">
        <v>147</v>
      </c>
      <c r="B411">
        <v>132</v>
      </c>
      <c r="C411">
        <v>410470016013</v>
      </c>
      <c r="D411">
        <v>3.2877999999999998E-2</v>
      </c>
    </row>
    <row r="412" spans="1:4" x14ac:dyDescent="0.25">
      <c r="A412">
        <v>147</v>
      </c>
      <c r="B412">
        <v>132</v>
      </c>
      <c r="C412">
        <v>410470016031</v>
      </c>
      <c r="D412">
        <v>1.660514</v>
      </c>
    </row>
    <row r="413" spans="1:4" x14ac:dyDescent="0.25">
      <c r="A413">
        <v>147</v>
      </c>
      <c r="B413">
        <v>132</v>
      </c>
      <c r="C413">
        <v>410470016032</v>
      </c>
      <c r="D413">
        <v>68.007619000000005</v>
      </c>
    </row>
    <row r="414" spans="1:4" x14ac:dyDescent="0.25">
      <c r="A414">
        <v>147</v>
      </c>
      <c r="B414">
        <v>132</v>
      </c>
      <c r="C414">
        <v>410470016033</v>
      </c>
      <c r="D414">
        <v>5.7349999999999996E-3</v>
      </c>
    </row>
    <row r="415" spans="1:4" x14ac:dyDescent="0.25">
      <c r="A415">
        <v>147</v>
      </c>
      <c r="B415">
        <v>132</v>
      </c>
      <c r="C415">
        <v>410470016061</v>
      </c>
      <c r="D415">
        <v>2.3897000000000002E-2</v>
      </c>
    </row>
    <row r="416" spans="1:4" x14ac:dyDescent="0.25">
      <c r="A416">
        <v>147</v>
      </c>
      <c r="B416">
        <v>132</v>
      </c>
      <c r="C416">
        <v>410470016062</v>
      </c>
      <c r="D416">
        <v>21.781088</v>
      </c>
    </row>
    <row r="417" spans="1:4" x14ac:dyDescent="0.25">
      <c r="A417">
        <v>148</v>
      </c>
      <c r="B417">
        <v>237</v>
      </c>
      <c r="C417">
        <v>410470016031</v>
      </c>
      <c r="D417">
        <v>1.137292</v>
      </c>
    </row>
    <row r="418" spans="1:4" x14ac:dyDescent="0.25">
      <c r="A418">
        <v>148</v>
      </c>
      <c r="B418">
        <v>237</v>
      </c>
      <c r="C418">
        <v>410470016032</v>
      </c>
      <c r="D418">
        <v>6.9778000000000007E-2</v>
      </c>
    </row>
    <row r="419" spans="1:4" x14ac:dyDescent="0.25">
      <c r="A419">
        <v>148</v>
      </c>
      <c r="B419">
        <v>237</v>
      </c>
      <c r="C419">
        <v>410470016033</v>
      </c>
      <c r="D419">
        <v>61.763683999999998</v>
      </c>
    </row>
    <row r="420" spans="1:4" x14ac:dyDescent="0.25">
      <c r="A420">
        <v>148</v>
      </c>
      <c r="B420">
        <v>237</v>
      </c>
      <c r="C420">
        <v>410470016034</v>
      </c>
      <c r="D420">
        <v>0.23411399999999999</v>
      </c>
    </row>
    <row r="421" spans="1:4" x14ac:dyDescent="0.25">
      <c r="A421">
        <v>148</v>
      </c>
      <c r="B421">
        <v>237</v>
      </c>
      <c r="C421">
        <v>410470016061</v>
      </c>
      <c r="D421">
        <v>36.741853999999996</v>
      </c>
    </row>
    <row r="422" spans="1:4" x14ac:dyDescent="0.25">
      <c r="A422">
        <v>148</v>
      </c>
      <c r="B422">
        <v>237</v>
      </c>
      <c r="C422">
        <v>410470016062</v>
      </c>
      <c r="D422">
        <v>5.3282000000000003E-2</v>
      </c>
    </row>
    <row r="423" spans="1:4" x14ac:dyDescent="0.25">
      <c r="A423">
        <v>149</v>
      </c>
      <c r="B423">
        <v>236</v>
      </c>
      <c r="C423">
        <v>410470016061</v>
      </c>
      <c r="D423">
        <v>0.57605899999999999</v>
      </c>
    </row>
    <row r="424" spans="1:4" x14ac:dyDescent="0.25">
      <c r="A424">
        <v>149</v>
      </c>
      <c r="B424">
        <v>236</v>
      </c>
      <c r="C424">
        <v>410470016062</v>
      </c>
      <c r="D424">
        <v>0.48735800000000001</v>
      </c>
    </row>
    <row r="425" spans="1:4" x14ac:dyDescent="0.25">
      <c r="A425">
        <v>149</v>
      </c>
      <c r="B425">
        <v>236</v>
      </c>
      <c r="C425">
        <v>410470016063</v>
      </c>
      <c r="D425">
        <v>98.899844999999999</v>
      </c>
    </row>
    <row r="426" spans="1:4" x14ac:dyDescent="0.25">
      <c r="A426">
        <v>149</v>
      </c>
      <c r="B426">
        <v>236</v>
      </c>
      <c r="C426">
        <v>410470016072</v>
      </c>
      <c r="D426">
        <v>3.6741999999999997E-2</v>
      </c>
    </row>
    <row r="427" spans="1:4" x14ac:dyDescent="0.25">
      <c r="A427">
        <v>150</v>
      </c>
      <c r="B427">
        <v>145</v>
      </c>
      <c r="C427">
        <v>410470016051</v>
      </c>
      <c r="D427">
        <v>57.664906000000002</v>
      </c>
    </row>
    <row r="428" spans="1:4" x14ac:dyDescent="0.25">
      <c r="A428">
        <v>150</v>
      </c>
      <c r="B428">
        <v>145</v>
      </c>
      <c r="C428">
        <v>410470016052</v>
      </c>
      <c r="D428">
        <v>39.770197000000003</v>
      </c>
    </row>
    <row r="429" spans="1:4" x14ac:dyDescent="0.25">
      <c r="A429">
        <v>150</v>
      </c>
      <c r="B429">
        <v>145</v>
      </c>
      <c r="C429">
        <v>410470016063</v>
      </c>
      <c r="D429">
        <v>2.5648970000000002</v>
      </c>
    </row>
    <row r="430" spans="1:4" x14ac:dyDescent="0.25">
      <c r="A430">
        <v>151</v>
      </c>
      <c r="B430">
        <v>150</v>
      </c>
      <c r="C430">
        <v>410470016052</v>
      </c>
      <c r="D430">
        <v>97.539195000000007</v>
      </c>
    </row>
    <row r="431" spans="1:4" x14ac:dyDescent="0.25">
      <c r="A431">
        <v>151</v>
      </c>
      <c r="B431">
        <v>150</v>
      </c>
      <c r="C431">
        <v>410470016063</v>
      </c>
      <c r="D431">
        <v>2.223792</v>
      </c>
    </row>
    <row r="432" spans="1:4" x14ac:dyDescent="0.25">
      <c r="A432">
        <v>151</v>
      </c>
      <c r="B432">
        <v>150</v>
      </c>
      <c r="C432">
        <v>410470016071</v>
      </c>
      <c r="D432">
        <v>0.22805300000000001</v>
      </c>
    </row>
    <row r="433" spans="1:4" x14ac:dyDescent="0.25">
      <c r="A433">
        <v>151</v>
      </c>
      <c r="B433">
        <v>150</v>
      </c>
      <c r="C433">
        <v>410470016072</v>
      </c>
      <c r="D433">
        <v>8.9630000000000005E-3</v>
      </c>
    </row>
    <row r="434" spans="1:4" x14ac:dyDescent="0.25">
      <c r="A434">
        <v>152</v>
      </c>
      <c r="B434">
        <v>239</v>
      </c>
      <c r="C434">
        <v>410470016031</v>
      </c>
      <c r="D434">
        <v>99.598346000000006</v>
      </c>
    </row>
    <row r="435" spans="1:4" x14ac:dyDescent="0.25">
      <c r="A435">
        <v>152</v>
      </c>
      <c r="B435">
        <v>239</v>
      </c>
      <c r="C435">
        <v>410470026001</v>
      </c>
      <c r="D435">
        <v>0.40165499999999998</v>
      </c>
    </row>
    <row r="436" spans="1:4" x14ac:dyDescent="0.25">
      <c r="A436">
        <v>153</v>
      </c>
      <c r="B436">
        <v>239</v>
      </c>
      <c r="C436">
        <v>410470016031</v>
      </c>
      <c r="D436">
        <v>99.596402999999995</v>
      </c>
    </row>
    <row r="437" spans="1:4" x14ac:dyDescent="0.25">
      <c r="A437">
        <v>153</v>
      </c>
      <c r="B437">
        <v>239</v>
      </c>
      <c r="C437">
        <v>410470016034</v>
      </c>
      <c r="D437">
        <v>2.1308000000000001E-2</v>
      </c>
    </row>
    <row r="438" spans="1:4" x14ac:dyDescent="0.25">
      <c r="A438">
        <v>153</v>
      </c>
      <c r="B438">
        <v>239</v>
      </c>
      <c r="C438">
        <v>410470017031</v>
      </c>
      <c r="D438">
        <v>5.7620999999999999E-2</v>
      </c>
    </row>
    <row r="439" spans="1:4" x14ac:dyDescent="0.25">
      <c r="A439">
        <v>153</v>
      </c>
      <c r="B439">
        <v>239</v>
      </c>
      <c r="C439">
        <v>410470026001</v>
      </c>
      <c r="D439">
        <v>0.32466699999999998</v>
      </c>
    </row>
    <row r="440" spans="1:4" x14ac:dyDescent="0.25">
      <c r="A440">
        <v>154</v>
      </c>
      <c r="B440">
        <v>237</v>
      </c>
      <c r="C440">
        <v>410470016031</v>
      </c>
      <c r="D440">
        <v>17.540738000000001</v>
      </c>
    </row>
    <row r="441" spans="1:4" x14ac:dyDescent="0.25">
      <c r="A441">
        <v>154</v>
      </c>
      <c r="B441">
        <v>237</v>
      </c>
      <c r="C441">
        <v>410470016033</v>
      </c>
      <c r="D441">
        <v>0.28564000000000001</v>
      </c>
    </row>
    <row r="442" spans="1:4" x14ac:dyDescent="0.25">
      <c r="A442">
        <v>154</v>
      </c>
      <c r="B442">
        <v>237</v>
      </c>
      <c r="C442">
        <v>410470016034</v>
      </c>
      <c r="D442">
        <v>32.260685000000002</v>
      </c>
    </row>
    <row r="443" spans="1:4" x14ac:dyDescent="0.25">
      <c r="A443">
        <v>154</v>
      </c>
      <c r="B443">
        <v>237</v>
      </c>
      <c r="C443">
        <v>410470016061</v>
      </c>
      <c r="D443">
        <v>3.4361000000000003E-2</v>
      </c>
    </row>
    <row r="444" spans="1:4" x14ac:dyDescent="0.25">
      <c r="A444">
        <v>154</v>
      </c>
      <c r="B444">
        <v>237</v>
      </c>
      <c r="C444">
        <v>410470016081</v>
      </c>
      <c r="D444">
        <v>32.129322999999999</v>
      </c>
    </row>
    <row r="445" spans="1:4" x14ac:dyDescent="0.25">
      <c r="A445">
        <v>154</v>
      </c>
      <c r="B445">
        <v>237</v>
      </c>
      <c r="C445">
        <v>410470016082</v>
      </c>
      <c r="D445">
        <v>17.640139000000001</v>
      </c>
    </row>
    <row r="446" spans="1:4" x14ac:dyDescent="0.25">
      <c r="A446">
        <v>154</v>
      </c>
      <c r="B446">
        <v>237</v>
      </c>
      <c r="C446">
        <v>410470017022</v>
      </c>
      <c r="D446">
        <v>0.10911</v>
      </c>
    </row>
    <row r="447" spans="1:4" x14ac:dyDescent="0.25">
      <c r="A447">
        <v>155</v>
      </c>
      <c r="B447">
        <v>236</v>
      </c>
      <c r="C447">
        <v>410470016061</v>
      </c>
      <c r="D447">
        <v>0.13980400000000001</v>
      </c>
    </row>
    <row r="448" spans="1:4" x14ac:dyDescent="0.25">
      <c r="A448">
        <v>155</v>
      </c>
      <c r="B448">
        <v>236</v>
      </c>
      <c r="C448">
        <v>410470016063</v>
      </c>
      <c r="D448">
        <v>9.7921999999999995E-2</v>
      </c>
    </row>
    <row r="449" spans="1:4" x14ac:dyDescent="0.25">
      <c r="A449">
        <v>155</v>
      </c>
      <c r="B449">
        <v>236</v>
      </c>
      <c r="C449">
        <v>410470016081</v>
      </c>
      <c r="D449">
        <v>50.654874999999997</v>
      </c>
    </row>
    <row r="450" spans="1:4" x14ac:dyDescent="0.25">
      <c r="A450">
        <v>155</v>
      </c>
      <c r="B450">
        <v>236</v>
      </c>
      <c r="C450">
        <v>410470016082</v>
      </c>
      <c r="D450">
        <v>48.887659999999997</v>
      </c>
    </row>
    <row r="451" spans="1:4" x14ac:dyDescent="0.25">
      <c r="A451">
        <v>155</v>
      </c>
      <c r="B451">
        <v>236</v>
      </c>
      <c r="C451">
        <v>410470017011</v>
      </c>
      <c r="D451">
        <v>4.9121999999999999E-2</v>
      </c>
    </row>
    <row r="452" spans="1:4" x14ac:dyDescent="0.25">
      <c r="A452">
        <v>155</v>
      </c>
      <c r="B452">
        <v>236</v>
      </c>
      <c r="C452">
        <v>410470017022</v>
      </c>
      <c r="D452">
        <v>0.17061799999999999</v>
      </c>
    </row>
    <row r="453" spans="1:4" x14ac:dyDescent="0.25">
      <c r="A453">
        <v>156</v>
      </c>
      <c r="B453">
        <v>234</v>
      </c>
      <c r="C453">
        <v>410470016063</v>
      </c>
      <c r="D453">
        <v>1.5251000000000001E-2</v>
      </c>
    </row>
    <row r="454" spans="1:4" x14ac:dyDescent="0.25">
      <c r="A454">
        <v>156</v>
      </c>
      <c r="B454">
        <v>234</v>
      </c>
      <c r="C454">
        <v>410470016072</v>
      </c>
      <c r="D454">
        <v>98.001052999999999</v>
      </c>
    </row>
    <row r="455" spans="1:4" x14ac:dyDescent="0.25">
      <c r="A455">
        <v>156</v>
      </c>
      <c r="B455">
        <v>234</v>
      </c>
      <c r="C455">
        <v>410470016081</v>
      </c>
      <c r="D455">
        <v>0.34531800000000001</v>
      </c>
    </row>
    <row r="456" spans="1:4" x14ac:dyDescent="0.25">
      <c r="A456">
        <v>156</v>
      </c>
      <c r="B456">
        <v>234</v>
      </c>
      <c r="C456">
        <v>410470016082</v>
      </c>
      <c r="D456">
        <v>1.6383810000000001</v>
      </c>
    </row>
    <row r="457" spans="1:4" x14ac:dyDescent="0.25">
      <c r="A457">
        <v>157</v>
      </c>
      <c r="B457">
        <v>232</v>
      </c>
      <c r="C457">
        <v>410470016063</v>
      </c>
      <c r="D457">
        <v>4.3299999999999996E-3</v>
      </c>
    </row>
    <row r="458" spans="1:4" x14ac:dyDescent="0.25">
      <c r="A458">
        <v>157</v>
      </c>
      <c r="B458">
        <v>232</v>
      </c>
      <c r="C458">
        <v>410470016072</v>
      </c>
      <c r="D458">
        <v>99.995670000000004</v>
      </c>
    </row>
    <row r="459" spans="1:4" x14ac:dyDescent="0.25">
      <c r="A459">
        <v>158</v>
      </c>
      <c r="B459">
        <v>229</v>
      </c>
      <c r="C459">
        <v>410470016052</v>
      </c>
      <c r="D459">
        <v>0.167742</v>
      </c>
    </row>
    <row r="460" spans="1:4" x14ac:dyDescent="0.25">
      <c r="A460">
        <v>158</v>
      </c>
      <c r="B460">
        <v>229</v>
      </c>
      <c r="C460">
        <v>410470016071</v>
      </c>
      <c r="D460">
        <v>96.594132999999999</v>
      </c>
    </row>
    <row r="461" spans="1:4" x14ac:dyDescent="0.25">
      <c r="A461">
        <v>158</v>
      </c>
      <c r="B461">
        <v>229</v>
      </c>
      <c r="C461">
        <v>410470016072</v>
      </c>
      <c r="D461">
        <v>3.2381259999999998</v>
      </c>
    </row>
    <row r="462" spans="1:4" x14ac:dyDescent="0.25">
      <c r="A462">
        <v>159</v>
      </c>
      <c r="B462">
        <v>229</v>
      </c>
      <c r="C462">
        <v>410470016071</v>
      </c>
      <c r="D462">
        <v>99.999978999999996</v>
      </c>
    </row>
    <row r="463" spans="1:4" x14ac:dyDescent="0.25">
      <c r="A463">
        <v>160</v>
      </c>
      <c r="B463">
        <v>231</v>
      </c>
      <c r="C463">
        <v>410470016071</v>
      </c>
      <c r="D463">
        <v>99.999999000000003</v>
      </c>
    </row>
    <row r="464" spans="1:4" x14ac:dyDescent="0.25">
      <c r="A464">
        <v>161</v>
      </c>
      <c r="B464">
        <v>231</v>
      </c>
      <c r="C464">
        <v>410470016071</v>
      </c>
      <c r="D464">
        <v>94.973247999999998</v>
      </c>
    </row>
    <row r="465" spans="1:4" x14ac:dyDescent="0.25">
      <c r="A465">
        <v>161</v>
      </c>
      <c r="B465">
        <v>231</v>
      </c>
      <c r="C465">
        <v>410470016072</v>
      </c>
      <c r="D465">
        <v>5.026764</v>
      </c>
    </row>
    <row r="466" spans="1:4" x14ac:dyDescent="0.25">
      <c r="A466">
        <v>162</v>
      </c>
      <c r="B466">
        <v>234</v>
      </c>
      <c r="C466">
        <v>410470016072</v>
      </c>
      <c r="D466">
        <v>99.151973999999996</v>
      </c>
    </row>
    <row r="467" spans="1:4" x14ac:dyDescent="0.25">
      <c r="A467">
        <v>162</v>
      </c>
      <c r="B467">
        <v>234</v>
      </c>
      <c r="C467">
        <v>410470016081</v>
      </c>
      <c r="D467">
        <v>0.84801599999999999</v>
      </c>
    </row>
    <row r="468" spans="1:4" x14ac:dyDescent="0.25">
      <c r="A468">
        <v>163</v>
      </c>
      <c r="B468">
        <v>235</v>
      </c>
      <c r="C468">
        <v>410470016072</v>
      </c>
      <c r="D468">
        <v>97.502470000000002</v>
      </c>
    </row>
    <row r="469" spans="1:4" x14ac:dyDescent="0.25">
      <c r="A469">
        <v>163</v>
      </c>
      <c r="B469">
        <v>235</v>
      </c>
      <c r="C469">
        <v>410470016081</v>
      </c>
      <c r="D469">
        <v>2.2289439999999998</v>
      </c>
    </row>
    <row r="470" spans="1:4" x14ac:dyDescent="0.25">
      <c r="A470">
        <v>163</v>
      </c>
      <c r="B470">
        <v>235</v>
      </c>
      <c r="C470">
        <v>410470017011</v>
      </c>
      <c r="D470">
        <v>0.26861200000000002</v>
      </c>
    </row>
    <row r="471" spans="1:4" x14ac:dyDescent="0.25">
      <c r="A471">
        <v>164</v>
      </c>
      <c r="B471">
        <v>240</v>
      </c>
      <c r="C471">
        <v>410470016071</v>
      </c>
      <c r="D471">
        <v>0.60844299999999996</v>
      </c>
    </row>
    <row r="472" spans="1:4" x14ac:dyDescent="0.25">
      <c r="A472">
        <v>164</v>
      </c>
      <c r="B472">
        <v>240</v>
      </c>
      <c r="C472">
        <v>410470017011</v>
      </c>
      <c r="D472">
        <v>99.391559999999998</v>
      </c>
    </row>
    <row r="473" spans="1:4" x14ac:dyDescent="0.25">
      <c r="A473">
        <v>165</v>
      </c>
      <c r="B473">
        <v>241</v>
      </c>
      <c r="C473">
        <v>410470016071</v>
      </c>
      <c r="D473">
        <v>0.62435700000000005</v>
      </c>
    </row>
    <row r="474" spans="1:4" x14ac:dyDescent="0.25">
      <c r="A474">
        <v>165</v>
      </c>
      <c r="B474">
        <v>241</v>
      </c>
      <c r="C474">
        <v>410470016072</v>
      </c>
      <c r="D474">
        <v>4.6787000000000002E-2</v>
      </c>
    </row>
    <row r="475" spans="1:4" x14ac:dyDescent="0.25">
      <c r="A475">
        <v>165</v>
      </c>
      <c r="B475">
        <v>241</v>
      </c>
      <c r="C475">
        <v>410470017011</v>
      </c>
      <c r="D475">
        <v>99.328873000000002</v>
      </c>
    </row>
    <row r="476" spans="1:4" x14ac:dyDescent="0.25">
      <c r="A476">
        <v>166</v>
      </c>
      <c r="B476">
        <v>245</v>
      </c>
      <c r="C476">
        <v>410470016072</v>
      </c>
      <c r="D476">
        <v>0.518011</v>
      </c>
    </row>
    <row r="477" spans="1:4" x14ac:dyDescent="0.25">
      <c r="A477">
        <v>166</v>
      </c>
      <c r="B477">
        <v>245</v>
      </c>
      <c r="C477">
        <v>410470017011</v>
      </c>
      <c r="D477">
        <v>99.481994</v>
      </c>
    </row>
    <row r="478" spans="1:4" x14ac:dyDescent="0.25">
      <c r="A478">
        <v>167</v>
      </c>
      <c r="B478">
        <v>246</v>
      </c>
      <c r="C478">
        <v>410470016072</v>
      </c>
      <c r="D478">
        <v>1.4629E-2</v>
      </c>
    </row>
    <row r="479" spans="1:4" x14ac:dyDescent="0.25">
      <c r="A479">
        <v>167</v>
      </c>
      <c r="B479">
        <v>246</v>
      </c>
      <c r="C479">
        <v>410470017011</v>
      </c>
      <c r="D479">
        <v>98.780276999999998</v>
      </c>
    </row>
    <row r="480" spans="1:4" x14ac:dyDescent="0.25">
      <c r="A480">
        <v>167</v>
      </c>
      <c r="B480">
        <v>246</v>
      </c>
      <c r="C480">
        <v>410470017012</v>
      </c>
      <c r="D480">
        <v>1.9479E-2</v>
      </c>
    </row>
    <row r="481" spans="1:4" x14ac:dyDescent="0.25">
      <c r="A481">
        <v>167</v>
      </c>
      <c r="B481">
        <v>246</v>
      </c>
      <c r="C481">
        <v>410470017022</v>
      </c>
      <c r="D481">
        <v>1.173384</v>
      </c>
    </row>
    <row r="482" spans="1:4" x14ac:dyDescent="0.25">
      <c r="A482">
        <v>167</v>
      </c>
      <c r="B482">
        <v>246</v>
      </c>
      <c r="C482">
        <v>410470017023</v>
      </c>
      <c r="D482">
        <v>1.2227E-2</v>
      </c>
    </row>
    <row r="483" spans="1:4" x14ac:dyDescent="0.25">
      <c r="A483">
        <v>168</v>
      </c>
      <c r="B483">
        <v>251</v>
      </c>
      <c r="C483">
        <v>410470016031</v>
      </c>
      <c r="D483">
        <v>0.497174</v>
      </c>
    </row>
    <row r="484" spans="1:4" x14ac:dyDescent="0.25">
      <c r="A484">
        <v>168</v>
      </c>
      <c r="B484">
        <v>251</v>
      </c>
      <c r="C484">
        <v>410470016081</v>
      </c>
      <c r="D484">
        <v>7.4621999999999994E-2</v>
      </c>
    </row>
    <row r="485" spans="1:4" x14ac:dyDescent="0.25">
      <c r="A485">
        <v>168</v>
      </c>
      <c r="B485">
        <v>251</v>
      </c>
      <c r="C485">
        <v>410470017021</v>
      </c>
      <c r="D485">
        <v>0.41493600000000003</v>
      </c>
    </row>
    <row r="486" spans="1:4" x14ac:dyDescent="0.25">
      <c r="A486">
        <v>168</v>
      </c>
      <c r="B486">
        <v>251</v>
      </c>
      <c r="C486">
        <v>410470017022</v>
      </c>
      <c r="D486">
        <v>98.359993000000003</v>
      </c>
    </row>
    <row r="487" spans="1:4" x14ac:dyDescent="0.25">
      <c r="A487">
        <v>168</v>
      </c>
      <c r="B487">
        <v>251</v>
      </c>
      <c r="C487">
        <v>410470017031</v>
      </c>
      <c r="D487">
        <v>0.65327500000000005</v>
      </c>
    </row>
    <row r="488" spans="1:4" x14ac:dyDescent="0.25">
      <c r="A488">
        <v>169</v>
      </c>
      <c r="B488">
        <v>253</v>
      </c>
      <c r="C488">
        <v>410470016031</v>
      </c>
      <c r="D488">
        <v>0.37369999999999998</v>
      </c>
    </row>
    <row r="489" spans="1:4" x14ac:dyDescent="0.25">
      <c r="A489">
        <v>169</v>
      </c>
      <c r="B489">
        <v>253</v>
      </c>
      <c r="C489">
        <v>410470017031</v>
      </c>
      <c r="D489">
        <v>99.626309000000006</v>
      </c>
    </row>
    <row r="490" spans="1:4" x14ac:dyDescent="0.25">
      <c r="A490">
        <v>170</v>
      </c>
      <c r="B490">
        <v>255</v>
      </c>
      <c r="C490">
        <v>410470016031</v>
      </c>
      <c r="D490">
        <v>2.1158E-2</v>
      </c>
    </row>
    <row r="491" spans="1:4" x14ac:dyDescent="0.25">
      <c r="A491">
        <v>170</v>
      </c>
      <c r="B491">
        <v>255</v>
      </c>
      <c r="C491">
        <v>410470017031</v>
      </c>
      <c r="D491">
        <v>99.863759000000002</v>
      </c>
    </row>
    <row r="492" spans="1:4" x14ac:dyDescent="0.25">
      <c r="A492">
        <v>170</v>
      </c>
      <c r="B492">
        <v>255</v>
      </c>
      <c r="C492">
        <v>410470026001</v>
      </c>
      <c r="D492">
        <v>0.115082</v>
      </c>
    </row>
    <row r="493" spans="1:4" x14ac:dyDescent="0.25">
      <c r="A493">
        <v>171</v>
      </c>
      <c r="B493">
        <v>255</v>
      </c>
      <c r="C493">
        <v>410470017031</v>
      </c>
      <c r="D493">
        <v>99.999998000000005</v>
      </c>
    </row>
    <row r="494" spans="1:4" x14ac:dyDescent="0.25">
      <c r="A494">
        <v>172</v>
      </c>
      <c r="B494">
        <v>252</v>
      </c>
      <c r="C494">
        <v>410470017021</v>
      </c>
      <c r="D494">
        <v>40.506107</v>
      </c>
    </row>
    <row r="495" spans="1:4" x14ac:dyDescent="0.25">
      <c r="A495">
        <v>172</v>
      </c>
      <c r="B495">
        <v>252</v>
      </c>
      <c r="C495">
        <v>410470017022</v>
      </c>
      <c r="D495">
        <v>4.0190229999999998</v>
      </c>
    </row>
    <row r="496" spans="1:4" x14ac:dyDescent="0.25">
      <c r="A496">
        <v>172</v>
      </c>
      <c r="B496">
        <v>252</v>
      </c>
      <c r="C496">
        <v>410470017031</v>
      </c>
      <c r="D496">
        <v>0.72955800000000004</v>
      </c>
    </row>
    <row r="497" spans="1:4" x14ac:dyDescent="0.25">
      <c r="A497">
        <v>172</v>
      </c>
      <c r="B497">
        <v>252</v>
      </c>
      <c r="C497">
        <v>410470017032</v>
      </c>
      <c r="D497">
        <v>0.88941599999999998</v>
      </c>
    </row>
    <row r="498" spans="1:4" x14ac:dyDescent="0.25">
      <c r="A498">
        <v>172</v>
      </c>
      <c r="B498">
        <v>252</v>
      </c>
      <c r="C498">
        <v>410470017033</v>
      </c>
      <c r="D498">
        <v>53.855896000000001</v>
      </c>
    </row>
    <row r="499" spans="1:4" x14ac:dyDescent="0.25">
      <c r="A499">
        <v>173</v>
      </c>
      <c r="B499">
        <v>248</v>
      </c>
      <c r="C499">
        <v>410470017011</v>
      </c>
      <c r="D499">
        <v>3.8793839999999999</v>
      </c>
    </row>
    <row r="500" spans="1:4" x14ac:dyDescent="0.25">
      <c r="A500">
        <v>173</v>
      </c>
      <c r="B500">
        <v>248</v>
      </c>
      <c r="C500">
        <v>410470017012</v>
      </c>
      <c r="D500">
        <v>38.961055000000002</v>
      </c>
    </row>
    <row r="501" spans="1:4" x14ac:dyDescent="0.25">
      <c r="A501">
        <v>173</v>
      </c>
      <c r="B501">
        <v>248</v>
      </c>
      <c r="C501">
        <v>410470017021</v>
      </c>
      <c r="D501">
        <v>0.68567999999999996</v>
      </c>
    </row>
    <row r="502" spans="1:4" x14ac:dyDescent="0.25">
      <c r="A502">
        <v>173</v>
      </c>
      <c r="B502">
        <v>248</v>
      </c>
      <c r="C502">
        <v>410470017022</v>
      </c>
      <c r="D502">
        <v>0.157161</v>
      </c>
    </row>
    <row r="503" spans="1:4" x14ac:dyDescent="0.25">
      <c r="A503">
        <v>173</v>
      </c>
      <c r="B503">
        <v>248</v>
      </c>
      <c r="C503">
        <v>410470017023</v>
      </c>
      <c r="D503">
        <v>56.316712000000003</v>
      </c>
    </row>
    <row r="504" spans="1:4" x14ac:dyDescent="0.25">
      <c r="A504">
        <v>174</v>
      </c>
      <c r="B504">
        <v>247</v>
      </c>
      <c r="C504">
        <v>410470017011</v>
      </c>
      <c r="D504">
        <v>0.33527499999999999</v>
      </c>
    </row>
    <row r="505" spans="1:4" x14ac:dyDescent="0.25">
      <c r="A505">
        <v>174</v>
      </c>
      <c r="B505">
        <v>247</v>
      </c>
      <c r="C505">
        <v>410470017012</v>
      </c>
      <c r="D505">
        <v>99.664726999999999</v>
      </c>
    </row>
    <row r="506" spans="1:4" x14ac:dyDescent="0.25">
      <c r="A506">
        <v>175</v>
      </c>
      <c r="B506">
        <v>243</v>
      </c>
      <c r="C506">
        <v>410470017011</v>
      </c>
      <c r="D506">
        <v>1.822845</v>
      </c>
    </row>
    <row r="507" spans="1:4" x14ac:dyDescent="0.25">
      <c r="A507">
        <v>175</v>
      </c>
      <c r="B507">
        <v>243</v>
      </c>
      <c r="C507">
        <v>410470017012</v>
      </c>
      <c r="D507">
        <v>98.177162999999993</v>
      </c>
    </row>
    <row r="508" spans="1:4" x14ac:dyDescent="0.25">
      <c r="A508">
        <v>176</v>
      </c>
      <c r="B508">
        <v>243</v>
      </c>
      <c r="C508">
        <v>410470017012</v>
      </c>
      <c r="D508">
        <v>98.894773999999998</v>
      </c>
    </row>
    <row r="509" spans="1:4" x14ac:dyDescent="0.25">
      <c r="A509">
        <v>176</v>
      </c>
      <c r="B509">
        <v>243</v>
      </c>
      <c r="C509">
        <v>410470017023</v>
      </c>
      <c r="D509">
        <v>1.1052299999999999</v>
      </c>
    </row>
    <row r="510" spans="1:4" x14ac:dyDescent="0.25">
      <c r="A510">
        <v>177</v>
      </c>
      <c r="B510">
        <v>244</v>
      </c>
      <c r="C510">
        <v>410470017012</v>
      </c>
      <c r="D510">
        <v>98.546549999999996</v>
      </c>
    </row>
    <row r="511" spans="1:4" x14ac:dyDescent="0.25">
      <c r="A511">
        <v>177</v>
      </c>
      <c r="B511">
        <v>244</v>
      </c>
      <c r="C511">
        <v>410470017013</v>
      </c>
      <c r="D511">
        <v>0.125668</v>
      </c>
    </row>
    <row r="512" spans="1:4" x14ac:dyDescent="0.25">
      <c r="A512">
        <v>177</v>
      </c>
      <c r="B512">
        <v>244</v>
      </c>
      <c r="C512">
        <v>410470017023</v>
      </c>
      <c r="D512">
        <v>1.327782</v>
      </c>
    </row>
    <row r="513" spans="1:4" x14ac:dyDescent="0.25">
      <c r="A513">
        <v>178</v>
      </c>
      <c r="B513">
        <v>250</v>
      </c>
      <c r="C513">
        <v>410470017012</v>
      </c>
      <c r="D513">
        <v>2.089909</v>
      </c>
    </row>
    <row r="514" spans="1:4" x14ac:dyDescent="0.25">
      <c r="A514">
        <v>178</v>
      </c>
      <c r="B514">
        <v>250</v>
      </c>
      <c r="C514">
        <v>410470017023</v>
      </c>
      <c r="D514">
        <v>97.910104000000004</v>
      </c>
    </row>
    <row r="515" spans="1:4" x14ac:dyDescent="0.25">
      <c r="A515">
        <v>179</v>
      </c>
      <c r="B515">
        <v>260</v>
      </c>
      <c r="C515">
        <v>410470017012</v>
      </c>
      <c r="D515">
        <v>1.2133050000000001</v>
      </c>
    </row>
    <row r="516" spans="1:4" x14ac:dyDescent="0.25">
      <c r="A516">
        <v>179</v>
      </c>
      <c r="B516">
        <v>260</v>
      </c>
      <c r="C516">
        <v>410470017021</v>
      </c>
      <c r="D516">
        <v>1.05474</v>
      </c>
    </row>
    <row r="517" spans="1:4" x14ac:dyDescent="0.25">
      <c r="A517">
        <v>179</v>
      </c>
      <c r="B517">
        <v>260</v>
      </c>
      <c r="C517">
        <v>410470017023</v>
      </c>
      <c r="D517">
        <v>97.247281000000001</v>
      </c>
    </row>
    <row r="518" spans="1:4" x14ac:dyDescent="0.25">
      <c r="A518">
        <v>179</v>
      </c>
      <c r="B518">
        <v>260</v>
      </c>
      <c r="C518">
        <v>410470017032</v>
      </c>
      <c r="D518">
        <v>0.48467199999999999</v>
      </c>
    </row>
    <row r="519" spans="1:4" x14ac:dyDescent="0.25">
      <c r="A519">
        <v>180</v>
      </c>
      <c r="B519">
        <v>257</v>
      </c>
      <c r="C519">
        <v>410470017012</v>
      </c>
      <c r="D519">
        <v>11.710137</v>
      </c>
    </row>
    <row r="520" spans="1:4" x14ac:dyDescent="0.25">
      <c r="A520">
        <v>180</v>
      </c>
      <c r="B520">
        <v>257</v>
      </c>
      <c r="C520">
        <v>410470017013</v>
      </c>
      <c r="D520">
        <v>86.222050999999993</v>
      </c>
    </row>
    <row r="521" spans="1:4" x14ac:dyDescent="0.25">
      <c r="A521">
        <v>180</v>
      </c>
      <c r="B521">
        <v>257</v>
      </c>
      <c r="C521">
        <v>410470018011</v>
      </c>
      <c r="D521">
        <v>2.0678109999999998</v>
      </c>
    </row>
    <row r="522" spans="1:4" x14ac:dyDescent="0.25">
      <c r="A522">
        <v>181</v>
      </c>
      <c r="B522">
        <v>257</v>
      </c>
      <c r="C522">
        <v>410470017012</v>
      </c>
      <c r="D522">
        <v>52.798523000000003</v>
      </c>
    </row>
    <row r="523" spans="1:4" x14ac:dyDescent="0.25">
      <c r="A523">
        <v>181</v>
      </c>
      <c r="B523">
        <v>257</v>
      </c>
      <c r="C523">
        <v>410470017013</v>
      </c>
      <c r="D523">
        <v>46.343825000000002</v>
      </c>
    </row>
    <row r="524" spans="1:4" x14ac:dyDescent="0.25">
      <c r="A524">
        <v>181</v>
      </c>
      <c r="B524">
        <v>257</v>
      </c>
      <c r="C524">
        <v>410470018011</v>
      </c>
      <c r="D524">
        <v>0.85765599999999997</v>
      </c>
    </row>
    <row r="525" spans="1:4" x14ac:dyDescent="0.25">
      <c r="A525">
        <v>182</v>
      </c>
      <c r="B525">
        <v>259</v>
      </c>
      <c r="C525">
        <v>410470017012</v>
      </c>
      <c r="D525">
        <v>74.224425999999994</v>
      </c>
    </row>
    <row r="526" spans="1:4" x14ac:dyDescent="0.25">
      <c r="A526">
        <v>182</v>
      </c>
      <c r="B526">
        <v>259</v>
      </c>
      <c r="C526">
        <v>410470017013</v>
      </c>
      <c r="D526">
        <v>25.775568</v>
      </c>
    </row>
    <row r="527" spans="1:4" x14ac:dyDescent="0.25">
      <c r="A527">
        <v>183</v>
      </c>
      <c r="B527">
        <v>260</v>
      </c>
      <c r="C527">
        <v>410470017012</v>
      </c>
      <c r="D527">
        <v>55.340851000000001</v>
      </c>
    </row>
    <row r="528" spans="1:4" x14ac:dyDescent="0.25">
      <c r="A528">
        <v>183</v>
      </c>
      <c r="B528">
        <v>260</v>
      </c>
      <c r="C528">
        <v>410470017032</v>
      </c>
      <c r="D528">
        <v>44.659159000000002</v>
      </c>
    </row>
    <row r="529" spans="1:4" x14ac:dyDescent="0.25">
      <c r="A529">
        <v>184</v>
      </c>
      <c r="B529">
        <v>265</v>
      </c>
      <c r="C529">
        <v>410470017031</v>
      </c>
      <c r="D529">
        <v>0.90389399999999998</v>
      </c>
    </row>
    <row r="530" spans="1:4" x14ac:dyDescent="0.25">
      <c r="A530">
        <v>184</v>
      </c>
      <c r="B530">
        <v>265</v>
      </c>
      <c r="C530">
        <v>410470017032</v>
      </c>
      <c r="D530">
        <v>99.096118000000004</v>
      </c>
    </row>
    <row r="531" spans="1:4" x14ac:dyDescent="0.25">
      <c r="A531">
        <v>185</v>
      </c>
      <c r="B531">
        <v>268</v>
      </c>
      <c r="C531">
        <v>410470017031</v>
      </c>
      <c r="D531">
        <v>99.969166999999999</v>
      </c>
    </row>
    <row r="532" spans="1:4" x14ac:dyDescent="0.25">
      <c r="A532">
        <v>185</v>
      </c>
      <c r="B532">
        <v>268</v>
      </c>
      <c r="C532">
        <v>410470026001</v>
      </c>
      <c r="D532">
        <v>3.0831000000000001E-2</v>
      </c>
    </row>
    <row r="533" spans="1:4" x14ac:dyDescent="0.25">
      <c r="A533">
        <v>186</v>
      </c>
      <c r="B533">
        <v>266</v>
      </c>
      <c r="C533">
        <v>410470017031</v>
      </c>
      <c r="D533">
        <v>1.1329979999999999</v>
      </c>
    </row>
    <row r="534" spans="1:4" x14ac:dyDescent="0.25">
      <c r="A534">
        <v>186</v>
      </c>
      <c r="B534">
        <v>266</v>
      </c>
      <c r="C534">
        <v>410470017032</v>
      </c>
      <c r="D534">
        <v>98.866996</v>
      </c>
    </row>
    <row r="535" spans="1:4" x14ac:dyDescent="0.25">
      <c r="A535">
        <v>187</v>
      </c>
      <c r="B535">
        <v>265</v>
      </c>
      <c r="C535">
        <v>410470017012</v>
      </c>
      <c r="D535">
        <v>0.19556100000000001</v>
      </c>
    </row>
    <row r="536" spans="1:4" x14ac:dyDescent="0.25">
      <c r="A536">
        <v>187</v>
      </c>
      <c r="B536">
        <v>265</v>
      </c>
      <c r="C536">
        <v>410470017013</v>
      </c>
      <c r="D536">
        <v>53.601452000000002</v>
      </c>
    </row>
    <row r="537" spans="1:4" x14ac:dyDescent="0.25">
      <c r="A537">
        <v>187</v>
      </c>
      <c r="B537">
        <v>265</v>
      </c>
      <c r="C537">
        <v>410470017032</v>
      </c>
      <c r="D537">
        <v>45.881649000000003</v>
      </c>
    </row>
    <row r="538" spans="1:4" x14ac:dyDescent="0.25">
      <c r="A538">
        <v>187</v>
      </c>
      <c r="B538">
        <v>265</v>
      </c>
      <c r="C538">
        <v>410470018011</v>
      </c>
      <c r="D538">
        <v>0.32133699999999998</v>
      </c>
    </row>
    <row r="539" spans="1:4" x14ac:dyDescent="0.25">
      <c r="A539">
        <v>188</v>
      </c>
      <c r="B539">
        <v>262</v>
      </c>
      <c r="C539">
        <v>410470017013</v>
      </c>
      <c r="D539">
        <v>96.574196000000001</v>
      </c>
    </row>
    <row r="540" spans="1:4" x14ac:dyDescent="0.25">
      <c r="A540">
        <v>188</v>
      </c>
      <c r="B540">
        <v>262</v>
      </c>
      <c r="C540">
        <v>410470018011</v>
      </c>
      <c r="D540">
        <v>3.425805</v>
      </c>
    </row>
    <row r="541" spans="1:4" x14ac:dyDescent="0.25">
      <c r="A541">
        <v>189</v>
      </c>
      <c r="B541">
        <v>258</v>
      </c>
      <c r="C541">
        <v>410470018011</v>
      </c>
      <c r="D541">
        <v>99.808901000000006</v>
      </c>
    </row>
    <row r="542" spans="1:4" x14ac:dyDescent="0.25">
      <c r="A542">
        <v>189</v>
      </c>
      <c r="B542">
        <v>258</v>
      </c>
      <c r="C542">
        <v>410470018012</v>
      </c>
      <c r="D542">
        <v>0.191103</v>
      </c>
    </row>
    <row r="543" spans="1:4" x14ac:dyDescent="0.25">
      <c r="A543">
        <v>190</v>
      </c>
      <c r="B543">
        <v>264</v>
      </c>
      <c r="C543">
        <v>410470018011</v>
      </c>
      <c r="D543">
        <v>99.24521</v>
      </c>
    </row>
    <row r="544" spans="1:4" x14ac:dyDescent="0.25">
      <c r="A544">
        <v>190</v>
      </c>
      <c r="B544">
        <v>264</v>
      </c>
      <c r="C544">
        <v>410470018014</v>
      </c>
      <c r="D544">
        <v>0.75476699999999997</v>
      </c>
    </row>
    <row r="545" spans="1:4" x14ac:dyDescent="0.25">
      <c r="A545">
        <v>191</v>
      </c>
      <c r="B545">
        <v>266</v>
      </c>
      <c r="C545">
        <v>410470017013</v>
      </c>
      <c r="D545">
        <v>4.8902000000000001E-2</v>
      </c>
    </row>
    <row r="546" spans="1:4" x14ac:dyDescent="0.25">
      <c r="A546">
        <v>191</v>
      </c>
      <c r="B546">
        <v>266</v>
      </c>
      <c r="C546">
        <v>410470017032</v>
      </c>
      <c r="D546">
        <v>0.193027</v>
      </c>
    </row>
    <row r="547" spans="1:4" x14ac:dyDescent="0.25">
      <c r="A547">
        <v>191</v>
      </c>
      <c r="B547">
        <v>266</v>
      </c>
      <c r="C547">
        <v>410470018011</v>
      </c>
      <c r="D547">
        <v>98.399083000000005</v>
      </c>
    </row>
    <row r="548" spans="1:4" x14ac:dyDescent="0.25">
      <c r="A548">
        <v>191</v>
      </c>
      <c r="B548">
        <v>266</v>
      </c>
      <c r="C548">
        <v>410470018014</v>
      </c>
      <c r="D548">
        <v>0.99741599999999997</v>
      </c>
    </row>
    <row r="549" spans="1:4" x14ac:dyDescent="0.25">
      <c r="A549">
        <v>191</v>
      </c>
      <c r="B549">
        <v>266</v>
      </c>
      <c r="C549">
        <v>410470018022</v>
      </c>
      <c r="D549">
        <v>0.361572</v>
      </c>
    </row>
    <row r="550" spans="1:4" x14ac:dyDescent="0.25">
      <c r="A550">
        <v>192</v>
      </c>
      <c r="B550">
        <v>267</v>
      </c>
      <c r="C550">
        <v>410470017031</v>
      </c>
      <c r="D550">
        <v>5.5176000000000003E-2</v>
      </c>
    </row>
    <row r="551" spans="1:4" x14ac:dyDescent="0.25">
      <c r="A551">
        <v>192</v>
      </c>
      <c r="B551">
        <v>267</v>
      </c>
      <c r="C551">
        <v>410470017032</v>
      </c>
      <c r="D551">
        <v>3.0564969999999998</v>
      </c>
    </row>
    <row r="552" spans="1:4" x14ac:dyDescent="0.25">
      <c r="A552">
        <v>192</v>
      </c>
      <c r="B552">
        <v>267</v>
      </c>
      <c r="C552">
        <v>410470018011</v>
      </c>
      <c r="D552">
        <v>94.981413000000003</v>
      </c>
    </row>
    <row r="553" spans="1:4" x14ac:dyDescent="0.25">
      <c r="A553">
        <v>192</v>
      </c>
      <c r="B553">
        <v>267</v>
      </c>
      <c r="C553">
        <v>410470018021</v>
      </c>
      <c r="D553">
        <v>1.0463910000000001</v>
      </c>
    </row>
    <row r="554" spans="1:4" x14ac:dyDescent="0.25">
      <c r="A554">
        <v>192</v>
      </c>
      <c r="B554">
        <v>267</v>
      </c>
      <c r="C554">
        <v>410470018022</v>
      </c>
      <c r="D554">
        <v>0.86052099999999998</v>
      </c>
    </row>
    <row r="555" spans="1:4" x14ac:dyDescent="0.25">
      <c r="A555">
        <v>193</v>
      </c>
      <c r="B555">
        <v>280</v>
      </c>
      <c r="C555">
        <v>410470017031</v>
      </c>
      <c r="D555">
        <v>7.3296679999999999</v>
      </c>
    </row>
    <row r="556" spans="1:4" x14ac:dyDescent="0.25">
      <c r="A556">
        <v>193</v>
      </c>
      <c r="B556">
        <v>280</v>
      </c>
      <c r="C556">
        <v>410470018021</v>
      </c>
      <c r="D556">
        <v>92.556209999999993</v>
      </c>
    </row>
    <row r="557" spans="1:4" x14ac:dyDescent="0.25">
      <c r="A557">
        <v>193</v>
      </c>
      <c r="B557">
        <v>280</v>
      </c>
      <c r="C557">
        <v>410470026001</v>
      </c>
      <c r="D557">
        <v>0.11411399999999999</v>
      </c>
    </row>
    <row r="558" spans="1:4" x14ac:dyDescent="0.25">
      <c r="A558">
        <v>193</v>
      </c>
      <c r="B558">
        <v>280</v>
      </c>
      <c r="C558">
        <v>410470027022</v>
      </c>
      <c r="D558">
        <v>1.9000000000000001E-5</v>
      </c>
    </row>
    <row r="559" spans="1:4" x14ac:dyDescent="0.25">
      <c r="A559">
        <v>194</v>
      </c>
      <c r="B559">
        <v>271</v>
      </c>
      <c r="C559">
        <v>410470018011</v>
      </c>
      <c r="D559">
        <v>7.3806999999999998E-2</v>
      </c>
    </row>
    <row r="560" spans="1:4" x14ac:dyDescent="0.25">
      <c r="A560">
        <v>194</v>
      </c>
      <c r="B560">
        <v>271</v>
      </c>
      <c r="C560">
        <v>410470018012</v>
      </c>
      <c r="D560">
        <v>98.554744999999997</v>
      </c>
    </row>
    <row r="561" spans="1:4" x14ac:dyDescent="0.25">
      <c r="A561">
        <v>194</v>
      </c>
      <c r="B561">
        <v>271</v>
      </c>
      <c r="C561">
        <v>410470018014</v>
      </c>
      <c r="D561">
        <v>1.3714489999999999</v>
      </c>
    </row>
    <row r="562" spans="1:4" x14ac:dyDescent="0.25">
      <c r="A562">
        <v>195</v>
      </c>
      <c r="B562">
        <v>393</v>
      </c>
      <c r="C562">
        <v>410470018012</v>
      </c>
      <c r="D562">
        <v>97.673327999999998</v>
      </c>
    </row>
    <row r="563" spans="1:4" x14ac:dyDescent="0.25">
      <c r="A563">
        <v>195</v>
      </c>
      <c r="B563">
        <v>393</v>
      </c>
      <c r="C563">
        <v>410470018013</v>
      </c>
      <c r="D563">
        <v>0.73553400000000002</v>
      </c>
    </row>
    <row r="564" spans="1:4" x14ac:dyDescent="0.25">
      <c r="A564">
        <v>195</v>
      </c>
      <c r="B564">
        <v>393</v>
      </c>
      <c r="C564">
        <v>410470018024</v>
      </c>
      <c r="D564">
        <v>0.39550099999999999</v>
      </c>
    </row>
    <row r="565" spans="1:4" x14ac:dyDescent="0.25">
      <c r="A565">
        <v>195</v>
      </c>
      <c r="B565">
        <v>393</v>
      </c>
      <c r="C565">
        <v>410470018031</v>
      </c>
      <c r="D565">
        <v>6.1320000000000003E-3</v>
      </c>
    </row>
    <row r="566" spans="1:4" x14ac:dyDescent="0.25">
      <c r="A566">
        <v>195</v>
      </c>
      <c r="B566">
        <v>393</v>
      </c>
      <c r="C566">
        <v>410470018032</v>
      </c>
      <c r="D566">
        <v>1.1895070000000001</v>
      </c>
    </row>
    <row r="567" spans="1:4" x14ac:dyDescent="0.25">
      <c r="A567">
        <v>196</v>
      </c>
      <c r="B567">
        <v>273</v>
      </c>
      <c r="C567">
        <v>410470018011</v>
      </c>
      <c r="D567">
        <v>9.8895999999999998E-2</v>
      </c>
    </row>
    <row r="568" spans="1:4" x14ac:dyDescent="0.25">
      <c r="A568">
        <v>196</v>
      </c>
      <c r="B568">
        <v>273</v>
      </c>
      <c r="C568">
        <v>410470018012</v>
      </c>
      <c r="D568">
        <v>12.572668999999999</v>
      </c>
    </row>
    <row r="569" spans="1:4" x14ac:dyDescent="0.25">
      <c r="A569">
        <v>196</v>
      </c>
      <c r="B569">
        <v>273</v>
      </c>
      <c r="C569">
        <v>410470018014</v>
      </c>
      <c r="D569">
        <v>87.328447999999995</v>
      </c>
    </row>
    <row r="570" spans="1:4" x14ac:dyDescent="0.25">
      <c r="A570">
        <v>197</v>
      </c>
      <c r="B570">
        <v>273</v>
      </c>
      <c r="C570">
        <v>410470018012</v>
      </c>
      <c r="D570">
        <v>6.2248599999999996</v>
      </c>
    </row>
    <row r="571" spans="1:4" x14ac:dyDescent="0.25">
      <c r="A571">
        <v>197</v>
      </c>
      <c r="B571">
        <v>273</v>
      </c>
      <c r="C571">
        <v>410470018013</v>
      </c>
      <c r="D571">
        <v>35.598967000000002</v>
      </c>
    </row>
    <row r="572" spans="1:4" x14ac:dyDescent="0.25">
      <c r="A572">
        <v>197</v>
      </c>
      <c r="B572">
        <v>273</v>
      </c>
      <c r="C572">
        <v>410470018014</v>
      </c>
      <c r="D572">
        <v>58.007961000000002</v>
      </c>
    </row>
    <row r="573" spans="1:4" x14ac:dyDescent="0.25">
      <c r="A573">
        <v>197</v>
      </c>
      <c r="B573">
        <v>273</v>
      </c>
      <c r="C573">
        <v>410470018023</v>
      </c>
      <c r="D573">
        <v>0.168213</v>
      </c>
    </row>
    <row r="574" spans="1:4" x14ac:dyDescent="0.25">
      <c r="A574">
        <v>198</v>
      </c>
      <c r="B574">
        <v>274</v>
      </c>
      <c r="C574">
        <v>410470018012</v>
      </c>
      <c r="D574">
        <v>34.365436000000003</v>
      </c>
    </row>
    <row r="575" spans="1:4" x14ac:dyDescent="0.25">
      <c r="A575">
        <v>198</v>
      </c>
      <c r="B575">
        <v>274</v>
      </c>
      <c r="C575">
        <v>410470018013</v>
      </c>
      <c r="D575">
        <v>65.230795999999998</v>
      </c>
    </row>
    <row r="576" spans="1:4" x14ac:dyDescent="0.25">
      <c r="A576">
        <v>198</v>
      </c>
      <c r="B576">
        <v>274</v>
      </c>
      <c r="C576">
        <v>410470018023</v>
      </c>
      <c r="D576">
        <v>0.40377299999999999</v>
      </c>
    </row>
    <row r="577" spans="1:4" x14ac:dyDescent="0.25">
      <c r="A577">
        <v>199</v>
      </c>
      <c r="B577">
        <v>276</v>
      </c>
      <c r="C577">
        <v>410470018013</v>
      </c>
      <c r="D577">
        <v>96.854969999999994</v>
      </c>
    </row>
    <row r="578" spans="1:4" x14ac:dyDescent="0.25">
      <c r="A578">
        <v>199</v>
      </c>
      <c r="B578">
        <v>276</v>
      </c>
      <c r="C578">
        <v>410470018024</v>
      </c>
      <c r="D578">
        <v>2.8535599999999999</v>
      </c>
    </row>
    <row r="579" spans="1:4" x14ac:dyDescent="0.25">
      <c r="A579">
        <v>199</v>
      </c>
      <c r="B579">
        <v>276</v>
      </c>
      <c r="C579">
        <v>410470018025</v>
      </c>
      <c r="D579">
        <v>0.291462</v>
      </c>
    </row>
    <row r="580" spans="1:4" x14ac:dyDescent="0.25">
      <c r="A580">
        <v>200</v>
      </c>
      <c r="B580">
        <v>393</v>
      </c>
      <c r="C580">
        <v>410470018013</v>
      </c>
      <c r="D580">
        <v>2.6445E-2</v>
      </c>
    </row>
    <row r="581" spans="1:4" x14ac:dyDescent="0.25">
      <c r="A581">
        <v>200</v>
      </c>
      <c r="B581">
        <v>393</v>
      </c>
      <c r="C581">
        <v>410470018024</v>
      </c>
      <c r="D581">
        <v>98.211128000000002</v>
      </c>
    </row>
    <row r="582" spans="1:4" x14ac:dyDescent="0.25">
      <c r="A582">
        <v>200</v>
      </c>
      <c r="B582">
        <v>393</v>
      </c>
      <c r="C582">
        <v>410470018025</v>
      </c>
      <c r="D582">
        <v>0.76818699999999995</v>
      </c>
    </row>
    <row r="583" spans="1:4" x14ac:dyDescent="0.25">
      <c r="A583">
        <v>200</v>
      </c>
      <c r="B583">
        <v>393</v>
      </c>
      <c r="C583">
        <v>410470018031</v>
      </c>
      <c r="D583">
        <v>0.99425300000000005</v>
      </c>
    </row>
    <row r="584" spans="1:4" x14ac:dyDescent="0.25">
      <c r="A584">
        <v>201</v>
      </c>
      <c r="B584">
        <v>277</v>
      </c>
      <c r="C584">
        <v>410470018013</v>
      </c>
      <c r="D584">
        <v>0.304705</v>
      </c>
    </row>
    <row r="585" spans="1:4" x14ac:dyDescent="0.25">
      <c r="A585">
        <v>201</v>
      </c>
      <c r="B585">
        <v>277</v>
      </c>
      <c r="C585">
        <v>410470018014</v>
      </c>
      <c r="D585">
        <v>11.053535</v>
      </c>
    </row>
    <row r="586" spans="1:4" x14ac:dyDescent="0.25">
      <c r="A586">
        <v>201</v>
      </c>
      <c r="B586">
        <v>277</v>
      </c>
      <c r="C586">
        <v>410470018021</v>
      </c>
      <c r="D586">
        <v>19.166423000000002</v>
      </c>
    </row>
    <row r="587" spans="1:4" x14ac:dyDescent="0.25">
      <c r="A587">
        <v>201</v>
      </c>
      <c r="B587">
        <v>277</v>
      </c>
      <c r="C587">
        <v>410470018022</v>
      </c>
      <c r="D587">
        <v>45.040264999999998</v>
      </c>
    </row>
    <row r="588" spans="1:4" x14ac:dyDescent="0.25">
      <c r="A588">
        <v>201</v>
      </c>
      <c r="B588">
        <v>277</v>
      </c>
      <c r="C588">
        <v>410470018023</v>
      </c>
      <c r="D588">
        <v>24.435067</v>
      </c>
    </row>
    <row r="589" spans="1:4" x14ac:dyDescent="0.25">
      <c r="A589">
        <v>202</v>
      </c>
      <c r="B589">
        <v>279</v>
      </c>
      <c r="C589">
        <v>410470018013</v>
      </c>
      <c r="D589">
        <v>5.2347200000000003</v>
      </c>
    </row>
    <row r="590" spans="1:4" x14ac:dyDescent="0.25">
      <c r="A590">
        <v>202</v>
      </c>
      <c r="B590">
        <v>279</v>
      </c>
      <c r="C590">
        <v>410470018021</v>
      </c>
      <c r="D590">
        <v>12.63499</v>
      </c>
    </row>
    <row r="591" spans="1:4" x14ac:dyDescent="0.25">
      <c r="A591">
        <v>202</v>
      </c>
      <c r="B591">
        <v>279</v>
      </c>
      <c r="C591">
        <v>410470018022</v>
      </c>
      <c r="D591">
        <v>0.111939</v>
      </c>
    </row>
    <row r="592" spans="1:4" x14ac:dyDescent="0.25">
      <c r="A592">
        <v>202</v>
      </c>
      <c r="B592">
        <v>279</v>
      </c>
      <c r="C592">
        <v>410470018023</v>
      </c>
      <c r="D592">
        <v>22.663584</v>
      </c>
    </row>
    <row r="593" spans="1:4" x14ac:dyDescent="0.25">
      <c r="A593">
        <v>202</v>
      </c>
      <c r="B593">
        <v>279</v>
      </c>
      <c r="C593">
        <v>410470018024</v>
      </c>
      <c r="D593">
        <v>1.2760260000000001</v>
      </c>
    </row>
    <row r="594" spans="1:4" x14ac:dyDescent="0.25">
      <c r="A594">
        <v>202</v>
      </c>
      <c r="B594">
        <v>279</v>
      </c>
      <c r="C594">
        <v>410470018025</v>
      </c>
      <c r="D594">
        <v>58.078741999999998</v>
      </c>
    </row>
    <row r="595" spans="1:4" x14ac:dyDescent="0.25">
      <c r="A595">
        <v>203</v>
      </c>
      <c r="B595">
        <v>360</v>
      </c>
      <c r="C595">
        <v>410470018021</v>
      </c>
      <c r="D595">
        <v>0.17949000000000001</v>
      </c>
    </row>
    <row r="596" spans="1:4" x14ac:dyDescent="0.25">
      <c r="A596">
        <v>203</v>
      </c>
      <c r="B596">
        <v>360</v>
      </c>
      <c r="C596">
        <v>410470018024</v>
      </c>
      <c r="D596">
        <v>81.254385999999997</v>
      </c>
    </row>
    <row r="597" spans="1:4" x14ac:dyDescent="0.25">
      <c r="A597">
        <v>203</v>
      </c>
      <c r="B597">
        <v>360</v>
      </c>
      <c r="C597">
        <v>410470018025</v>
      </c>
      <c r="D597">
        <v>18.188164</v>
      </c>
    </row>
    <row r="598" spans="1:4" x14ac:dyDescent="0.25">
      <c r="A598">
        <v>203</v>
      </c>
      <c r="B598">
        <v>360</v>
      </c>
      <c r="C598">
        <v>410470018031</v>
      </c>
      <c r="D598">
        <v>0.37795800000000002</v>
      </c>
    </row>
    <row r="599" spans="1:4" x14ac:dyDescent="0.25">
      <c r="A599">
        <v>204</v>
      </c>
      <c r="B599">
        <v>361</v>
      </c>
      <c r="C599">
        <v>410470018021</v>
      </c>
      <c r="D599">
        <v>97.368423000000007</v>
      </c>
    </row>
    <row r="600" spans="1:4" x14ac:dyDescent="0.25">
      <c r="A600">
        <v>204</v>
      </c>
      <c r="B600">
        <v>361</v>
      </c>
      <c r="C600">
        <v>410470018024</v>
      </c>
      <c r="D600">
        <v>0.12973499999999999</v>
      </c>
    </row>
    <row r="601" spans="1:4" x14ac:dyDescent="0.25">
      <c r="A601">
        <v>204</v>
      </c>
      <c r="B601">
        <v>361</v>
      </c>
      <c r="C601">
        <v>410470018031</v>
      </c>
      <c r="D601">
        <v>1.5890000000000001E-2</v>
      </c>
    </row>
    <row r="602" spans="1:4" x14ac:dyDescent="0.25">
      <c r="A602">
        <v>204</v>
      </c>
      <c r="B602">
        <v>361</v>
      </c>
      <c r="C602">
        <v>410470018032</v>
      </c>
      <c r="D602">
        <v>2.2289690000000002</v>
      </c>
    </row>
    <row r="603" spans="1:4" x14ac:dyDescent="0.25">
      <c r="A603">
        <v>204</v>
      </c>
      <c r="B603">
        <v>361</v>
      </c>
      <c r="C603">
        <v>410470027022</v>
      </c>
      <c r="D603">
        <v>0.256994</v>
      </c>
    </row>
    <row r="604" spans="1:4" x14ac:dyDescent="0.25">
      <c r="A604">
        <v>205</v>
      </c>
      <c r="B604">
        <v>282</v>
      </c>
      <c r="C604">
        <v>410470018021</v>
      </c>
      <c r="D604">
        <v>99.623317</v>
      </c>
    </row>
    <row r="605" spans="1:4" x14ac:dyDescent="0.25">
      <c r="A605">
        <v>205</v>
      </c>
      <c r="B605">
        <v>282</v>
      </c>
      <c r="C605">
        <v>410470018024</v>
      </c>
      <c r="D605">
        <v>3.1692999999999999E-2</v>
      </c>
    </row>
    <row r="606" spans="1:4" x14ac:dyDescent="0.25">
      <c r="A606">
        <v>205</v>
      </c>
      <c r="B606">
        <v>282</v>
      </c>
      <c r="C606">
        <v>410470018025</v>
      </c>
      <c r="D606">
        <v>1.165E-3</v>
      </c>
    </row>
    <row r="607" spans="1:4" x14ac:dyDescent="0.25">
      <c r="A607">
        <v>205</v>
      </c>
      <c r="B607">
        <v>282</v>
      </c>
      <c r="C607">
        <v>410470027022</v>
      </c>
      <c r="D607">
        <v>0.34382299999999999</v>
      </c>
    </row>
    <row r="608" spans="1:4" x14ac:dyDescent="0.25">
      <c r="A608">
        <v>206</v>
      </c>
      <c r="B608">
        <v>283</v>
      </c>
      <c r="C608">
        <v>410470018021</v>
      </c>
      <c r="D608">
        <v>99.922995</v>
      </c>
    </row>
    <row r="609" spans="1:4" x14ac:dyDescent="0.25">
      <c r="A609">
        <v>206</v>
      </c>
      <c r="B609">
        <v>283</v>
      </c>
      <c r="C609">
        <v>410470018025</v>
      </c>
      <c r="D609">
        <v>2.8507000000000001E-2</v>
      </c>
    </row>
    <row r="610" spans="1:4" x14ac:dyDescent="0.25">
      <c r="A610">
        <v>206</v>
      </c>
      <c r="B610">
        <v>283</v>
      </c>
      <c r="C610">
        <v>410470026001</v>
      </c>
      <c r="D610">
        <v>1.73E-4</v>
      </c>
    </row>
    <row r="611" spans="1:4" x14ac:dyDescent="0.25">
      <c r="A611">
        <v>206</v>
      </c>
      <c r="B611">
        <v>283</v>
      </c>
      <c r="C611">
        <v>410470027022</v>
      </c>
      <c r="D611">
        <v>4.8322999999999998E-2</v>
      </c>
    </row>
    <row r="612" spans="1:4" x14ac:dyDescent="0.25">
      <c r="A612">
        <v>207</v>
      </c>
      <c r="B612">
        <v>283</v>
      </c>
      <c r="C612">
        <v>410470018021</v>
      </c>
      <c r="D612">
        <v>2.8E-5</v>
      </c>
    </row>
    <row r="613" spans="1:4" x14ac:dyDescent="0.25">
      <c r="A613">
        <v>207</v>
      </c>
      <c r="B613">
        <v>283</v>
      </c>
      <c r="C613">
        <v>410470027022</v>
      </c>
      <c r="D613">
        <v>99.999972</v>
      </c>
    </row>
    <row r="614" spans="1:4" x14ac:dyDescent="0.25">
      <c r="A614">
        <v>208</v>
      </c>
      <c r="B614">
        <v>408</v>
      </c>
      <c r="C614">
        <v>410470018021</v>
      </c>
      <c r="D614">
        <v>1.5027E-2</v>
      </c>
    </row>
    <row r="615" spans="1:4" x14ac:dyDescent="0.25">
      <c r="A615">
        <v>208</v>
      </c>
      <c r="B615">
        <v>408</v>
      </c>
      <c r="C615">
        <v>410470027021</v>
      </c>
      <c r="D615">
        <v>0.159633</v>
      </c>
    </row>
    <row r="616" spans="1:4" x14ac:dyDescent="0.25">
      <c r="A616">
        <v>208</v>
      </c>
      <c r="B616">
        <v>408</v>
      </c>
      <c r="C616">
        <v>410470027022</v>
      </c>
      <c r="D616">
        <v>99.825339</v>
      </c>
    </row>
    <row r="617" spans="1:4" x14ac:dyDescent="0.25">
      <c r="A617">
        <v>209</v>
      </c>
      <c r="B617">
        <v>408</v>
      </c>
      <c r="C617">
        <v>410470018032</v>
      </c>
      <c r="D617">
        <v>7.0109999999999999E-3</v>
      </c>
    </row>
    <row r="618" spans="1:4" x14ac:dyDescent="0.25">
      <c r="A618">
        <v>209</v>
      </c>
      <c r="B618">
        <v>408</v>
      </c>
      <c r="C618">
        <v>410470027021</v>
      </c>
      <c r="D618">
        <v>8.6185999999999999E-2</v>
      </c>
    </row>
    <row r="619" spans="1:4" x14ac:dyDescent="0.25">
      <c r="A619">
        <v>209</v>
      </c>
      <c r="B619">
        <v>408</v>
      </c>
      <c r="C619">
        <v>410470027022</v>
      </c>
      <c r="D619">
        <v>99.906801999999999</v>
      </c>
    </row>
    <row r="620" spans="1:4" x14ac:dyDescent="0.25">
      <c r="A620">
        <v>210</v>
      </c>
      <c r="B620">
        <v>283</v>
      </c>
      <c r="C620">
        <v>410470027021</v>
      </c>
      <c r="D620">
        <v>8.9182999999999998E-2</v>
      </c>
    </row>
    <row r="621" spans="1:4" x14ac:dyDescent="0.25">
      <c r="A621">
        <v>210</v>
      </c>
      <c r="B621">
        <v>283</v>
      </c>
      <c r="C621">
        <v>410470027022</v>
      </c>
      <c r="D621">
        <v>99.910816999999994</v>
      </c>
    </row>
    <row r="622" spans="1:4" x14ac:dyDescent="0.25">
      <c r="A622">
        <v>211</v>
      </c>
      <c r="B622">
        <v>140</v>
      </c>
      <c r="C622">
        <v>410470004003</v>
      </c>
      <c r="D622">
        <v>58.770822000000003</v>
      </c>
    </row>
    <row r="623" spans="1:4" x14ac:dyDescent="0.25">
      <c r="A623">
        <v>211</v>
      </c>
      <c r="B623">
        <v>140</v>
      </c>
      <c r="C623">
        <v>410470015022</v>
      </c>
      <c r="D623">
        <v>38.170780000000001</v>
      </c>
    </row>
    <row r="624" spans="1:4" x14ac:dyDescent="0.25">
      <c r="A624">
        <v>211</v>
      </c>
      <c r="B624">
        <v>140</v>
      </c>
      <c r="C624">
        <v>410470015033</v>
      </c>
      <c r="D624">
        <v>3.1061999999999999E-2</v>
      </c>
    </row>
    <row r="625" spans="1:4" x14ac:dyDescent="0.25">
      <c r="A625">
        <v>211</v>
      </c>
      <c r="B625">
        <v>140</v>
      </c>
      <c r="C625">
        <v>410470016011</v>
      </c>
      <c r="D625">
        <v>2.043974</v>
      </c>
    </row>
    <row r="626" spans="1:4" x14ac:dyDescent="0.25">
      <c r="A626">
        <v>211</v>
      </c>
      <c r="B626">
        <v>140</v>
      </c>
      <c r="C626">
        <v>410470025023</v>
      </c>
      <c r="D626">
        <v>0.98336800000000002</v>
      </c>
    </row>
    <row r="627" spans="1:4" x14ac:dyDescent="0.25">
      <c r="A627">
        <v>212</v>
      </c>
      <c r="B627">
        <v>141</v>
      </c>
      <c r="C627">
        <v>410470004003</v>
      </c>
      <c r="D627">
        <v>97.278053</v>
      </c>
    </row>
    <row r="628" spans="1:4" x14ac:dyDescent="0.25">
      <c r="A628">
        <v>212</v>
      </c>
      <c r="B628">
        <v>141</v>
      </c>
      <c r="C628">
        <v>410470005023</v>
      </c>
      <c r="D628">
        <v>0.91029499999999997</v>
      </c>
    </row>
    <row r="629" spans="1:4" x14ac:dyDescent="0.25">
      <c r="A629">
        <v>212</v>
      </c>
      <c r="B629">
        <v>141</v>
      </c>
      <c r="C629">
        <v>410470016011</v>
      </c>
      <c r="D629">
        <v>1.811642</v>
      </c>
    </row>
    <row r="630" spans="1:4" x14ac:dyDescent="0.25">
      <c r="A630">
        <v>213</v>
      </c>
      <c r="B630">
        <v>142</v>
      </c>
      <c r="C630">
        <v>410470004003</v>
      </c>
      <c r="D630">
        <v>2.5207790000000001</v>
      </c>
    </row>
    <row r="631" spans="1:4" x14ac:dyDescent="0.25">
      <c r="A631">
        <v>213</v>
      </c>
      <c r="B631">
        <v>142</v>
      </c>
      <c r="C631">
        <v>410470005023</v>
      </c>
      <c r="D631">
        <v>95.672901999999993</v>
      </c>
    </row>
    <row r="632" spans="1:4" x14ac:dyDescent="0.25">
      <c r="A632">
        <v>213</v>
      </c>
      <c r="B632">
        <v>142</v>
      </c>
      <c r="C632">
        <v>410470016011</v>
      </c>
      <c r="D632">
        <v>0.12712999999999999</v>
      </c>
    </row>
    <row r="633" spans="1:4" x14ac:dyDescent="0.25">
      <c r="A633">
        <v>213</v>
      </c>
      <c r="B633">
        <v>142</v>
      </c>
      <c r="C633">
        <v>410470016051</v>
      </c>
      <c r="D633">
        <v>1.4123749999999999</v>
      </c>
    </row>
    <row r="634" spans="1:4" x14ac:dyDescent="0.25">
      <c r="A634">
        <v>213</v>
      </c>
      <c r="B634">
        <v>142</v>
      </c>
      <c r="C634">
        <v>410470016052</v>
      </c>
      <c r="D634">
        <v>0.26682299999999998</v>
      </c>
    </row>
    <row r="635" spans="1:4" x14ac:dyDescent="0.25">
      <c r="A635">
        <v>214</v>
      </c>
      <c r="B635">
        <v>150</v>
      </c>
      <c r="C635">
        <v>410470005022</v>
      </c>
      <c r="D635">
        <v>7.4338230000000003</v>
      </c>
    </row>
    <row r="636" spans="1:4" x14ac:dyDescent="0.25">
      <c r="A636">
        <v>214</v>
      </c>
      <c r="B636">
        <v>150</v>
      </c>
      <c r="C636">
        <v>410470005023</v>
      </c>
      <c r="D636">
        <v>91.752769000000001</v>
      </c>
    </row>
    <row r="637" spans="1:4" x14ac:dyDescent="0.25">
      <c r="A637">
        <v>214</v>
      </c>
      <c r="B637">
        <v>150</v>
      </c>
      <c r="C637">
        <v>410470016052</v>
      </c>
      <c r="D637">
        <v>0.81340699999999999</v>
      </c>
    </row>
    <row r="638" spans="1:4" x14ac:dyDescent="0.25">
      <c r="A638">
        <v>215</v>
      </c>
      <c r="B638">
        <v>150</v>
      </c>
      <c r="C638">
        <v>410470005023</v>
      </c>
      <c r="D638">
        <v>99.103002000000004</v>
      </c>
    </row>
    <row r="639" spans="1:4" x14ac:dyDescent="0.25">
      <c r="A639">
        <v>215</v>
      </c>
      <c r="B639">
        <v>150</v>
      </c>
      <c r="C639">
        <v>410470016052</v>
      </c>
      <c r="D639">
        <v>0.89701600000000004</v>
      </c>
    </row>
    <row r="640" spans="1:4" x14ac:dyDescent="0.25">
      <c r="A640">
        <v>216</v>
      </c>
      <c r="B640">
        <v>149</v>
      </c>
      <c r="C640">
        <v>410470005011</v>
      </c>
      <c r="D640">
        <v>0.97325399999999995</v>
      </c>
    </row>
    <row r="641" spans="1:4" x14ac:dyDescent="0.25">
      <c r="A641">
        <v>216</v>
      </c>
      <c r="B641">
        <v>149</v>
      </c>
      <c r="C641">
        <v>410470005022</v>
      </c>
      <c r="D641">
        <v>97.161649999999995</v>
      </c>
    </row>
    <row r="642" spans="1:4" x14ac:dyDescent="0.25">
      <c r="A642">
        <v>216</v>
      </c>
      <c r="B642">
        <v>149</v>
      </c>
      <c r="C642">
        <v>410470005023</v>
      </c>
      <c r="D642">
        <v>1.865067</v>
      </c>
    </row>
    <row r="643" spans="1:4" x14ac:dyDescent="0.25">
      <c r="A643">
        <v>217</v>
      </c>
      <c r="B643">
        <v>149</v>
      </c>
      <c r="C643">
        <v>410470005011</v>
      </c>
      <c r="D643">
        <v>6.9388000000000005E-2</v>
      </c>
    </row>
    <row r="644" spans="1:4" x14ac:dyDescent="0.25">
      <c r="A644">
        <v>217</v>
      </c>
      <c r="B644">
        <v>149</v>
      </c>
      <c r="C644">
        <v>410470005022</v>
      </c>
      <c r="D644">
        <v>97.440790000000007</v>
      </c>
    </row>
    <row r="645" spans="1:4" x14ac:dyDescent="0.25">
      <c r="A645">
        <v>217</v>
      </c>
      <c r="B645">
        <v>149</v>
      </c>
      <c r="C645">
        <v>410470005023</v>
      </c>
      <c r="D645">
        <v>2.4898250000000002</v>
      </c>
    </row>
    <row r="646" spans="1:4" x14ac:dyDescent="0.25">
      <c r="A646">
        <v>218</v>
      </c>
      <c r="B646">
        <v>148</v>
      </c>
      <c r="C646">
        <v>410470005021</v>
      </c>
      <c r="D646">
        <v>1.7200000000000001E-4</v>
      </c>
    </row>
    <row r="647" spans="1:4" x14ac:dyDescent="0.25">
      <c r="A647">
        <v>218</v>
      </c>
      <c r="B647">
        <v>148</v>
      </c>
      <c r="C647">
        <v>410470005022</v>
      </c>
      <c r="D647">
        <v>66.472227000000004</v>
      </c>
    </row>
    <row r="648" spans="1:4" x14ac:dyDescent="0.25">
      <c r="A648">
        <v>218</v>
      </c>
      <c r="B648">
        <v>148</v>
      </c>
      <c r="C648">
        <v>410470005023</v>
      </c>
      <c r="D648">
        <v>33.527607000000003</v>
      </c>
    </row>
    <row r="649" spans="1:4" x14ac:dyDescent="0.25">
      <c r="A649">
        <v>219</v>
      </c>
      <c r="B649">
        <v>147</v>
      </c>
      <c r="C649">
        <v>410470005021</v>
      </c>
      <c r="D649">
        <v>0.114579</v>
      </c>
    </row>
    <row r="650" spans="1:4" x14ac:dyDescent="0.25">
      <c r="A650">
        <v>219</v>
      </c>
      <c r="B650">
        <v>147</v>
      </c>
      <c r="C650">
        <v>410470005022</v>
      </c>
      <c r="D650">
        <v>62.392878000000003</v>
      </c>
    </row>
    <row r="651" spans="1:4" x14ac:dyDescent="0.25">
      <c r="A651">
        <v>219</v>
      </c>
      <c r="B651">
        <v>147</v>
      </c>
      <c r="C651">
        <v>410470005023</v>
      </c>
      <c r="D651">
        <v>37.492524000000003</v>
      </c>
    </row>
    <row r="652" spans="1:4" x14ac:dyDescent="0.25">
      <c r="A652">
        <v>220</v>
      </c>
      <c r="B652">
        <v>141</v>
      </c>
      <c r="C652">
        <v>410470003001</v>
      </c>
      <c r="D652">
        <v>0.138012</v>
      </c>
    </row>
    <row r="653" spans="1:4" x14ac:dyDescent="0.25">
      <c r="A653">
        <v>220</v>
      </c>
      <c r="B653">
        <v>141</v>
      </c>
      <c r="C653">
        <v>410470004003</v>
      </c>
      <c r="D653">
        <v>96.086647999999997</v>
      </c>
    </row>
    <row r="654" spans="1:4" x14ac:dyDescent="0.25">
      <c r="A654">
        <v>220</v>
      </c>
      <c r="B654">
        <v>141</v>
      </c>
      <c r="C654">
        <v>410470005021</v>
      </c>
      <c r="D654">
        <v>1.3295090000000001</v>
      </c>
    </row>
    <row r="655" spans="1:4" x14ac:dyDescent="0.25">
      <c r="A655">
        <v>220</v>
      </c>
      <c r="B655">
        <v>141</v>
      </c>
      <c r="C655">
        <v>410470005022</v>
      </c>
      <c r="D655">
        <v>0.448042</v>
      </c>
    </row>
    <row r="656" spans="1:4" x14ac:dyDescent="0.25">
      <c r="A656">
        <v>220</v>
      </c>
      <c r="B656">
        <v>141</v>
      </c>
      <c r="C656">
        <v>410470005023</v>
      </c>
      <c r="D656">
        <v>1.9977860000000001</v>
      </c>
    </row>
    <row r="657" spans="1:4" x14ac:dyDescent="0.25">
      <c r="A657">
        <v>221</v>
      </c>
      <c r="B657">
        <v>138</v>
      </c>
      <c r="C657">
        <v>410470004002</v>
      </c>
      <c r="D657">
        <v>0.61834299999999998</v>
      </c>
    </row>
    <row r="658" spans="1:4" x14ac:dyDescent="0.25">
      <c r="A658">
        <v>221</v>
      </c>
      <c r="B658">
        <v>138</v>
      </c>
      <c r="C658">
        <v>410470004003</v>
      </c>
      <c r="D658">
        <v>99.198474000000004</v>
      </c>
    </row>
    <row r="659" spans="1:4" x14ac:dyDescent="0.25">
      <c r="A659">
        <v>221</v>
      </c>
      <c r="B659">
        <v>138</v>
      </c>
      <c r="C659">
        <v>410470015033</v>
      </c>
      <c r="D659">
        <v>0.18318100000000001</v>
      </c>
    </row>
    <row r="660" spans="1:4" x14ac:dyDescent="0.25">
      <c r="A660">
        <v>222</v>
      </c>
      <c r="B660">
        <v>138</v>
      </c>
      <c r="C660">
        <v>410470004002</v>
      </c>
      <c r="D660">
        <v>77.588095999999993</v>
      </c>
    </row>
    <row r="661" spans="1:4" x14ac:dyDescent="0.25">
      <c r="A661">
        <v>222</v>
      </c>
      <c r="B661">
        <v>138</v>
      </c>
      <c r="C661">
        <v>410470015022</v>
      </c>
      <c r="D661">
        <v>0.55723900000000004</v>
      </c>
    </row>
    <row r="662" spans="1:4" x14ac:dyDescent="0.25">
      <c r="A662">
        <v>222</v>
      </c>
      <c r="B662">
        <v>138</v>
      </c>
      <c r="C662">
        <v>410470015031</v>
      </c>
      <c r="D662">
        <v>3.175E-2</v>
      </c>
    </row>
    <row r="663" spans="1:4" x14ac:dyDescent="0.25">
      <c r="A663">
        <v>222</v>
      </c>
      <c r="B663">
        <v>138</v>
      </c>
      <c r="C663">
        <v>410470015033</v>
      </c>
      <c r="D663">
        <v>21.822911000000001</v>
      </c>
    </row>
    <row r="664" spans="1:4" x14ac:dyDescent="0.25">
      <c r="A664">
        <v>223</v>
      </c>
      <c r="B664">
        <v>138</v>
      </c>
      <c r="C664">
        <v>410470004002</v>
      </c>
      <c r="D664">
        <v>99.937410999999997</v>
      </c>
    </row>
    <row r="665" spans="1:4" x14ac:dyDescent="0.25">
      <c r="A665">
        <v>223</v>
      </c>
      <c r="B665">
        <v>138</v>
      </c>
      <c r="C665">
        <v>410470004003</v>
      </c>
      <c r="D665">
        <v>6.2589000000000006E-2</v>
      </c>
    </row>
    <row r="666" spans="1:4" x14ac:dyDescent="0.25">
      <c r="A666">
        <v>224</v>
      </c>
      <c r="B666">
        <v>137</v>
      </c>
      <c r="C666">
        <v>410470004002</v>
      </c>
      <c r="D666">
        <v>99.882811000000004</v>
      </c>
    </row>
    <row r="667" spans="1:4" x14ac:dyDescent="0.25">
      <c r="A667">
        <v>224</v>
      </c>
      <c r="B667">
        <v>137</v>
      </c>
      <c r="C667">
        <v>410470004003</v>
      </c>
      <c r="D667">
        <v>0.117183</v>
      </c>
    </row>
    <row r="668" spans="1:4" x14ac:dyDescent="0.25">
      <c r="A668">
        <v>225</v>
      </c>
      <c r="B668">
        <v>135</v>
      </c>
      <c r="C668">
        <v>410470004001</v>
      </c>
      <c r="D668">
        <v>99.610579999999999</v>
      </c>
    </row>
    <row r="669" spans="1:4" x14ac:dyDescent="0.25">
      <c r="A669">
        <v>225</v>
      </c>
      <c r="B669">
        <v>135</v>
      </c>
      <c r="C669">
        <v>410470004002</v>
      </c>
      <c r="D669">
        <v>0.38942100000000002</v>
      </c>
    </row>
    <row r="670" spans="1:4" x14ac:dyDescent="0.25">
      <c r="A670">
        <v>226</v>
      </c>
      <c r="B670">
        <v>399</v>
      </c>
      <c r="C670">
        <v>410470003003</v>
      </c>
      <c r="D670">
        <v>10.063447</v>
      </c>
    </row>
    <row r="671" spans="1:4" x14ac:dyDescent="0.25">
      <c r="A671">
        <v>226</v>
      </c>
      <c r="B671">
        <v>399</v>
      </c>
      <c r="C671">
        <v>410470004001</v>
      </c>
      <c r="D671">
        <v>87.686189999999996</v>
      </c>
    </row>
    <row r="672" spans="1:4" x14ac:dyDescent="0.25">
      <c r="A672">
        <v>226</v>
      </c>
      <c r="B672">
        <v>399</v>
      </c>
      <c r="C672">
        <v>410530052061</v>
      </c>
      <c r="D672">
        <v>2.2503600000000001</v>
      </c>
    </row>
    <row r="673" spans="1:4" x14ac:dyDescent="0.25">
      <c r="A673">
        <v>227</v>
      </c>
      <c r="B673">
        <v>399</v>
      </c>
      <c r="C673">
        <v>410470002001</v>
      </c>
      <c r="D673">
        <v>0.35961100000000001</v>
      </c>
    </row>
    <row r="674" spans="1:4" x14ac:dyDescent="0.25">
      <c r="A674">
        <v>227</v>
      </c>
      <c r="B674">
        <v>399</v>
      </c>
      <c r="C674">
        <v>410470003003</v>
      </c>
      <c r="D674">
        <v>84.716637000000006</v>
      </c>
    </row>
    <row r="675" spans="1:4" x14ac:dyDescent="0.25">
      <c r="A675">
        <v>227</v>
      </c>
      <c r="B675">
        <v>399</v>
      </c>
      <c r="C675">
        <v>410470004001</v>
      </c>
      <c r="D675">
        <v>4.3584999999999999E-2</v>
      </c>
    </row>
    <row r="676" spans="1:4" x14ac:dyDescent="0.25">
      <c r="A676">
        <v>227</v>
      </c>
      <c r="B676">
        <v>399</v>
      </c>
      <c r="C676">
        <v>410530052061</v>
      </c>
      <c r="D676">
        <v>14.880172</v>
      </c>
    </row>
    <row r="677" spans="1:4" x14ac:dyDescent="0.25">
      <c r="A677">
        <v>228</v>
      </c>
      <c r="B677">
        <v>154</v>
      </c>
      <c r="C677">
        <v>410470003003</v>
      </c>
      <c r="D677">
        <v>98.566952999999998</v>
      </c>
    </row>
    <row r="678" spans="1:4" x14ac:dyDescent="0.25">
      <c r="A678">
        <v>228</v>
      </c>
      <c r="B678">
        <v>154</v>
      </c>
      <c r="C678">
        <v>410470003004</v>
      </c>
      <c r="D678">
        <v>1.433047</v>
      </c>
    </row>
    <row r="679" spans="1:4" x14ac:dyDescent="0.25">
      <c r="A679">
        <v>229</v>
      </c>
      <c r="B679">
        <v>136</v>
      </c>
      <c r="C679">
        <v>410470003003</v>
      </c>
      <c r="D679">
        <v>0.27932800000000002</v>
      </c>
    </row>
    <row r="680" spans="1:4" x14ac:dyDescent="0.25">
      <c r="A680">
        <v>229</v>
      </c>
      <c r="B680">
        <v>136</v>
      </c>
      <c r="C680">
        <v>410470003004</v>
      </c>
      <c r="D680">
        <v>3.7850000000000002E-3</v>
      </c>
    </row>
    <row r="681" spans="1:4" x14ac:dyDescent="0.25">
      <c r="A681">
        <v>229</v>
      </c>
      <c r="B681">
        <v>136</v>
      </c>
      <c r="C681">
        <v>410470004001</v>
      </c>
      <c r="D681">
        <v>98.692943999999997</v>
      </c>
    </row>
    <row r="682" spans="1:4" x14ac:dyDescent="0.25">
      <c r="A682">
        <v>229</v>
      </c>
      <c r="B682">
        <v>136</v>
      </c>
      <c r="C682">
        <v>410470004002</v>
      </c>
      <c r="D682">
        <v>1.023941</v>
      </c>
    </row>
    <row r="683" spans="1:4" x14ac:dyDescent="0.25">
      <c r="A683">
        <v>230</v>
      </c>
      <c r="B683">
        <v>137</v>
      </c>
      <c r="C683">
        <v>410470003001</v>
      </c>
      <c r="D683">
        <v>2.2929000000000001E-2</v>
      </c>
    </row>
    <row r="684" spans="1:4" x14ac:dyDescent="0.25">
      <c r="A684">
        <v>230</v>
      </c>
      <c r="B684">
        <v>137</v>
      </c>
      <c r="C684">
        <v>410470003004</v>
      </c>
      <c r="D684">
        <v>8.0769999999999995E-2</v>
      </c>
    </row>
    <row r="685" spans="1:4" x14ac:dyDescent="0.25">
      <c r="A685">
        <v>230</v>
      </c>
      <c r="B685">
        <v>137</v>
      </c>
      <c r="C685">
        <v>410470004002</v>
      </c>
      <c r="D685">
        <v>79.721727999999999</v>
      </c>
    </row>
    <row r="686" spans="1:4" x14ac:dyDescent="0.25">
      <c r="A686">
        <v>230</v>
      </c>
      <c r="B686">
        <v>137</v>
      </c>
      <c r="C686">
        <v>410470004003</v>
      </c>
      <c r="D686">
        <v>20.174582999999998</v>
      </c>
    </row>
    <row r="687" spans="1:4" x14ac:dyDescent="0.25">
      <c r="A687">
        <v>231</v>
      </c>
      <c r="B687">
        <v>156</v>
      </c>
      <c r="C687">
        <v>410470003001</v>
      </c>
      <c r="D687">
        <v>0.26605299999999998</v>
      </c>
    </row>
    <row r="688" spans="1:4" x14ac:dyDescent="0.25">
      <c r="A688">
        <v>231</v>
      </c>
      <c r="B688">
        <v>156</v>
      </c>
      <c r="C688">
        <v>410470003004</v>
      </c>
      <c r="D688">
        <v>99.713815999999994</v>
      </c>
    </row>
    <row r="689" spans="1:4" x14ac:dyDescent="0.25">
      <c r="A689">
        <v>231</v>
      </c>
      <c r="B689">
        <v>156</v>
      </c>
      <c r="C689">
        <v>410470004002</v>
      </c>
      <c r="D689">
        <v>1.1849E-2</v>
      </c>
    </row>
    <row r="690" spans="1:4" x14ac:dyDescent="0.25">
      <c r="A690">
        <v>231</v>
      </c>
      <c r="B690">
        <v>156</v>
      </c>
      <c r="C690">
        <v>410470004003</v>
      </c>
      <c r="D690">
        <v>8.2769999999999996E-3</v>
      </c>
    </row>
    <row r="691" spans="1:4" x14ac:dyDescent="0.25">
      <c r="A691">
        <v>232</v>
      </c>
      <c r="B691">
        <v>157</v>
      </c>
      <c r="C691">
        <v>410470003001</v>
      </c>
      <c r="D691">
        <v>0.472522</v>
      </c>
    </row>
    <row r="692" spans="1:4" x14ac:dyDescent="0.25">
      <c r="A692">
        <v>232</v>
      </c>
      <c r="B692">
        <v>157</v>
      </c>
      <c r="C692">
        <v>410470003003</v>
      </c>
      <c r="D692">
        <v>6.7999999999999999E-5</v>
      </c>
    </row>
    <row r="693" spans="1:4" x14ac:dyDescent="0.25">
      <c r="A693">
        <v>232</v>
      </c>
      <c r="B693">
        <v>157</v>
      </c>
      <c r="C693">
        <v>410470003004</v>
      </c>
      <c r="D693">
        <v>99.527399000000003</v>
      </c>
    </row>
    <row r="694" spans="1:4" x14ac:dyDescent="0.25">
      <c r="A694">
        <v>233</v>
      </c>
      <c r="B694">
        <v>160</v>
      </c>
      <c r="C694">
        <v>410470003001</v>
      </c>
      <c r="D694">
        <v>99.795235000000005</v>
      </c>
    </row>
    <row r="695" spans="1:4" x14ac:dyDescent="0.25">
      <c r="A695">
        <v>233</v>
      </c>
      <c r="B695">
        <v>160</v>
      </c>
      <c r="C695">
        <v>410470003002</v>
      </c>
      <c r="D695">
        <v>0.14204</v>
      </c>
    </row>
    <row r="696" spans="1:4" x14ac:dyDescent="0.25">
      <c r="A696">
        <v>233</v>
      </c>
      <c r="B696">
        <v>160</v>
      </c>
      <c r="C696">
        <v>410470003004</v>
      </c>
      <c r="D696">
        <v>6.2723000000000001E-2</v>
      </c>
    </row>
    <row r="697" spans="1:4" x14ac:dyDescent="0.25">
      <c r="A697">
        <v>234</v>
      </c>
      <c r="B697">
        <v>160</v>
      </c>
      <c r="C697">
        <v>410470003001</v>
      </c>
      <c r="D697">
        <v>99.621502000000007</v>
      </c>
    </row>
    <row r="698" spans="1:4" x14ac:dyDescent="0.25">
      <c r="A698">
        <v>234</v>
      </c>
      <c r="B698">
        <v>160</v>
      </c>
      <c r="C698">
        <v>410470003004</v>
      </c>
      <c r="D698">
        <v>0.10414900000000001</v>
      </c>
    </row>
    <row r="699" spans="1:4" x14ac:dyDescent="0.25">
      <c r="A699">
        <v>234</v>
      </c>
      <c r="B699">
        <v>160</v>
      </c>
      <c r="C699">
        <v>410470004003</v>
      </c>
      <c r="D699">
        <v>0.27435599999999999</v>
      </c>
    </row>
    <row r="700" spans="1:4" x14ac:dyDescent="0.25">
      <c r="A700">
        <v>235</v>
      </c>
      <c r="B700">
        <v>159</v>
      </c>
      <c r="C700">
        <v>410470003001</v>
      </c>
      <c r="D700">
        <v>0.51722500000000005</v>
      </c>
    </row>
    <row r="701" spans="1:4" x14ac:dyDescent="0.25">
      <c r="A701">
        <v>235</v>
      </c>
      <c r="B701">
        <v>159</v>
      </c>
      <c r="C701">
        <v>410470004002</v>
      </c>
      <c r="D701">
        <v>0.76664200000000005</v>
      </c>
    </row>
    <row r="702" spans="1:4" x14ac:dyDescent="0.25">
      <c r="A702">
        <v>235</v>
      </c>
      <c r="B702">
        <v>159</v>
      </c>
      <c r="C702">
        <v>410470004003</v>
      </c>
      <c r="D702">
        <v>98.716128999999995</v>
      </c>
    </row>
    <row r="703" spans="1:4" x14ac:dyDescent="0.25">
      <c r="A703">
        <v>236</v>
      </c>
      <c r="B703">
        <v>159</v>
      </c>
      <c r="C703">
        <v>410470003001</v>
      </c>
      <c r="D703">
        <v>3.4280849999999998</v>
      </c>
    </row>
    <row r="704" spans="1:4" x14ac:dyDescent="0.25">
      <c r="A704">
        <v>236</v>
      </c>
      <c r="B704">
        <v>159</v>
      </c>
      <c r="C704">
        <v>410470005011</v>
      </c>
      <c r="D704">
        <v>1.1747019999999999</v>
      </c>
    </row>
    <row r="705" spans="1:4" x14ac:dyDescent="0.25">
      <c r="A705">
        <v>236</v>
      </c>
      <c r="B705">
        <v>159</v>
      </c>
      <c r="C705">
        <v>410470005021</v>
      </c>
      <c r="D705">
        <v>95.397216</v>
      </c>
    </row>
    <row r="706" spans="1:4" x14ac:dyDescent="0.25">
      <c r="A706">
        <v>237</v>
      </c>
      <c r="B706">
        <v>147</v>
      </c>
      <c r="C706">
        <v>410470005011</v>
      </c>
      <c r="D706">
        <v>0.29425400000000002</v>
      </c>
    </row>
    <row r="707" spans="1:4" x14ac:dyDescent="0.25">
      <c r="A707">
        <v>237</v>
      </c>
      <c r="B707">
        <v>147</v>
      </c>
      <c r="C707">
        <v>410470005021</v>
      </c>
      <c r="D707">
        <v>77.509645000000006</v>
      </c>
    </row>
    <row r="708" spans="1:4" x14ac:dyDescent="0.25">
      <c r="A708">
        <v>237</v>
      </c>
      <c r="B708">
        <v>147</v>
      </c>
      <c r="C708">
        <v>410470005022</v>
      </c>
      <c r="D708">
        <v>22.196114999999999</v>
      </c>
    </row>
    <row r="709" spans="1:4" x14ac:dyDescent="0.25">
      <c r="A709">
        <v>238</v>
      </c>
      <c r="B709">
        <v>180</v>
      </c>
      <c r="C709">
        <v>410470002001</v>
      </c>
      <c r="D709">
        <v>81.704527999999996</v>
      </c>
    </row>
    <row r="710" spans="1:4" x14ac:dyDescent="0.25">
      <c r="A710">
        <v>238</v>
      </c>
      <c r="B710">
        <v>180</v>
      </c>
      <c r="C710">
        <v>410470002002</v>
      </c>
      <c r="D710">
        <v>3.307E-3</v>
      </c>
    </row>
    <row r="711" spans="1:4" x14ac:dyDescent="0.25">
      <c r="A711">
        <v>238</v>
      </c>
      <c r="B711">
        <v>180</v>
      </c>
      <c r="C711">
        <v>410470003003</v>
      </c>
      <c r="D711">
        <v>8.5850419999999996</v>
      </c>
    </row>
    <row r="712" spans="1:4" x14ac:dyDescent="0.25">
      <c r="A712">
        <v>238</v>
      </c>
      <c r="B712">
        <v>180</v>
      </c>
      <c r="C712">
        <v>410530052061</v>
      </c>
      <c r="D712">
        <v>9.7071159999999992</v>
      </c>
    </row>
    <row r="713" spans="1:4" x14ac:dyDescent="0.25">
      <c r="A713">
        <v>239</v>
      </c>
      <c r="B713">
        <v>171</v>
      </c>
      <c r="C713">
        <v>410470002001</v>
      </c>
      <c r="D713">
        <v>0.68543900000000002</v>
      </c>
    </row>
    <row r="714" spans="1:4" x14ac:dyDescent="0.25">
      <c r="A714">
        <v>239</v>
      </c>
      <c r="B714">
        <v>171</v>
      </c>
      <c r="C714">
        <v>410470003003</v>
      </c>
      <c r="D714">
        <v>98.872587999999993</v>
      </c>
    </row>
    <row r="715" spans="1:4" x14ac:dyDescent="0.25">
      <c r="A715">
        <v>239</v>
      </c>
      <c r="B715">
        <v>171</v>
      </c>
      <c r="C715">
        <v>410470003004</v>
      </c>
      <c r="D715">
        <v>0.44199100000000002</v>
      </c>
    </row>
    <row r="716" spans="1:4" x14ac:dyDescent="0.25">
      <c r="A716">
        <v>240</v>
      </c>
      <c r="B716">
        <v>158</v>
      </c>
      <c r="C716">
        <v>410470003002</v>
      </c>
      <c r="D716">
        <v>2.428731</v>
      </c>
    </row>
    <row r="717" spans="1:4" x14ac:dyDescent="0.25">
      <c r="A717">
        <v>240</v>
      </c>
      <c r="B717">
        <v>158</v>
      </c>
      <c r="C717">
        <v>410470003003</v>
      </c>
      <c r="D717">
        <v>5.0562999999999997E-2</v>
      </c>
    </row>
    <row r="718" spans="1:4" x14ac:dyDescent="0.25">
      <c r="A718">
        <v>240</v>
      </c>
      <c r="B718">
        <v>158</v>
      </c>
      <c r="C718">
        <v>410470003004</v>
      </c>
      <c r="D718">
        <v>97.520708999999997</v>
      </c>
    </row>
    <row r="719" spans="1:4" x14ac:dyDescent="0.25">
      <c r="A719">
        <v>241</v>
      </c>
      <c r="B719">
        <v>173</v>
      </c>
      <c r="C719">
        <v>410470002001</v>
      </c>
      <c r="D719">
        <v>0.69213800000000003</v>
      </c>
    </row>
    <row r="720" spans="1:4" x14ac:dyDescent="0.25">
      <c r="A720">
        <v>241</v>
      </c>
      <c r="B720">
        <v>173</v>
      </c>
      <c r="C720">
        <v>410470002003</v>
      </c>
      <c r="D720">
        <v>0.19101699999999999</v>
      </c>
    </row>
    <row r="721" spans="1:4" x14ac:dyDescent="0.25">
      <c r="A721">
        <v>241</v>
      </c>
      <c r="B721">
        <v>173</v>
      </c>
      <c r="C721">
        <v>410470003001</v>
      </c>
      <c r="D721">
        <v>1.8511580000000001</v>
      </c>
    </row>
    <row r="722" spans="1:4" x14ac:dyDescent="0.25">
      <c r="A722">
        <v>241</v>
      </c>
      <c r="B722">
        <v>173</v>
      </c>
      <c r="C722">
        <v>410470003002</v>
      </c>
      <c r="D722">
        <v>40.438912999999999</v>
      </c>
    </row>
    <row r="723" spans="1:4" x14ac:dyDescent="0.25">
      <c r="A723">
        <v>241</v>
      </c>
      <c r="B723">
        <v>173</v>
      </c>
      <c r="C723">
        <v>410470003003</v>
      </c>
      <c r="D723">
        <v>2.8800000000000002E-3</v>
      </c>
    </row>
    <row r="724" spans="1:4" x14ac:dyDescent="0.25">
      <c r="A724">
        <v>241</v>
      </c>
      <c r="B724">
        <v>173</v>
      </c>
      <c r="C724">
        <v>410470003004</v>
      </c>
      <c r="D724">
        <v>56.823887999999997</v>
      </c>
    </row>
    <row r="725" spans="1:4" x14ac:dyDescent="0.25">
      <c r="A725">
        <v>242</v>
      </c>
      <c r="B725">
        <v>173</v>
      </c>
      <c r="C725">
        <v>410470002003</v>
      </c>
      <c r="D725">
        <v>0.30044700000000002</v>
      </c>
    </row>
    <row r="726" spans="1:4" x14ac:dyDescent="0.25">
      <c r="A726">
        <v>242</v>
      </c>
      <c r="B726">
        <v>173</v>
      </c>
      <c r="C726">
        <v>410470003001</v>
      </c>
      <c r="D726">
        <v>46.620171999999997</v>
      </c>
    </row>
    <row r="727" spans="1:4" x14ac:dyDescent="0.25">
      <c r="A727">
        <v>242</v>
      </c>
      <c r="B727">
        <v>173</v>
      </c>
      <c r="C727">
        <v>410470003002</v>
      </c>
      <c r="D727">
        <v>52.964306000000001</v>
      </c>
    </row>
    <row r="728" spans="1:4" x14ac:dyDescent="0.25">
      <c r="A728">
        <v>242</v>
      </c>
      <c r="B728">
        <v>173</v>
      </c>
      <c r="C728">
        <v>410470006001</v>
      </c>
      <c r="D728">
        <v>0.112538</v>
      </c>
    </row>
    <row r="729" spans="1:4" x14ac:dyDescent="0.25">
      <c r="A729">
        <v>242</v>
      </c>
      <c r="B729">
        <v>173</v>
      </c>
      <c r="C729">
        <v>410470006002</v>
      </c>
      <c r="D729">
        <v>2.5460000000000001E-3</v>
      </c>
    </row>
    <row r="730" spans="1:4" x14ac:dyDescent="0.25">
      <c r="A730">
        <v>243</v>
      </c>
      <c r="B730">
        <v>163</v>
      </c>
      <c r="C730">
        <v>410470003001</v>
      </c>
      <c r="D730">
        <v>3.3784450000000001</v>
      </c>
    </row>
    <row r="731" spans="1:4" x14ac:dyDescent="0.25">
      <c r="A731">
        <v>243</v>
      </c>
      <c r="B731">
        <v>163</v>
      </c>
      <c r="C731">
        <v>410470005011</v>
      </c>
      <c r="D731">
        <v>95.811214000000007</v>
      </c>
    </row>
    <row r="732" spans="1:4" x14ac:dyDescent="0.25">
      <c r="A732">
        <v>243</v>
      </c>
      <c r="B732">
        <v>163</v>
      </c>
      <c r="C732">
        <v>410470005021</v>
      </c>
      <c r="D732">
        <v>0.233766</v>
      </c>
    </row>
    <row r="733" spans="1:4" x14ac:dyDescent="0.25">
      <c r="A733">
        <v>243</v>
      </c>
      <c r="B733">
        <v>163</v>
      </c>
      <c r="C733">
        <v>410470006001</v>
      </c>
      <c r="D733">
        <v>0.57657199999999997</v>
      </c>
    </row>
    <row r="734" spans="1:4" x14ac:dyDescent="0.25">
      <c r="A734">
        <v>244</v>
      </c>
      <c r="B734">
        <v>201</v>
      </c>
      <c r="C734">
        <v>410470003001</v>
      </c>
      <c r="D734">
        <v>1.451E-3</v>
      </c>
    </row>
    <row r="735" spans="1:4" x14ac:dyDescent="0.25">
      <c r="A735">
        <v>244</v>
      </c>
      <c r="B735">
        <v>201</v>
      </c>
      <c r="C735">
        <v>410470003002</v>
      </c>
      <c r="D735">
        <v>0.61748700000000001</v>
      </c>
    </row>
    <row r="736" spans="1:4" x14ac:dyDescent="0.25">
      <c r="A736">
        <v>244</v>
      </c>
      <c r="B736">
        <v>201</v>
      </c>
      <c r="C736">
        <v>410470005011</v>
      </c>
      <c r="D736">
        <v>0.352574</v>
      </c>
    </row>
    <row r="737" spans="1:4" x14ac:dyDescent="0.25">
      <c r="A737">
        <v>244</v>
      </c>
      <c r="B737">
        <v>201</v>
      </c>
      <c r="C737">
        <v>410470006001</v>
      </c>
      <c r="D737">
        <v>98.535193000000007</v>
      </c>
    </row>
    <row r="738" spans="1:4" x14ac:dyDescent="0.25">
      <c r="A738">
        <v>244</v>
      </c>
      <c r="B738">
        <v>201</v>
      </c>
      <c r="C738">
        <v>410470006002</v>
      </c>
      <c r="D738">
        <v>0.493284</v>
      </c>
    </row>
    <row r="739" spans="1:4" x14ac:dyDescent="0.25">
      <c r="A739">
        <v>245</v>
      </c>
      <c r="B739">
        <v>207</v>
      </c>
      <c r="C739">
        <v>410470002003</v>
      </c>
      <c r="D739">
        <v>0.45071499999999998</v>
      </c>
    </row>
    <row r="740" spans="1:4" x14ac:dyDescent="0.25">
      <c r="A740">
        <v>245</v>
      </c>
      <c r="B740">
        <v>207</v>
      </c>
      <c r="C740">
        <v>410470006002</v>
      </c>
      <c r="D740">
        <v>98.622731999999999</v>
      </c>
    </row>
    <row r="741" spans="1:4" x14ac:dyDescent="0.25">
      <c r="A741">
        <v>245</v>
      </c>
      <c r="B741">
        <v>207</v>
      </c>
      <c r="C741">
        <v>410470006003</v>
      </c>
      <c r="D741">
        <v>0.92655200000000004</v>
      </c>
    </row>
    <row r="742" spans="1:4" x14ac:dyDescent="0.25">
      <c r="A742">
        <v>246</v>
      </c>
      <c r="B742">
        <v>175</v>
      </c>
      <c r="C742">
        <v>410470002003</v>
      </c>
      <c r="D742">
        <v>99.220057999999995</v>
      </c>
    </row>
    <row r="743" spans="1:4" x14ac:dyDescent="0.25">
      <c r="A743">
        <v>246</v>
      </c>
      <c r="B743">
        <v>175</v>
      </c>
      <c r="C743">
        <v>410470006002</v>
      </c>
      <c r="D743">
        <v>0.77993000000000001</v>
      </c>
    </row>
    <row r="744" spans="1:4" x14ac:dyDescent="0.25">
      <c r="A744">
        <v>247</v>
      </c>
      <c r="B744">
        <v>176</v>
      </c>
      <c r="C744">
        <v>410470002001</v>
      </c>
      <c r="D744">
        <v>95.348145000000002</v>
      </c>
    </row>
    <row r="745" spans="1:4" x14ac:dyDescent="0.25">
      <c r="A745">
        <v>247</v>
      </c>
      <c r="B745">
        <v>176</v>
      </c>
      <c r="C745">
        <v>410470002002</v>
      </c>
      <c r="D745">
        <v>0.70312200000000002</v>
      </c>
    </row>
    <row r="746" spans="1:4" x14ac:dyDescent="0.25">
      <c r="A746">
        <v>247</v>
      </c>
      <c r="B746">
        <v>176</v>
      </c>
      <c r="C746">
        <v>410470002003</v>
      </c>
      <c r="D746">
        <v>3.9487380000000001</v>
      </c>
    </row>
    <row r="747" spans="1:4" x14ac:dyDescent="0.25">
      <c r="A747">
        <v>248</v>
      </c>
      <c r="B747">
        <v>177</v>
      </c>
      <c r="C747">
        <v>410470002001</v>
      </c>
      <c r="D747">
        <v>99.929331000000005</v>
      </c>
    </row>
    <row r="748" spans="1:4" x14ac:dyDescent="0.25">
      <c r="A748">
        <v>248</v>
      </c>
      <c r="B748">
        <v>177</v>
      </c>
      <c r="C748">
        <v>410470002002</v>
      </c>
      <c r="D748">
        <v>7.0680000000000007E-2</v>
      </c>
    </row>
    <row r="749" spans="1:4" x14ac:dyDescent="0.25">
      <c r="A749">
        <v>249</v>
      </c>
      <c r="B749">
        <v>290</v>
      </c>
      <c r="C749">
        <v>410470002001</v>
      </c>
      <c r="D749">
        <v>0.30687500000000001</v>
      </c>
    </row>
    <row r="750" spans="1:4" x14ac:dyDescent="0.25">
      <c r="A750">
        <v>249</v>
      </c>
      <c r="B750">
        <v>290</v>
      </c>
      <c r="C750">
        <v>410470002002</v>
      </c>
      <c r="D750">
        <v>97.943162000000001</v>
      </c>
    </row>
    <row r="751" spans="1:4" x14ac:dyDescent="0.25">
      <c r="A751">
        <v>249</v>
      </c>
      <c r="B751">
        <v>290</v>
      </c>
      <c r="C751">
        <v>410470002003</v>
      </c>
      <c r="D751">
        <v>4.9417999999999997E-2</v>
      </c>
    </row>
    <row r="752" spans="1:4" x14ac:dyDescent="0.25">
      <c r="A752">
        <v>249</v>
      </c>
      <c r="B752">
        <v>290</v>
      </c>
      <c r="C752">
        <v>410470013001</v>
      </c>
      <c r="D752">
        <v>1.7005440000000001</v>
      </c>
    </row>
    <row r="753" spans="1:4" x14ac:dyDescent="0.25">
      <c r="A753">
        <v>250</v>
      </c>
      <c r="B753">
        <v>182</v>
      </c>
      <c r="C753">
        <v>410470002001</v>
      </c>
      <c r="D753">
        <v>0.94700600000000001</v>
      </c>
    </row>
    <row r="754" spans="1:4" x14ac:dyDescent="0.25">
      <c r="A754">
        <v>250</v>
      </c>
      <c r="B754">
        <v>182</v>
      </c>
      <c r="C754">
        <v>410470002002</v>
      </c>
      <c r="D754">
        <v>99.052982</v>
      </c>
    </row>
    <row r="755" spans="1:4" x14ac:dyDescent="0.25">
      <c r="A755">
        <v>251</v>
      </c>
      <c r="B755">
        <v>179</v>
      </c>
      <c r="C755">
        <v>410470002001</v>
      </c>
      <c r="D755">
        <v>4.0762239999999998</v>
      </c>
    </row>
    <row r="756" spans="1:4" x14ac:dyDescent="0.25">
      <c r="A756">
        <v>251</v>
      </c>
      <c r="B756">
        <v>179</v>
      </c>
      <c r="C756">
        <v>410470002002</v>
      </c>
      <c r="D756">
        <v>92.876519000000002</v>
      </c>
    </row>
    <row r="757" spans="1:4" x14ac:dyDescent="0.25">
      <c r="A757">
        <v>251</v>
      </c>
      <c r="B757">
        <v>179</v>
      </c>
      <c r="C757">
        <v>410470002003</v>
      </c>
      <c r="D757">
        <v>3.0472610000000002</v>
      </c>
    </row>
    <row r="758" spans="1:4" x14ac:dyDescent="0.25">
      <c r="A758">
        <v>252</v>
      </c>
      <c r="B758">
        <v>190</v>
      </c>
      <c r="C758">
        <v>410470002003</v>
      </c>
      <c r="D758">
        <v>100.00000300000001</v>
      </c>
    </row>
    <row r="759" spans="1:4" x14ac:dyDescent="0.25">
      <c r="A759">
        <v>253</v>
      </c>
      <c r="B759">
        <v>175</v>
      </c>
      <c r="C759">
        <v>410470002003</v>
      </c>
      <c r="D759">
        <v>99.999992000000006</v>
      </c>
    </row>
    <row r="760" spans="1:4" x14ac:dyDescent="0.25">
      <c r="A760">
        <v>254</v>
      </c>
      <c r="B760">
        <v>207</v>
      </c>
      <c r="C760">
        <v>410470002003</v>
      </c>
      <c r="D760">
        <v>3.5654089999999998</v>
      </c>
    </row>
    <row r="761" spans="1:4" x14ac:dyDescent="0.25">
      <c r="A761">
        <v>254</v>
      </c>
      <c r="B761">
        <v>207</v>
      </c>
      <c r="C761">
        <v>410470006003</v>
      </c>
      <c r="D761">
        <v>96.434589000000003</v>
      </c>
    </row>
    <row r="762" spans="1:4" x14ac:dyDescent="0.25">
      <c r="A762">
        <v>255</v>
      </c>
      <c r="B762">
        <v>212</v>
      </c>
      <c r="C762">
        <v>410470002003</v>
      </c>
      <c r="D762">
        <v>0.71685100000000002</v>
      </c>
    </row>
    <row r="763" spans="1:4" x14ac:dyDescent="0.25">
      <c r="A763">
        <v>255</v>
      </c>
      <c r="B763">
        <v>212</v>
      </c>
      <c r="C763">
        <v>410470006003</v>
      </c>
      <c r="D763">
        <v>98.573164000000006</v>
      </c>
    </row>
    <row r="764" spans="1:4" x14ac:dyDescent="0.25">
      <c r="A764">
        <v>255</v>
      </c>
      <c r="B764">
        <v>212</v>
      </c>
      <c r="C764">
        <v>410470009006</v>
      </c>
      <c r="D764">
        <v>0.70998499999999998</v>
      </c>
    </row>
    <row r="765" spans="1:4" x14ac:dyDescent="0.25">
      <c r="A765">
        <v>256</v>
      </c>
      <c r="B765">
        <v>218</v>
      </c>
      <c r="C765">
        <v>410470002003</v>
      </c>
      <c r="D765">
        <v>1.264032</v>
      </c>
    </row>
    <row r="766" spans="1:4" x14ac:dyDescent="0.25">
      <c r="A766">
        <v>256</v>
      </c>
      <c r="B766">
        <v>218</v>
      </c>
      <c r="C766">
        <v>410470006003</v>
      </c>
      <c r="D766">
        <v>0.743502</v>
      </c>
    </row>
    <row r="767" spans="1:4" x14ac:dyDescent="0.25">
      <c r="A767">
        <v>256</v>
      </c>
      <c r="B767">
        <v>218</v>
      </c>
      <c r="C767">
        <v>410470009004</v>
      </c>
      <c r="D767">
        <v>0.37959100000000001</v>
      </c>
    </row>
    <row r="768" spans="1:4" x14ac:dyDescent="0.25">
      <c r="A768">
        <v>256</v>
      </c>
      <c r="B768">
        <v>218</v>
      </c>
      <c r="C768">
        <v>410470009006</v>
      </c>
      <c r="D768">
        <v>97.612882999999997</v>
      </c>
    </row>
    <row r="769" spans="1:4" x14ac:dyDescent="0.25">
      <c r="A769">
        <v>257</v>
      </c>
      <c r="B769">
        <v>219</v>
      </c>
      <c r="C769">
        <v>410470009003</v>
      </c>
      <c r="D769">
        <v>41.215102000000002</v>
      </c>
    </row>
    <row r="770" spans="1:4" x14ac:dyDescent="0.25">
      <c r="A770">
        <v>257</v>
      </c>
      <c r="B770">
        <v>219</v>
      </c>
      <c r="C770">
        <v>410470009004</v>
      </c>
      <c r="D770">
        <v>58.784903</v>
      </c>
    </row>
    <row r="771" spans="1:4" x14ac:dyDescent="0.25">
      <c r="A771">
        <v>258</v>
      </c>
      <c r="B771">
        <v>346</v>
      </c>
      <c r="C771">
        <v>410470009002</v>
      </c>
      <c r="D771">
        <v>7.3650690000000001</v>
      </c>
    </row>
    <row r="772" spans="1:4" x14ac:dyDescent="0.25">
      <c r="A772">
        <v>258</v>
      </c>
      <c r="B772">
        <v>346</v>
      </c>
      <c r="C772">
        <v>410470009003</v>
      </c>
      <c r="D772">
        <v>84.087598999999997</v>
      </c>
    </row>
    <row r="773" spans="1:4" x14ac:dyDescent="0.25">
      <c r="A773">
        <v>258</v>
      </c>
      <c r="B773">
        <v>346</v>
      </c>
      <c r="C773">
        <v>410470010001</v>
      </c>
      <c r="D773">
        <v>8.4496110000000009</v>
      </c>
    </row>
    <row r="774" spans="1:4" x14ac:dyDescent="0.25">
      <c r="A774">
        <v>258</v>
      </c>
      <c r="B774">
        <v>346</v>
      </c>
      <c r="C774">
        <v>410470010002</v>
      </c>
      <c r="D774">
        <v>9.7711999999999993E-2</v>
      </c>
    </row>
    <row r="775" spans="1:4" x14ac:dyDescent="0.25">
      <c r="A775">
        <v>259</v>
      </c>
      <c r="B775">
        <v>298</v>
      </c>
      <c r="C775">
        <v>410470002003</v>
      </c>
      <c r="D775">
        <v>2.8386459999999998</v>
      </c>
    </row>
    <row r="776" spans="1:4" x14ac:dyDescent="0.25">
      <c r="A776">
        <v>259</v>
      </c>
      <c r="B776">
        <v>298</v>
      </c>
      <c r="C776">
        <v>410470009003</v>
      </c>
      <c r="D776">
        <v>54.132055999999999</v>
      </c>
    </row>
    <row r="777" spans="1:4" x14ac:dyDescent="0.25">
      <c r="A777">
        <v>259</v>
      </c>
      <c r="B777">
        <v>298</v>
      </c>
      <c r="C777">
        <v>410470009004</v>
      </c>
      <c r="D777">
        <v>40.671380999999997</v>
      </c>
    </row>
    <row r="778" spans="1:4" x14ac:dyDescent="0.25">
      <c r="A778">
        <v>259</v>
      </c>
      <c r="B778">
        <v>298</v>
      </c>
      <c r="C778">
        <v>410470009006</v>
      </c>
      <c r="D778">
        <v>0.20311299999999999</v>
      </c>
    </row>
    <row r="779" spans="1:4" x14ac:dyDescent="0.25">
      <c r="A779">
        <v>259</v>
      </c>
      <c r="B779">
        <v>298</v>
      </c>
      <c r="C779">
        <v>410470010002</v>
      </c>
      <c r="D779">
        <v>2.1390159999999998</v>
      </c>
    </row>
    <row r="780" spans="1:4" x14ac:dyDescent="0.25">
      <c r="A780">
        <v>259</v>
      </c>
      <c r="B780">
        <v>298</v>
      </c>
      <c r="C780">
        <v>410470012001</v>
      </c>
      <c r="D780">
        <v>1.5782000000000001E-2</v>
      </c>
    </row>
    <row r="781" spans="1:4" x14ac:dyDescent="0.25">
      <c r="A781">
        <v>260</v>
      </c>
      <c r="B781">
        <v>294</v>
      </c>
      <c r="C781">
        <v>410470002003</v>
      </c>
      <c r="D781">
        <v>96.621720999999994</v>
      </c>
    </row>
    <row r="782" spans="1:4" x14ac:dyDescent="0.25">
      <c r="A782">
        <v>260</v>
      </c>
      <c r="B782">
        <v>294</v>
      </c>
      <c r="C782">
        <v>410470012001</v>
      </c>
      <c r="D782">
        <v>3.3782559999999999</v>
      </c>
    </row>
    <row r="783" spans="1:4" x14ac:dyDescent="0.25">
      <c r="A783">
        <v>261</v>
      </c>
      <c r="B783">
        <v>294</v>
      </c>
      <c r="C783">
        <v>410470002002</v>
      </c>
      <c r="D783">
        <v>2.137E-2</v>
      </c>
    </row>
    <row r="784" spans="1:4" x14ac:dyDescent="0.25">
      <c r="A784">
        <v>261</v>
      </c>
      <c r="B784">
        <v>294</v>
      </c>
      <c r="C784">
        <v>410470002003</v>
      </c>
      <c r="D784">
        <v>99.916814000000002</v>
      </c>
    </row>
    <row r="785" spans="1:4" x14ac:dyDescent="0.25">
      <c r="A785">
        <v>261</v>
      </c>
      <c r="B785">
        <v>294</v>
      </c>
      <c r="C785">
        <v>410470012001</v>
      </c>
      <c r="D785">
        <v>6.1821000000000001E-2</v>
      </c>
    </row>
    <row r="786" spans="1:4" x14ac:dyDescent="0.25">
      <c r="A786">
        <v>262</v>
      </c>
      <c r="B786">
        <v>200</v>
      </c>
      <c r="C786">
        <v>410470002003</v>
      </c>
      <c r="D786">
        <v>99.999999000000003</v>
      </c>
    </row>
    <row r="787" spans="1:4" x14ac:dyDescent="0.25">
      <c r="A787">
        <v>263</v>
      </c>
      <c r="B787">
        <v>190</v>
      </c>
      <c r="C787">
        <v>410470002003</v>
      </c>
      <c r="D787">
        <v>99.999994999999998</v>
      </c>
    </row>
    <row r="788" spans="1:4" x14ac:dyDescent="0.25">
      <c r="A788">
        <v>264</v>
      </c>
      <c r="B788">
        <v>193</v>
      </c>
      <c r="C788">
        <v>410470002002</v>
      </c>
      <c r="D788">
        <v>0.94831600000000005</v>
      </c>
    </row>
    <row r="789" spans="1:4" x14ac:dyDescent="0.25">
      <c r="A789">
        <v>264</v>
      </c>
      <c r="B789">
        <v>193</v>
      </c>
      <c r="C789">
        <v>410470002003</v>
      </c>
      <c r="D789">
        <v>99.051687000000001</v>
      </c>
    </row>
    <row r="790" spans="1:4" x14ac:dyDescent="0.25">
      <c r="A790">
        <v>265</v>
      </c>
      <c r="B790">
        <v>188</v>
      </c>
      <c r="C790">
        <v>410470002002</v>
      </c>
      <c r="D790">
        <v>96.72</v>
      </c>
    </row>
    <row r="791" spans="1:4" x14ac:dyDescent="0.25">
      <c r="A791">
        <v>265</v>
      </c>
      <c r="B791">
        <v>188</v>
      </c>
      <c r="C791">
        <v>410470002003</v>
      </c>
      <c r="D791">
        <v>3.2800250000000002</v>
      </c>
    </row>
    <row r="792" spans="1:4" x14ac:dyDescent="0.25">
      <c r="A792">
        <v>266</v>
      </c>
      <c r="B792">
        <v>189</v>
      </c>
      <c r="C792">
        <v>410470002002</v>
      </c>
      <c r="D792">
        <v>95.832963000000007</v>
      </c>
    </row>
    <row r="793" spans="1:4" x14ac:dyDescent="0.25">
      <c r="A793">
        <v>266</v>
      </c>
      <c r="B793">
        <v>189</v>
      </c>
      <c r="C793">
        <v>410470002003</v>
      </c>
      <c r="D793">
        <v>4.1670220000000002</v>
      </c>
    </row>
    <row r="794" spans="1:4" x14ac:dyDescent="0.25">
      <c r="A794">
        <v>267</v>
      </c>
      <c r="B794">
        <v>187</v>
      </c>
      <c r="C794">
        <v>410470002002</v>
      </c>
      <c r="D794">
        <v>91.652533000000005</v>
      </c>
    </row>
    <row r="795" spans="1:4" x14ac:dyDescent="0.25">
      <c r="A795">
        <v>267</v>
      </c>
      <c r="B795">
        <v>187</v>
      </c>
      <c r="C795">
        <v>410470002003</v>
      </c>
      <c r="D795">
        <v>8.3474939999999993</v>
      </c>
    </row>
    <row r="796" spans="1:4" x14ac:dyDescent="0.25">
      <c r="A796">
        <v>268</v>
      </c>
      <c r="B796">
        <v>199</v>
      </c>
      <c r="C796">
        <v>410470002002</v>
      </c>
      <c r="D796">
        <v>90.505427999999995</v>
      </c>
    </row>
    <row r="797" spans="1:4" x14ac:dyDescent="0.25">
      <c r="A797">
        <v>268</v>
      </c>
      <c r="B797">
        <v>199</v>
      </c>
      <c r="C797">
        <v>410470002003</v>
      </c>
      <c r="D797">
        <v>9.4945920000000008</v>
      </c>
    </row>
    <row r="798" spans="1:4" x14ac:dyDescent="0.25">
      <c r="A798">
        <v>269</v>
      </c>
      <c r="B798">
        <v>199</v>
      </c>
      <c r="C798">
        <v>410470002002</v>
      </c>
      <c r="D798">
        <v>1.691538</v>
      </c>
    </row>
    <row r="799" spans="1:4" x14ac:dyDescent="0.25">
      <c r="A799">
        <v>269</v>
      </c>
      <c r="B799">
        <v>199</v>
      </c>
      <c r="C799">
        <v>410470002003</v>
      </c>
      <c r="D799">
        <v>98.308474000000004</v>
      </c>
    </row>
    <row r="800" spans="1:4" x14ac:dyDescent="0.25">
      <c r="A800">
        <v>270</v>
      </c>
      <c r="B800">
        <v>294</v>
      </c>
      <c r="C800">
        <v>410470002003</v>
      </c>
      <c r="D800">
        <v>99.999993000000003</v>
      </c>
    </row>
    <row r="801" spans="1:4" x14ac:dyDescent="0.25">
      <c r="A801">
        <v>271</v>
      </c>
      <c r="B801">
        <v>198</v>
      </c>
      <c r="C801">
        <v>410470002003</v>
      </c>
      <c r="D801">
        <v>100.00001899999999</v>
      </c>
    </row>
    <row r="802" spans="1:4" x14ac:dyDescent="0.25">
      <c r="A802">
        <v>272</v>
      </c>
      <c r="B802">
        <v>197</v>
      </c>
      <c r="C802">
        <v>410470002002</v>
      </c>
      <c r="D802">
        <v>5.6800369999999996</v>
      </c>
    </row>
    <row r="803" spans="1:4" x14ac:dyDescent="0.25">
      <c r="A803">
        <v>272</v>
      </c>
      <c r="B803">
        <v>197</v>
      </c>
      <c r="C803">
        <v>410470002003</v>
      </c>
      <c r="D803">
        <v>94.319942999999995</v>
      </c>
    </row>
    <row r="804" spans="1:4" x14ac:dyDescent="0.25">
      <c r="A804">
        <v>273</v>
      </c>
      <c r="B804">
        <v>191</v>
      </c>
      <c r="C804">
        <v>410470002002</v>
      </c>
      <c r="D804">
        <v>100</v>
      </c>
    </row>
    <row r="805" spans="1:4" x14ac:dyDescent="0.25">
      <c r="A805">
        <v>274</v>
      </c>
      <c r="B805">
        <v>185</v>
      </c>
      <c r="C805">
        <v>410470002002</v>
      </c>
      <c r="D805">
        <v>99.999993000000003</v>
      </c>
    </row>
    <row r="806" spans="1:4" x14ac:dyDescent="0.25">
      <c r="A806">
        <v>275</v>
      </c>
      <c r="B806">
        <v>185</v>
      </c>
      <c r="C806">
        <v>410470002002</v>
      </c>
      <c r="D806">
        <v>100.00000900000001</v>
      </c>
    </row>
    <row r="807" spans="1:4" x14ac:dyDescent="0.25">
      <c r="A807">
        <v>276</v>
      </c>
      <c r="B807">
        <v>183</v>
      </c>
      <c r="C807">
        <v>410470002002</v>
      </c>
      <c r="D807">
        <v>99.999983</v>
      </c>
    </row>
    <row r="808" spans="1:4" x14ac:dyDescent="0.25">
      <c r="A808">
        <v>277</v>
      </c>
      <c r="B808">
        <v>184</v>
      </c>
      <c r="C808">
        <v>410470002002</v>
      </c>
      <c r="D808">
        <v>99.999986000000007</v>
      </c>
    </row>
    <row r="809" spans="1:4" x14ac:dyDescent="0.25">
      <c r="A809">
        <v>278</v>
      </c>
      <c r="B809">
        <v>181</v>
      </c>
      <c r="C809">
        <v>410470002002</v>
      </c>
      <c r="D809">
        <v>99.667175</v>
      </c>
    </row>
    <row r="810" spans="1:4" x14ac:dyDescent="0.25">
      <c r="A810">
        <v>278</v>
      </c>
      <c r="B810">
        <v>181</v>
      </c>
      <c r="C810">
        <v>410470002003</v>
      </c>
      <c r="D810">
        <v>0.33284399999999997</v>
      </c>
    </row>
    <row r="811" spans="1:4" x14ac:dyDescent="0.25">
      <c r="A811">
        <v>279</v>
      </c>
      <c r="B811">
        <v>196</v>
      </c>
      <c r="C811">
        <v>410470002002</v>
      </c>
      <c r="D811">
        <v>1.9584000000000001E-2</v>
      </c>
    </row>
    <row r="812" spans="1:4" x14ac:dyDescent="0.25">
      <c r="A812">
        <v>279</v>
      </c>
      <c r="B812">
        <v>196</v>
      </c>
      <c r="C812">
        <v>410470002003</v>
      </c>
      <c r="D812">
        <v>99.980440999999999</v>
      </c>
    </row>
    <row r="813" spans="1:4" x14ac:dyDescent="0.25">
      <c r="A813">
        <v>280</v>
      </c>
      <c r="B813">
        <v>293</v>
      </c>
      <c r="C813">
        <v>410470002003</v>
      </c>
      <c r="D813">
        <v>100.00000900000001</v>
      </c>
    </row>
    <row r="814" spans="1:4" x14ac:dyDescent="0.25">
      <c r="A814">
        <v>281</v>
      </c>
      <c r="B814">
        <v>290</v>
      </c>
      <c r="C814">
        <v>410470002002</v>
      </c>
      <c r="D814">
        <v>24.916990999999999</v>
      </c>
    </row>
    <row r="815" spans="1:4" x14ac:dyDescent="0.25">
      <c r="A815">
        <v>281</v>
      </c>
      <c r="B815">
        <v>290</v>
      </c>
      <c r="C815">
        <v>410470002003</v>
      </c>
      <c r="D815">
        <v>74.939640999999995</v>
      </c>
    </row>
    <row r="816" spans="1:4" x14ac:dyDescent="0.25">
      <c r="A816">
        <v>281</v>
      </c>
      <c r="B816">
        <v>290</v>
      </c>
      <c r="C816">
        <v>410470013001</v>
      </c>
      <c r="D816">
        <v>0.143346</v>
      </c>
    </row>
    <row r="817" spans="1:4" x14ac:dyDescent="0.25">
      <c r="A817">
        <v>282</v>
      </c>
      <c r="B817">
        <v>167</v>
      </c>
      <c r="C817">
        <v>410470005011</v>
      </c>
      <c r="D817">
        <v>88.874281999999994</v>
      </c>
    </row>
    <row r="818" spans="1:4" x14ac:dyDescent="0.25">
      <c r="A818">
        <v>282</v>
      </c>
      <c r="B818">
        <v>167</v>
      </c>
      <c r="C818">
        <v>410470005021</v>
      </c>
      <c r="D818">
        <v>5.9632999999999999E-2</v>
      </c>
    </row>
    <row r="819" spans="1:4" x14ac:dyDescent="0.25">
      <c r="A819">
        <v>282</v>
      </c>
      <c r="B819">
        <v>167</v>
      </c>
      <c r="C819">
        <v>410470006001</v>
      </c>
      <c r="D819">
        <v>11.066082</v>
      </c>
    </row>
    <row r="820" spans="1:4" x14ac:dyDescent="0.25">
      <c r="A820">
        <v>283</v>
      </c>
      <c r="B820">
        <v>166</v>
      </c>
      <c r="C820">
        <v>410470005011</v>
      </c>
      <c r="D820">
        <v>97.872529</v>
      </c>
    </row>
    <row r="821" spans="1:4" x14ac:dyDescent="0.25">
      <c r="A821">
        <v>283</v>
      </c>
      <c r="B821">
        <v>166</v>
      </c>
      <c r="C821">
        <v>410470005012</v>
      </c>
      <c r="D821">
        <v>2.0980650000000001</v>
      </c>
    </row>
    <row r="822" spans="1:4" x14ac:dyDescent="0.25">
      <c r="A822">
        <v>283</v>
      </c>
      <c r="B822">
        <v>166</v>
      </c>
      <c r="C822">
        <v>410470005022</v>
      </c>
      <c r="D822">
        <v>2.9412000000000001E-2</v>
      </c>
    </row>
    <row r="823" spans="1:4" x14ac:dyDescent="0.25">
      <c r="A823">
        <v>284</v>
      </c>
      <c r="B823">
        <v>168</v>
      </c>
      <c r="C823">
        <v>410470005012</v>
      </c>
      <c r="D823">
        <v>98.863656000000006</v>
      </c>
    </row>
    <row r="824" spans="1:4" x14ac:dyDescent="0.25">
      <c r="A824">
        <v>284</v>
      </c>
      <c r="B824">
        <v>168</v>
      </c>
      <c r="C824">
        <v>410470005022</v>
      </c>
      <c r="D824">
        <v>5.74E-2</v>
      </c>
    </row>
    <row r="825" spans="1:4" x14ac:dyDescent="0.25">
      <c r="A825">
        <v>284</v>
      </c>
      <c r="B825">
        <v>168</v>
      </c>
      <c r="C825">
        <v>410470005023</v>
      </c>
      <c r="D825">
        <v>0.166216</v>
      </c>
    </row>
    <row r="826" spans="1:4" x14ac:dyDescent="0.25">
      <c r="A826">
        <v>284</v>
      </c>
      <c r="B826">
        <v>168</v>
      </c>
      <c r="C826">
        <v>410470016052</v>
      </c>
      <c r="D826">
        <v>1.603E-3</v>
      </c>
    </row>
    <row r="827" spans="1:4" x14ac:dyDescent="0.25">
      <c r="A827">
        <v>284</v>
      </c>
      <c r="B827">
        <v>168</v>
      </c>
      <c r="C827">
        <v>410470016071</v>
      </c>
      <c r="D827">
        <v>0.91112800000000005</v>
      </c>
    </row>
    <row r="828" spans="1:4" x14ac:dyDescent="0.25">
      <c r="A828">
        <v>285</v>
      </c>
      <c r="B828">
        <v>165</v>
      </c>
      <c r="C828">
        <v>410470006001</v>
      </c>
      <c r="D828">
        <v>99.083676999999994</v>
      </c>
    </row>
    <row r="829" spans="1:4" x14ac:dyDescent="0.25">
      <c r="A829">
        <v>285</v>
      </c>
      <c r="B829">
        <v>165</v>
      </c>
      <c r="C829">
        <v>410470006002</v>
      </c>
      <c r="D829">
        <v>0.87527900000000003</v>
      </c>
    </row>
    <row r="830" spans="1:4" x14ac:dyDescent="0.25">
      <c r="A830">
        <v>285</v>
      </c>
      <c r="B830">
        <v>165</v>
      </c>
      <c r="C830">
        <v>410470007031</v>
      </c>
      <c r="D830">
        <v>4.1044999999999998E-2</v>
      </c>
    </row>
    <row r="831" spans="1:4" x14ac:dyDescent="0.25">
      <c r="A831">
        <v>286</v>
      </c>
      <c r="B831">
        <v>167</v>
      </c>
      <c r="C831">
        <v>410470005011</v>
      </c>
      <c r="D831">
        <v>0.305724</v>
      </c>
    </row>
    <row r="832" spans="1:4" x14ac:dyDescent="0.25">
      <c r="A832">
        <v>286</v>
      </c>
      <c r="B832">
        <v>167</v>
      </c>
      <c r="C832">
        <v>410470005012</v>
      </c>
      <c r="D832">
        <v>8.3800000000000003E-3</v>
      </c>
    </row>
    <row r="833" spans="1:4" x14ac:dyDescent="0.25">
      <c r="A833">
        <v>286</v>
      </c>
      <c r="B833">
        <v>167</v>
      </c>
      <c r="C833">
        <v>410470006001</v>
      </c>
      <c r="D833">
        <v>34.316335000000002</v>
      </c>
    </row>
    <row r="834" spans="1:4" x14ac:dyDescent="0.25">
      <c r="A834">
        <v>286</v>
      </c>
      <c r="B834">
        <v>167</v>
      </c>
      <c r="C834">
        <v>410470007031</v>
      </c>
      <c r="D834">
        <v>65.369558999999995</v>
      </c>
    </row>
    <row r="835" spans="1:4" x14ac:dyDescent="0.25">
      <c r="A835">
        <v>287</v>
      </c>
      <c r="B835">
        <v>169</v>
      </c>
      <c r="C835">
        <v>410470005012</v>
      </c>
      <c r="D835">
        <v>1.6113200000000001</v>
      </c>
    </row>
    <row r="836" spans="1:4" x14ac:dyDescent="0.25">
      <c r="A836">
        <v>287</v>
      </c>
      <c r="B836">
        <v>169</v>
      </c>
      <c r="C836">
        <v>410470007031</v>
      </c>
      <c r="D836">
        <v>98.388677000000001</v>
      </c>
    </row>
    <row r="837" spans="1:4" x14ac:dyDescent="0.25">
      <c r="A837">
        <v>288</v>
      </c>
      <c r="B837">
        <v>170</v>
      </c>
      <c r="C837">
        <v>410470005012</v>
      </c>
      <c r="D837">
        <v>0.31897399999999998</v>
      </c>
    </row>
    <row r="838" spans="1:4" x14ac:dyDescent="0.25">
      <c r="A838">
        <v>288</v>
      </c>
      <c r="B838">
        <v>170</v>
      </c>
      <c r="C838">
        <v>410470007031</v>
      </c>
      <c r="D838">
        <v>98.069548999999995</v>
      </c>
    </row>
    <row r="839" spans="1:4" x14ac:dyDescent="0.25">
      <c r="A839">
        <v>288</v>
      </c>
      <c r="B839">
        <v>170</v>
      </c>
      <c r="C839">
        <v>410470016071</v>
      </c>
      <c r="D839">
        <v>4.8580000000000003E-3</v>
      </c>
    </row>
    <row r="840" spans="1:4" x14ac:dyDescent="0.25">
      <c r="A840">
        <v>288</v>
      </c>
      <c r="B840">
        <v>170</v>
      </c>
      <c r="C840">
        <v>410470017011</v>
      </c>
      <c r="D840">
        <v>1.6065940000000001</v>
      </c>
    </row>
    <row r="841" spans="1:4" x14ac:dyDescent="0.25">
      <c r="A841">
        <v>289</v>
      </c>
      <c r="B841">
        <v>208</v>
      </c>
      <c r="C841">
        <v>410470006002</v>
      </c>
      <c r="D841">
        <v>97.489046000000002</v>
      </c>
    </row>
    <row r="842" spans="1:4" x14ac:dyDescent="0.25">
      <c r="A842">
        <v>289</v>
      </c>
      <c r="B842">
        <v>208</v>
      </c>
      <c r="C842">
        <v>410470006003</v>
      </c>
      <c r="D842">
        <v>1.237541</v>
      </c>
    </row>
    <row r="843" spans="1:4" x14ac:dyDescent="0.25">
      <c r="A843">
        <v>289</v>
      </c>
      <c r="B843">
        <v>208</v>
      </c>
      <c r="C843">
        <v>410470007021</v>
      </c>
      <c r="D843">
        <v>0.74180599999999997</v>
      </c>
    </row>
    <row r="844" spans="1:4" x14ac:dyDescent="0.25">
      <c r="A844">
        <v>289</v>
      </c>
      <c r="B844">
        <v>208</v>
      </c>
      <c r="C844">
        <v>410470007031</v>
      </c>
      <c r="D844">
        <v>0.53161099999999994</v>
      </c>
    </row>
    <row r="845" spans="1:4" x14ac:dyDescent="0.25">
      <c r="A845">
        <v>290</v>
      </c>
      <c r="B845">
        <v>204</v>
      </c>
      <c r="C845">
        <v>410470006002</v>
      </c>
      <c r="D845">
        <v>3.6149000000000001E-2</v>
      </c>
    </row>
    <row r="846" spans="1:4" x14ac:dyDescent="0.25">
      <c r="A846">
        <v>290</v>
      </c>
      <c r="B846">
        <v>204</v>
      </c>
      <c r="C846">
        <v>410470007021</v>
      </c>
      <c r="D846">
        <v>54.302264000000001</v>
      </c>
    </row>
    <row r="847" spans="1:4" x14ac:dyDescent="0.25">
      <c r="A847">
        <v>290</v>
      </c>
      <c r="B847">
        <v>204</v>
      </c>
      <c r="C847">
        <v>410470007031</v>
      </c>
      <c r="D847">
        <v>45.661588999999999</v>
      </c>
    </row>
    <row r="848" spans="1:4" x14ac:dyDescent="0.25">
      <c r="A848">
        <v>291</v>
      </c>
      <c r="B848">
        <v>205</v>
      </c>
      <c r="C848">
        <v>410470007021</v>
      </c>
      <c r="D848">
        <v>30.061969999999999</v>
      </c>
    </row>
    <row r="849" spans="1:4" x14ac:dyDescent="0.25">
      <c r="A849">
        <v>291</v>
      </c>
      <c r="B849">
        <v>205</v>
      </c>
      <c r="C849">
        <v>410470007031</v>
      </c>
      <c r="D849">
        <v>69.938023000000001</v>
      </c>
    </row>
    <row r="850" spans="1:4" x14ac:dyDescent="0.25">
      <c r="A850">
        <v>292</v>
      </c>
      <c r="B850">
        <v>205</v>
      </c>
      <c r="C850">
        <v>410470007021</v>
      </c>
      <c r="D850">
        <v>0.63960300000000003</v>
      </c>
    </row>
    <row r="851" spans="1:4" x14ac:dyDescent="0.25">
      <c r="A851">
        <v>292</v>
      </c>
      <c r="B851">
        <v>205</v>
      </c>
      <c r="C851">
        <v>410470007031</v>
      </c>
      <c r="D851">
        <v>94.934573999999998</v>
      </c>
    </row>
    <row r="852" spans="1:4" x14ac:dyDescent="0.25">
      <c r="A852">
        <v>292</v>
      </c>
      <c r="B852">
        <v>205</v>
      </c>
      <c r="C852">
        <v>410470017011</v>
      </c>
      <c r="D852">
        <v>3.9322000000000003E-2</v>
      </c>
    </row>
    <row r="853" spans="1:4" x14ac:dyDescent="0.25">
      <c r="A853">
        <v>292</v>
      </c>
      <c r="B853">
        <v>205</v>
      </c>
      <c r="C853">
        <v>410470017012</v>
      </c>
      <c r="D853">
        <v>4.3865129999999999</v>
      </c>
    </row>
    <row r="854" spans="1:4" x14ac:dyDescent="0.25">
      <c r="A854">
        <v>293</v>
      </c>
      <c r="B854">
        <v>208</v>
      </c>
      <c r="C854">
        <v>410470006002</v>
      </c>
      <c r="D854">
        <v>9.6869999999999994E-3</v>
      </c>
    </row>
    <row r="855" spans="1:4" x14ac:dyDescent="0.25">
      <c r="A855">
        <v>293</v>
      </c>
      <c r="B855">
        <v>208</v>
      </c>
      <c r="C855">
        <v>410470006003</v>
      </c>
      <c r="D855">
        <v>89.998159999999999</v>
      </c>
    </row>
    <row r="856" spans="1:4" x14ac:dyDescent="0.25">
      <c r="A856">
        <v>293</v>
      </c>
      <c r="B856">
        <v>208</v>
      </c>
      <c r="C856">
        <v>410470007021</v>
      </c>
      <c r="D856">
        <v>9.0000119999999999</v>
      </c>
    </row>
    <row r="857" spans="1:4" x14ac:dyDescent="0.25">
      <c r="A857">
        <v>293</v>
      </c>
      <c r="B857">
        <v>208</v>
      </c>
      <c r="C857">
        <v>410470007022</v>
      </c>
      <c r="D857">
        <v>3.8746000000000003E-2</v>
      </c>
    </row>
    <row r="858" spans="1:4" x14ac:dyDescent="0.25">
      <c r="A858">
        <v>293</v>
      </c>
      <c r="B858">
        <v>208</v>
      </c>
      <c r="C858">
        <v>410470009005</v>
      </c>
      <c r="D858">
        <v>0.22903100000000001</v>
      </c>
    </row>
    <row r="859" spans="1:4" x14ac:dyDescent="0.25">
      <c r="A859">
        <v>293</v>
      </c>
      <c r="B859">
        <v>208</v>
      </c>
      <c r="C859">
        <v>410470009006</v>
      </c>
      <c r="D859">
        <v>0.72435499999999997</v>
      </c>
    </row>
    <row r="860" spans="1:4" x14ac:dyDescent="0.25">
      <c r="A860">
        <v>294</v>
      </c>
      <c r="B860">
        <v>209</v>
      </c>
      <c r="C860">
        <v>410470007021</v>
      </c>
      <c r="D860">
        <v>99.880044999999996</v>
      </c>
    </row>
    <row r="861" spans="1:4" x14ac:dyDescent="0.25">
      <c r="A861">
        <v>294</v>
      </c>
      <c r="B861">
        <v>209</v>
      </c>
      <c r="C861">
        <v>410470007022</v>
      </c>
      <c r="D861">
        <v>0.119949</v>
      </c>
    </row>
    <row r="862" spans="1:4" x14ac:dyDescent="0.25">
      <c r="A862">
        <v>295</v>
      </c>
      <c r="B862">
        <v>210</v>
      </c>
      <c r="C862">
        <v>410470007021</v>
      </c>
      <c r="D862">
        <v>99.843836999999994</v>
      </c>
    </row>
    <row r="863" spans="1:4" x14ac:dyDescent="0.25">
      <c r="A863">
        <v>295</v>
      </c>
      <c r="B863">
        <v>210</v>
      </c>
      <c r="C863">
        <v>410470007022</v>
      </c>
      <c r="D863">
        <v>0.15616099999999999</v>
      </c>
    </row>
    <row r="864" spans="1:4" x14ac:dyDescent="0.25">
      <c r="A864">
        <v>296</v>
      </c>
      <c r="B864">
        <v>211</v>
      </c>
      <c r="C864">
        <v>410470007021</v>
      </c>
      <c r="D864">
        <v>86.604341000000005</v>
      </c>
    </row>
    <row r="865" spans="1:4" x14ac:dyDescent="0.25">
      <c r="A865">
        <v>296</v>
      </c>
      <c r="B865">
        <v>211</v>
      </c>
      <c r="C865">
        <v>410470017012</v>
      </c>
      <c r="D865">
        <v>13.350419</v>
      </c>
    </row>
    <row r="866" spans="1:4" x14ac:dyDescent="0.25">
      <c r="A866">
        <v>296</v>
      </c>
      <c r="B866">
        <v>211</v>
      </c>
      <c r="C866">
        <v>410470017013</v>
      </c>
      <c r="D866">
        <v>4.5239000000000001E-2</v>
      </c>
    </row>
    <row r="867" spans="1:4" x14ac:dyDescent="0.25">
      <c r="A867">
        <v>297</v>
      </c>
      <c r="B867">
        <v>220</v>
      </c>
      <c r="C867">
        <v>410470009001</v>
      </c>
      <c r="D867">
        <v>0.18548000000000001</v>
      </c>
    </row>
    <row r="868" spans="1:4" x14ac:dyDescent="0.25">
      <c r="A868">
        <v>297</v>
      </c>
      <c r="B868">
        <v>220</v>
      </c>
      <c r="C868">
        <v>410470009004</v>
      </c>
      <c r="D868">
        <v>0.55041499999999999</v>
      </c>
    </row>
    <row r="869" spans="1:4" x14ac:dyDescent="0.25">
      <c r="A869">
        <v>297</v>
      </c>
      <c r="B869">
        <v>220</v>
      </c>
      <c r="C869">
        <v>410470009005</v>
      </c>
      <c r="D869">
        <v>1.853011</v>
      </c>
    </row>
    <row r="870" spans="1:4" x14ac:dyDescent="0.25">
      <c r="A870">
        <v>297</v>
      </c>
      <c r="B870">
        <v>220</v>
      </c>
      <c r="C870">
        <v>410470009006</v>
      </c>
      <c r="D870">
        <v>97.411091999999996</v>
      </c>
    </row>
    <row r="871" spans="1:4" x14ac:dyDescent="0.25">
      <c r="A871">
        <v>298</v>
      </c>
      <c r="B871">
        <v>223</v>
      </c>
      <c r="C871">
        <v>410470006003</v>
      </c>
      <c r="D871">
        <v>1.8270000000000001E-3</v>
      </c>
    </row>
    <row r="872" spans="1:4" x14ac:dyDescent="0.25">
      <c r="A872">
        <v>298</v>
      </c>
      <c r="B872">
        <v>223</v>
      </c>
      <c r="C872">
        <v>410470007022</v>
      </c>
      <c r="D872">
        <v>28.398710000000001</v>
      </c>
    </row>
    <row r="873" spans="1:4" x14ac:dyDescent="0.25">
      <c r="A873">
        <v>298</v>
      </c>
      <c r="B873">
        <v>223</v>
      </c>
      <c r="C873">
        <v>410470009001</v>
      </c>
      <c r="D873">
        <v>0.75894600000000001</v>
      </c>
    </row>
    <row r="874" spans="1:4" x14ac:dyDescent="0.25">
      <c r="A874">
        <v>298</v>
      </c>
      <c r="B874">
        <v>223</v>
      </c>
      <c r="C874">
        <v>410470009005</v>
      </c>
      <c r="D874">
        <v>70.809291999999999</v>
      </c>
    </row>
    <row r="875" spans="1:4" x14ac:dyDescent="0.25">
      <c r="A875">
        <v>298</v>
      </c>
      <c r="B875">
        <v>223</v>
      </c>
      <c r="C875">
        <v>410470010003</v>
      </c>
      <c r="D875">
        <v>3.1220000000000001E-2</v>
      </c>
    </row>
    <row r="876" spans="1:4" x14ac:dyDescent="0.25">
      <c r="A876">
        <v>299</v>
      </c>
      <c r="B876">
        <v>227</v>
      </c>
      <c r="C876">
        <v>410470006003</v>
      </c>
      <c r="D876">
        <v>9.7E-5</v>
      </c>
    </row>
    <row r="877" spans="1:4" x14ac:dyDescent="0.25">
      <c r="A877">
        <v>299</v>
      </c>
      <c r="B877">
        <v>227</v>
      </c>
      <c r="C877">
        <v>410470007021</v>
      </c>
      <c r="D877">
        <v>8.6070000000000001E-3</v>
      </c>
    </row>
    <row r="878" spans="1:4" x14ac:dyDescent="0.25">
      <c r="A878">
        <v>299</v>
      </c>
      <c r="B878">
        <v>227</v>
      </c>
      <c r="C878">
        <v>410470007022</v>
      </c>
      <c r="D878">
        <v>99.761594000000002</v>
      </c>
    </row>
    <row r="879" spans="1:4" x14ac:dyDescent="0.25">
      <c r="A879">
        <v>299</v>
      </c>
      <c r="B879">
        <v>227</v>
      </c>
      <c r="C879">
        <v>410470010003</v>
      </c>
      <c r="D879">
        <v>0.22970299999999999</v>
      </c>
    </row>
    <row r="880" spans="1:4" x14ac:dyDescent="0.25">
      <c r="A880">
        <v>300</v>
      </c>
      <c r="B880">
        <v>216</v>
      </c>
      <c r="C880">
        <v>410470007021</v>
      </c>
      <c r="D880">
        <v>60.211261</v>
      </c>
    </row>
    <row r="881" spans="1:4" x14ac:dyDescent="0.25">
      <c r="A881">
        <v>300</v>
      </c>
      <c r="B881">
        <v>216</v>
      </c>
      <c r="C881">
        <v>410470007022</v>
      </c>
      <c r="D881">
        <v>36.102842000000003</v>
      </c>
    </row>
    <row r="882" spans="1:4" x14ac:dyDescent="0.25">
      <c r="A882">
        <v>300</v>
      </c>
      <c r="B882">
        <v>216</v>
      </c>
      <c r="C882">
        <v>410470017013</v>
      </c>
      <c r="D882">
        <v>2.599424</v>
      </c>
    </row>
    <row r="883" spans="1:4" x14ac:dyDescent="0.25">
      <c r="A883">
        <v>300</v>
      </c>
      <c r="B883">
        <v>216</v>
      </c>
      <c r="C883">
        <v>410470018011</v>
      </c>
      <c r="D883">
        <v>1.0864670000000001</v>
      </c>
    </row>
    <row r="884" spans="1:4" x14ac:dyDescent="0.25">
      <c r="A884">
        <v>301</v>
      </c>
      <c r="B884">
        <v>348</v>
      </c>
      <c r="C884">
        <v>410470009001</v>
      </c>
      <c r="D884">
        <v>31.383716</v>
      </c>
    </row>
    <row r="885" spans="1:4" x14ac:dyDescent="0.25">
      <c r="A885">
        <v>301</v>
      </c>
      <c r="B885">
        <v>348</v>
      </c>
      <c r="C885">
        <v>410470009002</v>
      </c>
      <c r="D885">
        <v>21.460929</v>
      </c>
    </row>
    <row r="886" spans="1:4" x14ac:dyDescent="0.25">
      <c r="A886">
        <v>301</v>
      </c>
      <c r="B886">
        <v>348</v>
      </c>
      <c r="C886">
        <v>410470009003</v>
      </c>
      <c r="D886">
        <v>21.549893999999998</v>
      </c>
    </row>
    <row r="887" spans="1:4" x14ac:dyDescent="0.25">
      <c r="A887">
        <v>301</v>
      </c>
      <c r="B887">
        <v>348</v>
      </c>
      <c r="C887">
        <v>410470009004</v>
      </c>
      <c r="D887">
        <v>25.316506</v>
      </c>
    </row>
    <row r="888" spans="1:4" x14ac:dyDescent="0.25">
      <c r="A888">
        <v>301</v>
      </c>
      <c r="B888">
        <v>348</v>
      </c>
      <c r="C888">
        <v>410470010001</v>
      </c>
      <c r="D888">
        <v>0.28895500000000002</v>
      </c>
    </row>
    <row r="889" spans="1:4" x14ac:dyDescent="0.25">
      <c r="A889">
        <v>302</v>
      </c>
      <c r="B889">
        <v>222</v>
      </c>
      <c r="C889">
        <v>410470007022</v>
      </c>
      <c r="D889">
        <v>6.1700000000000001E-3</v>
      </c>
    </row>
    <row r="890" spans="1:4" x14ac:dyDescent="0.25">
      <c r="A890">
        <v>302</v>
      </c>
      <c r="B890">
        <v>222</v>
      </c>
      <c r="C890">
        <v>410470009001</v>
      </c>
      <c r="D890">
        <v>81.332395000000005</v>
      </c>
    </row>
    <row r="891" spans="1:4" x14ac:dyDescent="0.25">
      <c r="A891">
        <v>302</v>
      </c>
      <c r="B891">
        <v>222</v>
      </c>
      <c r="C891">
        <v>410470010003</v>
      </c>
      <c r="D891">
        <v>18.661442000000001</v>
      </c>
    </row>
    <row r="892" spans="1:4" x14ac:dyDescent="0.25">
      <c r="A892">
        <v>303</v>
      </c>
      <c r="B892">
        <v>349</v>
      </c>
      <c r="C892">
        <v>410470009001</v>
      </c>
      <c r="D892">
        <v>16.599450999999998</v>
      </c>
    </row>
    <row r="893" spans="1:4" x14ac:dyDescent="0.25">
      <c r="A893">
        <v>303</v>
      </c>
      <c r="B893">
        <v>349</v>
      </c>
      <c r="C893">
        <v>410470009002</v>
      </c>
      <c r="D893">
        <v>63.626967</v>
      </c>
    </row>
    <row r="894" spans="1:4" x14ac:dyDescent="0.25">
      <c r="A894">
        <v>303</v>
      </c>
      <c r="B894">
        <v>349</v>
      </c>
      <c r="C894">
        <v>410470010001</v>
      </c>
      <c r="D894">
        <v>1.323342</v>
      </c>
    </row>
    <row r="895" spans="1:4" x14ac:dyDescent="0.25">
      <c r="A895">
        <v>303</v>
      </c>
      <c r="B895">
        <v>349</v>
      </c>
      <c r="C895">
        <v>410470010003</v>
      </c>
      <c r="D895">
        <v>18.450240000000001</v>
      </c>
    </row>
    <row r="896" spans="1:4" x14ac:dyDescent="0.25">
      <c r="A896">
        <v>304</v>
      </c>
      <c r="B896">
        <v>224</v>
      </c>
      <c r="C896">
        <v>410470007022</v>
      </c>
      <c r="D896">
        <v>2.9399999999999999E-3</v>
      </c>
    </row>
    <row r="897" spans="1:4" x14ac:dyDescent="0.25">
      <c r="A897">
        <v>304</v>
      </c>
      <c r="B897">
        <v>224</v>
      </c>
      <c r="C897">
        <v>410470010003</v>
      </c>
      <c r="D897">
        <v>99.997056999999998</v>
      </c>
    </row>
    <row r="898" spans="1:4" x14ac:dyDescent="0.25">
      <c r="A898">
        <v>305</v>
      </c>
      <c r="B898">
        <v>353</v>
      </c>
      <c r="C898">
        <v>410470009002</v>
      </c>
      <c r="D898">
        <v>1.3099E-2</v>
      </c>
    </row>
    <row r="899" spans="1:4" x14ac:dyDescent="0.25">
      <c r="A899">
        <v>305</v>
      </c>
      <c r="B899">
        <v>353</v>
      </c>
      <c r="C899">
        <v>410470010003</v>
      </c>
      <c r="D899">
        <v>99.986898999999994</v>
      </c>
    </row>
    <row r="900" spans="1:4" x14ac:dyDescent="0.25">
      <c r="A900">
        <v>306</v>
      </c>
      <c r="B900">
        <v>226</v>
      </c>
      <c r="C900">
        <v>410470007022</v>
      </c>
      <c r="D900">
        <v>0.64499399999999996</v>
      </c>
    </row>
    <row r="901" spans="1:4" x14ac:dyDescent="0.25">
      <c r="A901">
        <v>306</v>
      </c>
      <c r="B901">
        <v>226</v>
      </c>
      <c r="C901">
        <v>410470010003</v>
      </c>
      <c r="D901">
        <v>99.355001000000001</v>
      </c>
    </row>
    <row r="902" spans="1:4" x14ac:dyDescent="0.25">
      <c r="A902">
        <v>307</v>
      </c>
      <c r="B902">
        <v>353</v>
      </c>
      <c r="C902">
        <v>410470010003</v>
      </c>
      <c r="D902">
        <v>99.999996999999993</v>
      </c>
    </row>
    <row r="903" spans="1:4" x14ac:dyDescent="0.25">
      <c r="A903">
        <v>308</v>
      </c>
      <c r="B903">
        <v>353</v>
      </c>
      <c r="C903">
        <v>410470007022</v>
      </c>
      <c r="D903">
        <v>0.28890199999999999</v>
      </c>
    </row>
    <row r="904" spans="1:4" x14ac:dyDescent="0.25">
      <c r="A904">
        <v>308</v>
      </c>
      <c r="B904">
        <v>353</v>
      </c>
      <c r="C904">
        <v>410470010003</v>
      </c>
      <c r="D904">
        <v>97.990793999999994</v>
      </c>
    </row>
    <row r="905" spans="1:4" x14ac:dyDescent="0.25">
      <c r="A905">
        <v>308</v>
      </c>
      <c r="B905">
        <v>353</v>
      </c>
      <c r="C905">
        <v>410470018011</v>
      </c>
      <c r="D905">
        <v>1.114E-3</v>
      </c>
    </row>
    <row r="906" spans="1:4" x14ac:dyDescent="0.25">
      <c r="A906">
        <v>308</v>
      </c>
      <c r="B906">
        <v>353</v>
      </c>
      <c r="C906">
        <v>410470018012</v>
      </c>
      <c r="D906">
        <v>1.7115320000000001</v>
      </c>
    </row>
    <row r="907" spans="1:4" x14ac:dyDescent="0.25">
      <c r="A907">
        <v>308</v>
      </c>
      <c r="B907">
        <v>353</v>
      </c>
      <c r="C907">
        <v>410470018032</v>
      </c>
      <c r="D907">
        <v>7.6600000000000001E-3</v>
      </c>
    </row>
    <row r="908" spans="1:4" x14ac:dyDescent="0.25">
      <c r="A908">
        <v>309</v>
      </c>
      <c r="B908">
        <v>292</v>
      </c>
      <c r="C908">
        <v>410470002002</v>
      </c>
      <c r="D908">
        <v>0.39409499999999997</v>
      </c>
    </row>
    <row r="909" spans="1:4" x14ac:dyDescent="0.25">
      <c r="A909">
        <v>309</v>
      </c>
      <c r="B909">
        <v>292</v>
      </c>
      <c r="C909">
        <v>410470002003</v>
      </c>
      <c r="D909">
        <v>1.065472</v>
      </c>
    </row>
    <row r="910" spans="1:4" x14ac:dyDescent="0.25">
      <c r="A910">
        <v>309</v>
      </c>
      <c r="B910">
        <v>292</v>
      </c>
      <c r="C910">
        <v>410470012001</v>
      </c>
      <c r="D910">
        <v>0.33522999999999997</v>
      </c>
    </row>
    <row r="911" spans="1:4" x14ac:dyDescent="0.25">
      <c r="A911">
        <v>309</v>
      </c>
      <c r="B911">
        <v>292</v>
      </c>
      <c r="C911">
        <v>410470013001</v>
      </c>
      <c r="D911">
        <v>5.1477409999999999</v>
      </c>
    </row>
    <row r="912" spans="1:4" x14ac:dyDescent="0.25">
      <c r="A912">
        <v>309</v>
      </c>
      <c r="B912">
        <v>292</v>
      </c>
      <c r="C912">
        <v>410470013002</v>
      </c>
      <c r="D912">
        <v>93.057473999999999</v>
      </c>
    </row>
    <row r="913" spans="1:4" x14ac:dyDescent="0.25">
      <c r="A913">
        <v>310</v>
      </c>
      <c r="B913">
        <v>293</v>
      </c>
      <c r="C913">
        <v>410470002003</v>
      </c>
      <c r="D913">
        <v>0.993703</v>
      </c>
    </row>
    <row r="914" spans="1:4" x14ac:dyDescent="0.25">
      <c r="A914">
        <v>310</v>
      </c>
      <c r="B914">
        <v>293</v>
      </c>
      <c r="C914">
        <v>410470012001</v>
      </c>
      <c r="D914">
        <v>98.891239999999996</v>
      </c>
    </row>
    <row r="915" spans="1:4" x14ac:dyDescent="0.25">
      <c r="A915">
        <v>310</v>
      </c>
      <c r="B915">
        <v>293</v>
      </c>
      <c r="C915">
        <v>410470013002</v>
      </c>
      <c r="D915">
        <v>0.115065</v>
      </c>
    </row>
    <row r="916" spans="1:4" x14ac:dyDescent="0.25">
      <c r="A916">
        <v>311</v>
      </c>
      <c r="B916">
        <v>296</v>
      </c>
      <c r="C916">
        <v>410470002003</v>
      </c>
      <c r="D916">
        <v>0.35896699999999998</v>
      </c>
    </row>
    <row r="917" spans="1:4" x14ac:dyDescent="0.25">
      <c r="A917">
        <v>311</v>
      </c>
      <c r="B917">
        <v>296</v>
      </c>
      <c r="C917">
        <v>410470012001</v>
      </c>
      <c r="D917">
        <v>99.641026999999994</v>
      </c>
    </row>
    <row r="918" spans="1:4" x14ac:dyDescent="0.25">
      <c r="A918">
        <v>312</v>
      </c>
      <c r="B918">
        <v>333</v>
      </c>
      <c r="C918">
        <v>410470010001</v>
      </c>
      <c r="D918">
        <v>0.29233399999999998</v>
      </c>
    </row>
    <row r="919" spans="1:4" x14ac:dyDescent="0.25">
      <c r="A919">
        <v>312</v>
      </c>
      <c r="B919">
        <v>333</v>
      </c>
      <c r="C919">
        <v>410470010002</v>
      </c>
      <c r="D919">
        <v>96.256952999999996</v>
      </c>
    </row>
    <row r="920" spans="1:4" x14ac:dyDescent="0.25">
      <c r="A920">
        <v>312</v>
      </c>
      <c r="B920">
        <v>333</v>
      </c>
      <c r="C920">
        <v>410470012001</v>
      </c>
      <c r="D920">
        <v>2.0354770000000002</v>
      </c>
    </row>
    <row r="921" spans="1:4" x14ac:dyDescent="0.25">
      <c r="A921">
        <v>312</v>
      </c>
      <c r="B921">
        <v>333</v>
      </c>
      <c r="C921">
        <v>410470012002</v>
      </c>
      <c r="D921">
        <v>1.415232</v>
      </c>
    </row>
    <row r="922" spans="1:4" x14ac:dyDescent="0.25">
      <c r="A922">
        <v>313</v>
      </c>
      <c r="B922">
        <v>346</v>
      </c>
      <c r="C922">
        <v>410470009002</v>
      </c>
      <c r="D922">
        <v>0.36615900000000001</v>
      </c>
    </row>
    <row r="923" spans="1:4" x14ac:dyDescent="0.25">
      <c r="A923">
        <v>313</v>
      </c>
      <c r="B923">
        <v>346</v>
      </c>
      <c r="C923">
        <v>410470009003</v>
      </c>
      <c r="D923">
        <v>0.21673500000000001</v>
      </c>
    </row>
    <row r="924" spans="1:4" x14ac:dyDescent="0.25">
      <c r="A924">
        <v>313</v>
      </c>
      <c r="B924">
        <v>346</v>
      </c>
      <c r="C924">
        <v>410470010001</v>
      </c>
      <c r="D924">
        <v>98.428858000000005</v>
      </c>
    </row>
    <row r="925" spans="1:4" x14ac:dyDescent="0.25">
      <c r="A925">
        <v>313</v>
      </c>
      <c r="B925">
        <v>346</v>
      </c>
      <c r="C925">
        <v>410470010002</v>
      </c>
      <c r="D925">
        <v>0.98824000000000001</v>
      </c>
    </row>
    <row r="926" spans="1:4" x14ac:dyDescent="0.25">
      <c r="A926">
        <v>314</v>
      </c>
      <c r="B926">
        <v>300</v>
      </c>
      <c r="C926">
        <v>410470012001</v>
      </c>
      <c r="D926">
        <v>2.2624999999999999E-2</v>
      </c>
    </row>
    <row r="927" spans="1:4" x14ac:dyDescent="0.25">
      <c r="A927">
        <v>314</v>
      </c>
      <c r="B927">
        <v>300</v>
      </c>
      <c r="C927">
        <v>410470013001</v>
      </c>
      <c r="D927">
        <v>49.051088</v>
      </c>
    </row>
    <row r="928" spans="1:4" x14ac:dyDescent="0.25">
      <c r="A928">
        <v>314</v>
      </c>
      <c r="B928">
        <v>300</v>
      </c>
      <c r="C928">
        <v>410470013002</v>
      </c>
      <c r="D928">
        <v>50.926290999999999</v>
      </c>
    </row>
    <row r="929" spans="1:4" x14ac:dyDescent="0.25">
      <c r="A929">
        <v>315</v>
      </c>
      <c r="B929">
        <v>295</v>
      </c>
      <c r="C929">
        <v>410470012001</v>
      </c>
      <c r="D929">
        <v>100.00001399999999</v>
      </c>
    </row>
    <row r="930" spans="1:4" x14ac:dyDescent="0.25">
      <c r="A930">
        <v>316</v>
      </c>
      <c r="B930">
        <v>297</v>
      </c>
      <c r="C930">
        <v>410470012001</v>
      </c>
      <c r="D930">
        <v>99.659211999999997</v>
      </c>
    </row>
    <row r="931" spans="1:4" x14ac:dyDescent="0.25">
      <c r="A931">
        <v>316</v>
      </c>
      <c r="B931">
        <v>297</v>
      </c>
      <c r="C931">
        <v>410470012002</v>
      </c>
      <c r="D931">
        <v>0.34078799999999998</v>
      </c>
    </row>
    <row r="932" spans="1:4" x14ac:dyDescent="0.25">
      <c r="A932">
        <v>317</v>
      </c>
      <c r="B932">
        <v>297</v>
      </c>
      <c r="C932">
        <v>410470012001</v>
      </c>
      <c r="D932">
        <v>100.000005</v>
      </c>
    </row>
    <row r="933" spans="1:4" x14ac:dyDescent="0.25">
      <c r="A933">
        <v>318</v>
      </c>
      <c r="B933">
        <v>348</v>
      </c>
      <c r="C933">
        <v>410470009002</v>
      </c>
      <c r="D933">
        <v>8.3626000000000006E-2</v>
      </c>
    </row>
    <row r="934" spans="1:4" x14ac:dyDescent="0.25">
      <c r="A934">
        <v>318</v>
      </c>
      <c r="B934">
        <v>348</v>
      </c>
      <c r="C934">
        <v>410470010001</v>
      </c>
      <c r="D934">
        <v>98.023819000000003</v>
      </c>
    </row>
    <row r="935" spans="1:4" x14ac:dyDescent="0.25">
      <c r="A935">
        <v>318</v>
      </c>
      <c r="B935">
        <v>348</v>
      </c>
      <c r="C935">
        <v>410470010002</v>
      </c>
      <c r="D935">
        <v>1.892563</v>
      </c>
    </row>
    <row r="936" spans="1:4" x14ac:dyDescent="0.25">
      <c r="A936">
        <v>319</v>
      </c>
      <c r="B936">
        <v>350</v>
      </c>
      <c r="C936">
        <v>410470009002</v>
      </c>
      <c r="D936">
        <v>5.5428999999999999E-2</v>
      </c>
    </row>
    <row r="937" spans="1:4" x14ac:dyDescent="0.25">
      <c r="A937">
        <v>319</v>
      </c>
      <c r="B937">
        <v>350</v>
      </c>
      <c r="C937">
        <v>410470010001</v>
      </c>
      <c r="D937">
        <v>99.944575999999998</v>
      </c>
    </row>
    <row r="938" spans="1:4" x14ac:dyDescent="0.25">
      <c r="A938">
        <v>320</v>
      </c>
      <c r="B938">
        <v>350</v>
      </c>
      <c r="C938">
        <v>410470010001</v>
      </c>
      <c r="D938">
        <v>99.754112000000006</v>
      </c>
    </row>
    <row r="939" spans="1:4" x14ac:dyDescent="0.25">
      <c r="A939">
        <v>320</v>
      </c>
      <c r="B939">
        <v>350</v>
      </c>
      <c r="C939">
        <v>410470010003</v>
      </c>
      <c r="D939">
        <v>0.245897</v>
      </c>
    </row>
    <row r="940" spans="1:4" x14ac:dyDescent="0.25">
      <c r="A940">
        <v>321</v>
      </c>
      <c r="B940">
        <v>350</v>
      </c>
      <c r="C940">
        <v>410470010001</v>
      </c>
      <c r="D940">
        <v>98.958499000000003</v>
      </c>
    </row>
    <row r="941" spans="1:4" x14ac:dyDescent="0.25">
      <c r="A941">
        <v>321</v>
      </c>
      <c r="B941">
        <v>350</v>
      </c>
      <c r="C941">
        <v>410470010002</v>
      </c>
      <c r="D941">
        <v>1.041501</v>
      </c>
    </row>
    <row r="942" spans="1:4" x14ac:dyDescent="0.25">
      <c r="A942">
        <v>322</v>
      </c>
      <c r="B942">
        <v>309</v>
      </c>
      <c r="C942">
        <v>410470013001</v>
      </c>
      <c r="D942">
        <v>55.521653999999998</v>
      </c>
    </row>
    <row r="943" spans="1:4" x14ac:dyDescent="0.25">
      <c r="A943">
        <v>322</v>
      </c>
      <c r="B943">
        <v>309</v>
      </c>
      <c r="C943">
        <v>410470013003</v>
      </c>
      <c r="D943">
        <v>43.617641999999996</v>
      </c>
    </row>
    <row r="944" spans="1:4" x14ac:dyDescent="0.25">
      <c r="A944">
        <v>322</v>
      </c>
      <c r="B944">
        <v>309</v>
      </c>
      <c r="C944">
        <v>410470022011</v>
      </c>
      <c r="D944">
        <v>0.86070199999999997</v>
      </c>
    </row>
    <row r="945" spans="1:4" x14ac:dyDescent="0.25">
      <c r="A945">
        <v>323</v>
      </c>
      <c r="B945">
        <v>301</v>
      </c>
      <c r="C945">
        <v>410470013001</v>
      </c>
      <c r="D945">
        <v>0.58586899999999997</v>
      </c>
    </row>
    <row r="946" spans="1:4" x14ac:dyDescent="0.25">
      <c r="A946">
        <v>323</v>
      </c>
      <c r="B946">
        <v>301</v>
      </c>
      <c r="C946">
        <v>410470013003</v>
      </c>
      <c r="D946">
        <v>98.656434000000004</v>
      </c>
    </row>
    <row r="947" spans="1:4" x14ac:dyDescent="0.25">
      <c r="A947">
        <v>323</v>
      </c>
      <c r="B947">
        <v>301</v>
      </c>
      <c r="C947">
        <v>410470021011</v>
      </c>
      <c r="D947">
        <v>0.275061</v>
      </c>
    </row>
    <row r="948" spans="1:4" x14ac:dyDescent="0.25">
      <c r="A948">
        <v>323</v>
      </c>
      <c r="B948">
        <v>301</v>
      </c>
      <c r="C948">
        <v>410470022011</v>
      </c>
      <c r="D948">
        <v>0.48264899999999999</v>
      </c>
    </row>
    <row r="949" spans="1:4" x14ac:dyDescent="0.25">
      <c r="A949">
        <v>324</v>
      </c>
      <c r="B949">
        <v>302</v>
      </c>
      <c r="C949">
        <v>410470012002</v>
      </c>
      <c r="D949">
        <v>93.187432999999999</v>
      </c>
    </row>
    <row r="950" spans="1:4" x14ac:dyDescent="0.25">
      <c r="A950">
        <v>324</v>
      </c>
      <c r="B950">
        <v>302</v>
      </c>
      <c r="C950">
        <v>410470013001</v>
      </c>
      <c r="D950">
        <v>4.189819</v>
      </c>
    </row>
    <row r="951" spans="1:4" x14ac:dyDescent="0.25">
      <c r="A951">
        <v>324</v>
      </c>
      <c r="B951">
        <v>302</v>
      </c>
      <c r="C951">
        <v>410470013003</v>
      </c>
      <c r="D951">
        <v>2.622738</v>
      </c>
    </row>
    <row r="952" spans="1:4" x14ac:dyDescent="0.25">
      <c r="A952">
        <v>325</v>
      </c>
      <c r="B952">
        <v>303</v>
      </c>
      <c r="C952">
        <v>410470012001</v>
      </c>
      <c r="D952">
        <v>7.9346E-2</v>
      </c>
    </row>
    <row r="953" spans="1:4" x14ac:dyDescent="0.25">
      <c r="A953">
        <v>325</v>
      </c>
      <c r="B953">
        <v>303</v>
      </c>
      <c r="C953">
        <v>410470012002</v>
      </c>
      <c r="D953">
        <v>99.920658000000003</v>
      </c>
    </row>
    <row r="954" spans="1:4" x14ac:dyDescent="0.25">
      <c r="A954">
        <v>326</v>
      </c>
      <c r="B954">
        <v>307</v>
      </c>
      <c r="C954">
        <v>410470011001</v>
      </c>
      <c r="D954">
        <v>0.33392300000000003</v>
      </c>
    </row>
    <row r="955" spans="1:4" x14ac:dyDescent="0.25">
      <c r="A955">
        <v>326</v>
      </c>
      <c r="B955">
        <v>307</v>
      </c>
      <c r="C955">
        <v>410470011003</v>
      </c>
      <c r="D955">
        <v>6.8325999999999998E-2</v>
      </c>
    </row>
    <row r="956" spans="1:4" x14ac:dyDescent="0.25">
      <c r="A956">
        <v>326</v>
      </c>
      <c r="B956">
        <v>307</v>
      </c>
      <c r="C956">
        <v>410470012001</v>
      </c>
      <c r="D956">
        <v>0.42557499999999998</v>
      </c>
    </row>
    <row r="957" spans="1:4" x14ac:dyDescent="0.25">
      <c r="A957">
        <v>326</v>
      </c>
      <c r="B957">
        <v>307</v>
      </c>
      <c r="C957">
        <v>410470012002</v>
      </c>
      <c r="D957">
        <v>99.172173999999998</v>
      </c>
    </row>
    <row r="958" spans="1:4" x14ac:dyDescent="0.25">
      <c r="A958">
        <v>327</v>
      </c>
      <c r="B958">
        <v>307</v>
      </c>
      <c r="C958">
        <v>410470012002</v>
      </c>
      <c r="D958">
        <v>99.999996999999993</v>
      </c>
    </row>
    <row r="959" spans="1:4" x14ac:dyDescent="0.25">
      <c r="A959">
        <v>328</v>
      </c>
      <c r="B959">
        <v>327</v>
      </c>
      <c r="C959">
        <v>410470011003</v>
      </c>
      <c r="D959">
        <v>5.9230999999999999E-2</v>
      </c>
    </row>
    <row r="960" spans="1:4" x14ac:dyDescent="0.25">
      <c r="A960">
        <v>328</v>
      </c>
      <c r="B960">
        <v>327</v>
      </c>
      <c r="C960">
        <v>410470012002</v>
      </c>
      <c r="D960">
        <v>98.257757999999995</v>
      </c>
    </row>
    <row r="961" spans="1:4" x14ac:dyDescent="0.25">
      <c r="A961">
        <v>328</v>
      </c>
      <c r="B961">
        <v>327</v>
      </c>
      <c r="C961">
        <v>410470013003</v>
      </c>
      <c r="D961">
        <v>1.6830050000000001</v>
      </c>
    </row>
    <row r="962" spans="1:4" x14ac:dyDescent="0.25">
      <c r="A962">
        <v>329</v>
      </c>
      <c r="B962">
        <v>307</v>
      </c>
      <c r="C962">
        <v>410470011003</v>
      </c>
      <c r="D962">
        <v>0.22237299999999999</v>
      </c>
    </row>
    <row r="963" spans="1:4" x14ac:dyDescent="0.25">
      <c r="A963">
        <v>329</v>
      </c>
      <c r="B963">
        <v>307</v>
      </c>
      <c r="C963">
        <v>410470012002</v>
      </c>
      <c r="D963">
        <v>99.777621999999994</v>
      </c>
    </row>
    <row r="964" spans="1:4" x14ac:dyDescent="0.25">
      <c r="A964">
        <v>330</v>
      </c>
      <c r="B964">
        <v>333</v>
      </c>
      <c r="C964">
        <v>410470010002</v>
      </c>
      <c r="D964">
        <v>99.474012000000002</v>
      </c>
    </row>
    <row r="965" spans="1:4" x14ac:dyDescent="0.25">
      <c r="A965">
        <v>330</v>
      </c>
      <c r="B965">
        <v>333</v>
      </c>
      <c r="C965">
        <v>410470011001</v>
      </c>
      <c r="D965">
        <v>0.52598900000000004</v>
      </c>
    </row>
    <row r="966" spans="1:4" x14ac:dyDescent="0.25">
      <c r="A966">
        <v>331</v>
      </c>
      <c r="B966">
        <v>354</v>
      </c>
      <c r="C966">
        <v>410470010002</v>
      </c>
      <c r="D966">
        <v>99.999994999999998</v>
      </c>
    </row>
    <row r="967" spans="1:4" x14ac:dyDescent="0.25">
      <c r="A967">
        <v>332</v>
      </c>
      <c r="B967">
        <v>309</v>
      </c>
      <c r="C967">
        <v>410470013001</v>
      </c>
      <c r="D967">
        <v>98.675606999999999</v>
      </c>
    </row>
    <row r="968" spans="1:4" x14ac:dyDescent="0.25">
      <c r="A968">
        <v>332</v>
      </c>
      <c r="B968">
        <v>309</v>
      </c>
      <c r="C968">
        <v>410470022011</v>
      </c>
      <c r="D968">
        <v>1.3243910000000001</v>
      </c>
    </row>
    <row r="969" spans="1:4" x14ac:dyDescent="0.25">
      <c r="A969">
        <v>333</v>
      </c>
      <c r="B969">
        <v>311</v>
      </c>
      <c r="C969">
        <v>410470013001</v>
      </c>
      <c r="D969">
        <v>0.63519599999999998</v>
      </c>
    </row>
    <row r="970" spans="1:4" x14ac:dyDescent="0.25">
      <c r="A970">
        <v>333</v>
      </c>
      <c r="B970">
        <v>311</v>
      </c>
      <c r="C970">
        <v>410470022011</v>
      </c>
      <c r="D970">
        <v>96.057315000000003</v>
      </c>
    </row>
    <row r="971" spans="1:4" x14ac:dyDescent="0.25">
      <c r="A971">
        <v>333</v>
      </c>
      <c r="B971">
        <v>311</v>
      </c>
      <c r="C971">
        <v>410470022012</v>
      </c>
      <c r="D971">
        <v>0.41434900000000002</v>
      </c>
    </row>
    <row r="972" spans="1:4" x14ac:dyDescent="0.25">
      <c r="A972">
        <v>333</v>
      </c>
      <c r="B972">
        <v>311</v>
      </c>
      <c r="C972">
        <v>410470022021</v>
      </c>
      <c r="D972">
        <v>0.90210900000000005</v>
      </c>
    </row>
    <row r="973" spans="1:4" x14ac:dyDescent="0.25">
      <c r="A973">
        <v>333</v>
      </c>
      <c r="B973">
        <v>311</v>
      </c>
      <c r="C973">
        <v>410470024001</v>
      </c>
      <c r="D973">
        <v>1.991036</v>
      </c>
    </row>
    <row r="974" spans="1:4" x14ac:dyDescent="0.25">
      <c r="A974">
        <v>334</v>
      </c>
      <c r="B974">
        <v>311</v>
      </c>
      <c r="C974">
        <v>410470013003</v>
      </c>
      <c r="D974">
        <v>6.7714999999999997E-2</v>
      </c>
    </row>
    <row r="975" spans="1:4" x14ac:dyDescent="0.25">
      <c r="A975">
        <v>334</v>
      </c>
      <c r="B975">
        <v>311</v>
      </c>
      <c r="C975">
        <v>410470021011</v>
      </c>
      <c r="D975">
        <v>2.4782999999999999E-2</v>
      </c>
    </row>
    <row r="976" spans="1:4" x14ac:dyDescent="0.25">
      <c r="A976">
        <v>334</v>
      </c>
      <c r="B976">
        <v>311</v>
      </c>
      <c r="C976">
        <v>410470022011</v>
      </c>
      <c r="D976">
        <v>56.372641999999999</v>
      </c>
    </row>
    <row r="977" spans="1:4" x14ac:dyDescent="0.25">
      <c r="A977">
        <v>334</v>
      </c>
      <c r="B977">
        <v>311</v>
      </c>
      <c r="C977">
        <v>410470022012</v>
      </c>
      <c r="D977">
        <v>42.810707999999998</v>
      </c>
    </row>
    <row r="978" spans="1:4" x14ac:dyDescent="0.25">
      <c r="A978">
        <v>334</v>
      </c>
      <c r="B978">
        <v>311</v>
      </c>
      <c r="C978">
        <v>410470022021</v>
      </c>
      <c r="D978">
        <v>0.30298000000000003</v>
      </c>
    </row>
    <row r="979" spans="1:4" x14ac:dyDescent="0.25">
      <c r="A979">
        <v>334</v>
      </c>
      <c r="B979">
        <v>311</v>
      </c>
      <c r="C979">
        <v>410470022022</v>
      </c>
      <c r="D979">
        <v>0.42116900000000002</v>
      </c>
    </row>
    <row r="980" spans="1:4" x14ac:dyDescent="0.25">
      <c r="A980">
        <v>335</v>
      </c>
      <c r="B980">
        <v>318</v>
      </c>
      <c r="C980">
        <v>410470013003</v>
      </c>
      <c r="D980">
        <v>3.9999999999999998E-6</v>
      </c>
    </row>
    <row r="981" spans="1:4" x14ac:dyDescent="0.25">
      <c r="A981">
        <v>335</v>
      </c>
      <c r="B981">
        <v>318</v>
      </c>
      <c r="C981">
        <v>410470021011</v>
      </c>
      <c r="D981">
        <v>97.678563999999994</v>
      </c>
    </row>
    <row r="982" spans="1:4" x14ac:dyDescent="0.25">
      <c r="A982">
        <v>335</v>
      </c>
      <c r="B982">
        <v>318</v>
      </c>
      <c r="C982">
        <v>410470022011</v>
      </c>
      <c r="D982">
        <v>2.321447</v>
      </c>
    </row>
    <row r="983" spans="1:4" x14ac:dyDescent="0.25">
      <c r="A983">
        <v>336</v>
      </c>
      <c r="B983">
        <v>328</v>
      </c>
      <c r="C983">
        <v>410470011003</v>
      </c>
      <c r="D983">
        <v>97.454922999999994</v>
      </c>
    </row>
    <row r="984" spans="1:4" x14ac:dyDescent="0.25">
      <c r="A984">
        <v>336</v>
      </c>
      <c r="B984">
        <v>328</v>
      </c>
      <c r="C984">
        <v>410470012002</v>
      </c>
      <c r="D984">
        <v>0.499917</v>
      </c>
    </row>
    <row r="985" spans="1:4" x14ac:dyDescent="0.25">
      <c r="A985">
        <v>336</v>
      </c>
      <c r="B985">
        <v>328</v>
      </c>
      <c r="C985">
        <v>410470013003</v>
      </c>
      <c r="D985">
        <v>0.100995</v>
      </c>
    </row>
    <row r="986" spans="1:4" x14ac:dyDescent="0.25">
      <c r="A986">
        <v>336</v>
      </c>
      <c r="B986">
        <v>328</v>
      </c>
      <c r="C986">
        <v>410470021011</v>
      </c>
      <c r="D986">
        <v>1.944153</v>
      </c>
    </row>
    <row r="987" spans="1:4" x14ac:dyDescent="0.25">
      <c r="A987">
        <v>337</v>
      </c>
      <c r="B987">
        <v>330</v>
      </c>
      <c r="C987">
        <v>410470011001</v>
      </c>
      <c r="D987">
        <v>33.703929000000002</v>
      </c>
    </row>
    <row r="988" spans="1:4" x14ac:dyDescent="0.25">
      <c r="A988">
        <v>337</v>
      </c>
      <c r="B988">
        <v>330</v>
      </c>
      <c r="C988">
        <v>410470011003</v>
      </c>
      <c r="D988">
        <v>66.294499000000002</v>
      </c>
    </row>
    <row r="989" spans="1:4" x14ac:dyDescent="0.25">
      <c r="A989">
        <v>337</v>
      </c>
      <c r="B989">
        <v>330</v>
      </c>
      <c r="C989">
        <v>410470012002</v>
      </c>
      <c r="D989">
        <v>1.572E-3</v>
      </c>
    </row>
    <row r="990" spans="1:4" x14ac:dyDescent="0.25">
      <c r="A990">
        <v>338</v>
      </c>
      <c r="B990">
        <v>333</v>
      </c>
      <c r="C990">
        <v>410470010002</v>
      </c>
      <c r="D990">
        <v>22.712921000000001</v>
      </c>
    </row>
    <row r="991" spans="1:4" x14ac:dyDescent="0.25">
      <c r="A991">
        <v>338</v>
      </c>
      <c r="B991">
        <v>333</v>
      </c>
      <c r="C991">
        <v>410470011001</v>
      </c>
      <c r="D991">
        <v>75.581648000000001</v>
      </c>
    </row>
    <row r="992" spans="1:4" x14ac:dyDescent="0.25">
      <c r="A992">
        <v>338</v>
      </c>
      <c r="B992">
        <v>333</v>
      </c>
      <c r="C992">
        <v>410470011002</v>
      </c>
      <c r="D992">
        <v>1.0968770000000001</v>
      </c>
    </row>
    <row r="993" spans="1:4" x14ac:dyDescent="0.25">
      <c r="A993">
        <v>338</v>
      </c>
      <c r="B993">
        <v>333</v>
      </c>
      <c r="C993">
        <v>410470012002</v>
      </c>
      <c r="D993">
        <v>0.60856100000000002</v>
      </c>
    </row>
    <row r="994" spans="1:4" x14ac:dyDescent="0.25">
      <c r="A994">
        <v>339</v>
      </c>
      <c r="B994">
        <v>319</v>
      </c>
      <c r="C994">
        <v>410470021011</v>
      </c>
      <c r="D994">
        <v>97.926873000000001</v>
      </c>
    </row>
    <row r="995" spans="1:4" x14ac:dyDescent="0.25">
      <c r="A995">
        <v>339</v>
      </c>
      <c r="B995">
        <v>319</v>
      </c>
      <c r="C995">
        <v>410470022011</v>
      </c>
      <c r="D995">
        <v>3.7345999999999997E-2</v>
      </c>
    </row>
    <row r="996" spans="1:4" x14ac:dyDescent="0.25">
      <c r="A996">
        <v>339</v>
      </c>
      <c r="B996">
        <v>319</v>
      </c>
      <c r="C996">
        <v>410470022012</v>
      </c>
      <c r="D996">
        <v>2.0026419999999998</v>
      </c>
    </row>
    <row r="997" spans="1:4" x14ac:dyDescent="0.25">
      <c r="A997">
        <v>339</v>
      </c>
      <c r="B997">
        <v>319</v>
      </c>
      <c r="C997">
        <v>410470022022</v>
      </c>
      <c r="D997">
        <v>3.3120999999999998E-2</v>
      </c>
    </row>
    <row r="998" spans="1:4" x14ac:dyDescent="0.25">
      <c r="A998">
        <v>340</v>
      </c>
      <c r="B998">
        <v>330</v>
      </c>
      <c r="C998">
        <v>410470011002</v>
      </c>
      <c r="D998">
        <v>0.93469999999999998</v>
      </c>
    </row>
    <row r="999" spans="1:4" x14ac:dyDescent="0.25">
      <c r="A999">
        <v>340</v>
      </c>
      <c r="B999">
        <v>330</v>
      </c>
      <c r="C999">
        <v>410470011003</v>
      </c>
      <c r="D999">
        <v>91.220438999999999</v>
      </c>
    </row>
    <row r="1000" spans="1:4" x14ac:dyDescent="0.25">
      <c r="A1000">
        <v>340</v>
      </c>
      <c r="B1000">
        <v>330</v>
      </c>
      <c r="C1000">
        <v>410470021011</v>
      </c>
      <c r="D1000">
        <v>7.8448700000000002</v>
      </c>
    </row>
    <row r="1001" spans="1:4" x14ac:dyDescent="0.25">
      <c r="A1001">
        <v>341</v>
      </c>
      <c r="B1001">
        <v>330</v>
      </c>
      <c r="C1001">
        <v>410470011001</v>
      </c>
      <c r="D1001">
        <v>3.0000000000000001E-6</v>
      </c>
    </row>
    <row r="1002" spans="1:4" x14ac:dyDescent="0.25">
      <c r="A1002">
        <v>341</v>
      </c>
      <c r="B1002">
        <v>330</v>
      </c>
      <c r="C1002">
        <v>410470011002</v>
      </c>
      <c r="D1002">
        <v>1.0807370000000001</v>
      </c>
    </row>
    <row r="1003" spans="1:4" x14ac:dyDescent="0.25">
      <c r="A1003">
        <v>341</v>
      </c>
      <c r="B1003">
        <v>330</v>
      </c>
      <c r="C1003">
        <v>410470011003</v>
      </c>
      <c r="D1003">
        <v>98.919253999999995</v>
      </c>
    </row>
    <row r="1004" spans="1:4" x14ac:dyDescent="0.25">
      <c r="A1004">
        <v>342</v>
      </c>
      <c r="B1004">
        <v>339</v>
      </c>
      <c r="C1004">
        <v>410470011001</v>
      </c>
      <c r="D1004">
        <v>98.392981000000006</v>
      </c>
    </row>
    <row r="1005" spans="1:4" x14ac:dyDescent="0.25">
      <c r="A1005">
        <v>342</v>
      </c>
      <c r="B1005">
        <v>339</v>
      </c>
      <c r="C1005">
        <v>410470011002</v>
      </c>
      <c r="D1005">
        <v>1.2385360000000001</v>
      </c>
    </row>
    <row r="1006" spans="1:4" x14ac:dyDescent="0.25">
      <c r="A1006">
        <v>342</v>
      </c>
      <c r="B1006">
        <v>339</v>
      </c>
      <c r="C1006">
        <v>410470011003</v>
      </c>
      <c r="D1006">
        <v>0.36848799999999998</v>
      </c>
    </row>
    <row r="1007" spans="1:4" x14ac:dyDescent="0.25">
      <c r="A1007">
        <v>343</v>
      </c>
      <c r="B1007">
        <v>354</v>
      </c>
      <c r="C1007">
        <v>410470010002</v>
      </c>
      <c r="D1007">
        <v>94.648352000000003</v>
      </c>
    </row>
    <row r="1008" spans="1:4" x14ac:dyDescent="0.25">
      <c r="A1008">
        <v>343</v>
      </c>
      <c r="B1008">
        <v>354</v>
      </c>
      <c r="C1008">
        <v>410470010003</v>
      </c>
      <c r="D1008">
        <v>0.24682399999999999</v>
      </c>
    </row>
    <row r="1009" spans="1:4" x14ac:dyDescent="0.25">
      <c r="A1009">
        <v>343</v>
      </c>
      <c r="B1009">
        <v>354</v>
      </c>
      <c r="C1009">
        <v>410470011001</v>
      </c>
      <c r="D1009">
        <v>3.4096090000000001</v>
      </c>
    </row>
    <row r="1010" spans="1:4" x14ac:dyDescent="0.25">
      <c r="A1010">
        <v>343</v>
      </c>
      <c r="B1010">
        <v>354</v>
      </c>
      <c r="C1010">
        <v>410470011002</v>
      </c>
      <c r="D1010">
        <v>1.695217</v>
      </c>
    </row>
    <row r="1011" spans="1:4" x14ac:dyDescent="0.25">
      <c r="A1011">
        <v>344</v>
      </c>
      <c r="B1011">
        <v>354</v>
      </c>
      <c r="C1011">
        <v>410470010002</v>
      </c>
      <c r="D1011">
        <v>98.526467999999994</v>
      </c>
    </row>
    <row r="1012" spans="1:4" x14ac:dyDescent="0.25">
      <c r="A1012">
        <v>344</v>
      </c>
      <c r="B1012">
        <v>354</v>
      </c>
      <c r="C1012">
        <v>410470010003</v>
      </c>
      <c r="D1012">
        <v>1.4735320000000001</v>
      </c>
    </row>
    <row r="1013" spans="1:4" x14ac:dyDescent="0.25">
      <c r="A1013">
        <v>345</v>
      </c>
      <c r="B1013">
        <v>289</v>
      </c>
      <c r="C1013">
        <v>410470024001</v>
      </c>
      <c r="D1013">
        <v>99.832139999999995</v>
      </c>
    </row>
    <row r="1014" spans="1:4" x14ac:dyDescent="0.25">
      <c r="A1014">
        <v>345</v>
      </c>
      <c r="B1014">
        <v>289</v>
      </c>
      <c r="C1014">
        <v>410470024002</v>
      </c>
      <c r="D1014">
        <v>0.16786000000000001</v>
      </c>
    </row>
    <row r="1015" spans="1:4" x14ac:dyDescent="0.25">
      <c r="A1015">
        <v>346</v>
      </c>
      <c r="B1015">
        <v>311</v>
      </c>
      <c r="C1015">
        <v>410470022021</v>
      </c>
      <c r="D1015">
        <v>95.895387999999997</v>
      </c>
    </row>
    <row r="1016" spans="1:4" x14ac:dyDescent="0.25">
      <c r="A1016">
        <v>346</v>
      </c>
      <c r="B1016">
        <v>311</v>
      </c>
      <c r="C1016">
        <v>410470024001</v>
      </c>
      <c r="D1016">
        <v>4.1046110000000002</v>
      </c>
    </row>
    <row r="1017" spans="1:4" x14ac:dyDescent="0.25">
      <c r="A1017">
        <v>347</v>
      </c>
      <c r="B1017">
        <v>312</v>
      </c>
      <c r="C1017">
        <v>410470022011</v>
      </c>
      <c r="D1017">
        <v>8.2554000000000002E-2</v>
      </c>
    </row>
    <row r="1018" spans="1:4" x14ac:dyDescent="0.25">
      <c r="A1018">
        <v>347</v>
      </c>
      <c r="B1018">
        <v>312</v>
      </c>
      <c r="C1018">
        <v>410470022012</v>
      </c>
      <c r="D1018">
        <v>8.4597000000000006E-2</v>
      </c>
    </row>
    <row r="1019" spans="1:4" x14ac:dyDescent="0.25">
      <c r="A1019">
        <v>347</v>
      </c>
      <c r="B1019">
        <v>312</v>
      </c>
      <c r="C1019">
        <v>410470022021</v>
      </c>
      <c r="D1019">
        <v>52.327015000000003</v>
      </c>
    </row>
    <row r="1020" spans="1:4" x14ac:dyDescent="0.25">
      <c r="A1020">
        <v>347</v>
      </c>
      <c r="B1020">
        <v>312</v>
      </c>
      <c r="C1020">
        <v>410470022022</v>
      </c>
      <c r="D1020">
        <v>47.505830000000003</v>
      </c>
    </row>
    <row r="1021" spans="1:4" x14ac:dyDescent="0.25">
      <c r="A1021">
        <v>348</v>
      </c>
      <c r="B1021">
        <v>320</v>
      </c>
      <c r="C1021">
        <v>410470021011</v>
      </c>
      <c r="D1021">
        <v>42.593544000000001</v>
      </c>
    </row>
    <row r="1022" spans="1:4" x14ac:dyDescent="0.25">
      <c r="A1022">
        <v>348</v>
      </c>
      <c r="B1022">
        <v>320</v>
      </c>
      <c r="C1022">
        <v>410470021012</v>
      </c>
      <c r="D1022">
        <v>54.744719000000003</v>
      </c>
    </row>
    <row r="1023" spans="1:4" x14ac:dyDescent="0.25">
      <c r="A1023">
        <v>348</v>
      </c>
      <c r="B1023">
        <v>320</v>
      </c>
      <c r="C1023">
        <v>410470021021</v>
      </c>
      <c r="D1023">
        <v>1.6131759999999999</v>
      </c>
    </row>
    <row r="1024" spans="1:4" x14ac:dyDescent="0.25">
      <c r="A1024">
        <v>348</v>
      </c>
      <c r="B1024">
        <v>320</v>
      </c>
      <c r="C1024">
        <v>410470022021</v>
      </c>
      <c r="D1024">
        <v>2.3282000000000001E-2</v>
      </c>
    </row>
    <row r="1025" spans="1:4" x14ac:dyDescent="0.25">
      <c r="A1025">
        <v>348</v>
      </c>
      <c r="B1025">
        <v>320</v>
      </c>
      <c r="C1025">
        <v>410470022022</v>
      </c>
      <c r="D1025">
        <v>1.0252859999999999</v>
      </c>
    </row>
    <row r="1026" spans="1:4" x14ac:dyDescent="0.25">
      <c r="A1026">
        <v>349</v>
      </c>
      <c r="B1026">
        <v>322</v>
      </c>
      <c r="C1026">
        <v>410470021011</v>
      </c>
      <c r="D1026">
        <v>41.807552000000001</v>
      </c>
    </row>
    <row r="1027" spans="1:4" x14ac:dyDescent="0.25">
      <c r="A1027">
        <v>349</v>
      </c>
      <c r="B1027">
        <v>322</v>
      </c>
      <c r="C1027">
        <v>410470021012</v>
      </c>
      <c r="D1027">
        <v>54.726148000000002</v>
      </c>
    </row>
    <row r="1028" spans="1:4" x14ac:dyDescent="0.25">
      <c r="A1028">
        <v>349</v>
      </c>
      <c r="B1028">
        <v>322</v>
      </c>
      <c r="C1028">
        <v>410470021021</v>
      </c>
      <c r="D1028">
        <v>3.4662739999999999</v>
      </c>
    </row>
    <row r="1029" spans="1:4" x14ac:dyDescent="0.25">
      <c r="A1029">
        <v>350</v>
      </c>
      <c r="B1029">
        <v>338</v>
      </c>
      <c r="C1029">
        <v>410470011002</v>
      </c>
      <c r="D1029">
        <v>90.339071000000004</v>
      </c>
    </row>
    <row r="1030" spans="1:4" x14ac:dyDescent="0.25">
      <c r="A1030">
        <v>350</v>
      </c>
      <c r="B1030">
        <v>338</v>
      </c>
      <c r="C1030">
        <v>410470011003</v>
      </c>
      <c r="D1030">
        <v>1.019279</v>
      </c>
    </row>
    <row r="1031" spans="1:4" x14ac:dyDescent="0.25">
      <c r="A1031">
        <v>350</v>
      </c>
      <c r="B1031">
        <v>338</v>
      </c>
      <c r="C1031">
        <v>410470021011</v>
      </c>
      <c r="D1031">
        <v>8.6416620000000002</v>
      </c>
    </row>
    <row r="1032" spans="1:4" x14ac:dyDescent="0.25">
      <c r="A1032">
        <v>351</v>
      </c>
      <c r="B1032">
        <v>341</v>
      </c>
      <c r="C1032">
        <v>410470011002</v>
      </c>
      <c r="D1032">
        <v>99.999988000000002</v>
      </c>
    </row>
    <row r="1033" spans="1:4" x14ac:dyDescent="0.25">
      <c r="A1033">
        <v>352</v>
      </c>
      <c r="B1033">
        <v>342</v>
      </c>
      <c r="C1033">
        <v>410470011002</v>
      </c>
      <c r="D1033">
        <v>99.743824000000004</v>
      </c>
    </row>
    <row r="1034" spans="1:4" x14ac:dyDescent="0.25">
      <c r="A1034">
        <v>352</v>
      </c>
      <c r="B1034">
        <v>342</v>
      </c>
      <c r="C1034">
        <v>410470020011</v>
      </c>
      <c r="D1034">
        <v>0.25617099999999998</v>
      </c>
    </row>
    <row r="1035" spans="1:4" x14ac:dyDescent="0.25">
      <c r="A1035">
        <v>353</v>
      </c>
      <c r="B1035">
        <v>337</v>
      </c>
      <c r="C1035">
        <v>410470010003</v>
      </c>
      <c r="D1035">
        <v>34.607067999999998</v>
      </c>
    </row>
    <row r="1036" spans="1:4" x14ac:dyDescent="0.25">
      <c r="A1036">
        <v>353</v>
      </c>
      <c r="B1036">
        <v>337</v>
      </c>
      <c r="C1036">
        <v>410470011002</v>
      </c>
      <c r="D1036">
        <v>65.392914000000005</v>
      </c>
    </row>
    <row r="1037" spans="1:4" x14ac:dyDescent="0.25">
      <c r="A1037">
        <v>354</v>
      </c>
      <c r="B1037">
        <v>342</v>
      </c>
      <c r="C1037">
        <v>410470010003</v>
      </c>
      <c r="D1037">
        <v>95.689926</v>
      </c>
    </row>
    <row r="1038" spans="1:4" x14ac:dyDescent="0.25">
      <c r="A1038">
        <v>354</v>
      </c>
      <c r="B1038">
        <v>342</v>
      </c>
      <c r="C1038">
        <v>410470011002</v>
      </c>
      <c r="D1038">
        <v>3.3263310000000001</v>
      </c>
    </row>
    <row r="1039" spans="1:4" x14ac:dyDescent="0.25">
      <c r="A1039">
        <v>354</v>
      </c>
      <c r="B1039">
        <v>342</v>
      </c>
      <c r="C1039">
        <v>410470020011</v>
      </c>
      <c r="D1039">
        <v>0.98378299999999996</v>
      </c>
    </row>
    <row r="1040" spans="1:4" x14ac:dyDescent="0.25">
      <c r="A1040">
        <v>355</v>
      </c>
      <c r="B1040">
        <v>341</v>
      </c>
      <c r="C1040">
        <v>410470011002</v>
      </c>
      <c r="D1040">
        <v>99.995294999999999</v>
      </c>
    </row>
    <row r="1041" spans="1:4" x14ac:dyDescent="0.25">
      <c r="A1041">
        <v>355</v>
      </c>
      <c r="B1041">
        <v>341</v>
      </c>
      <c r="C1041">
        <v>410470020011</v>
      </c>
      <c r="D1041">
        <v>4.712E-3</v>
      </c>
    </row>
    <row r="1042" spans="1:4" x14ac:dyDescent="0.25">
      <c r="A1042">
        <v>356</v>
      </c>
      <c r="B1042">
        <v>341</v>
      </c>
      <c r="C1042">
        <v>410470011002</v>
      </c>
      <c r="D1042">
        <v>92.261516999999998</v>
      </c>
    </row>
    <row r="1043" spans="1:4" x14ac:dyDescent="0.25">
      <c r="A1043">
        <v>356</v>
      </c>
      <c r="B1043">
        <v>341</v>
      </c>
      <c r="C1043">
        <v>410470020011</v>
      </c>
      <c r="D1043">
        <v>1.036422</v>
      </c>
    </row>
    <row r="1044" spans="1:4" x14ac:dyDescent="0.25">
      <c r="A1044">
        <v>356</v>
      </c>
      <c r="B1044">
        <v>341</v>
      </c>
      <c r="C1044">
        <v>410470021011</v>
      </c>
      <c r="D1044">
        <v>0.93337599999999998</v>
      </c>
    </row>
    <row r="1045" spans="1:4" x14ac:dyDescent="0.25">
      <c r="A1045">
        <v>356</v>
      </c>
      <c r="B1045">
        <v>341</v>
      </c>
      <c r="C1045">
        <v>410470021012</v>
      </c>
      <c r="D1045">
        <v>1.3404910000000001</v>
      </c>
    </row>
    <row r="1046" spans="1:4" x14ac:dyDescent="0.25">
      <c r="A1046">
        <v>356</v>
      </c>
      <c r="B1046">
        <v>341</v>
      </c>
      <c r="C1046">
        <v>410470021021</v>
      </c>
      <c r="D1046">
        <v>4.4281470000000001</v>
      </c>
    </row>
    <row r="1047" spans="1:4" x14ac:dyDescent="0.25">
      <c r="A1047">
        <v>357</v>
      </c>
      <c r="B1047">
        <v>344</v>
      </c>
      <c r="C1047">
        <v>410470011002</v>
      </c>
      <c r="D1047">
        <v>0.92318599999999995</v>
      </c>
    </row>
    <row r="1048" spans="1:4" x14ac:dyDescent="0.25">
      <c r="A1048">
        <v>357</v>
      </c>
      <c r="B1048">
        <v>344</v>
      </c>
      <c r="C1048">
        <v>410470020011</v>
      </c>
      <c r="D1048">
        <v>99.075225000000003</v>
      </c>
    </row>
    <row r="1049" spans="1:4" x14ac:dyDescent="0.25">
      <c r="A1049">
        <v>357</v>
      </c>
      <c r="B1049">
        <v>344</v>
      </c>
      <c r="C1049">
        <v>410470021021</v>
      </c>
      <c r="D1049">
        <v>1.591E-3</v>
      </c>
    </row>
    <row r="1050" spans="1:4" x14ac:dyDescent="0.25">
      <c r="A1050">
        <v>358</v>
      </c>
      <c r="B1050">
        <v>325</v>
      </c>
      <c r="C1050">
        <v>410470021021</v>
      </c>
      <c r="D1050">
        <v>99.840969000000001</v>
      </c>
    </row>
    <row r="1051" spans="1:4" x14ac:dyDescent="0.25">
      <c r="A1051">
        <v>358</v>
      </c>
      <c r="B1051">
        <v>325</v>
      </c>
      <c r="C1051">
        <v>410470021022</v>
      </c>
      <c r="D1051">
        <v>4.8979999999999996E-3</v>
      </c>
    </row>
    <row r="1052" spans="1:4" x14ac:dyDescent="0.25">
      <c r="A1052">
        <v>358</v>
      </c>
      <c r="B1052">
        <v>325</v>
      </c>
      <c r="C1052">
        <v>410470021024</v>
      </c>
      <c r="D1052">
        <v>0.154137</v>
      </c>
    </row>
    <row r="1053" spans="1:4" x14ac:dyDescent="0.25">
      <c r="A1053">
        <v>359</v>
      </c>
      <c r="B1053">
        <v>324</v>
      </c>
      <c r="C1053">
        <v>410470021021</v>
      </c>
      <c r="D1053">
        <v>52.355822000000003</v>
      </c>
    </row>
    <row r="1054" spans="1:4" x14ac:dyDescent="0.25">
      <c r="A1054">
        <v>359</v>
      </c>
      <c r="B1054">
        <v>324</v>
      </c>
      <c r="C1054">
        <v>410470021022</v>
      </c>
      <c r="D1054">
        <v>46.617916999999998</v>
      </c>
    </row>
    <row r="1055" spans="1:4" x14ac:dyDescent="0.25">
      <c r="A1055">
        <v>359</v>
      </c>
      <c r="B1055">
        <v>324</v>
      </c>
      <c r="C1055">
        <v>410470021023</v>
      </c>
      <c r="D1055">
        <v>0.135713</v>
      </c>
    </row>
    <row r="1056" spans="1:4" x14ac:dyDescent="0.25">
      <c r="A1056">
        <v>359</v>
      </c>
      <c r="B1056">
        <v>324</v>
      </c>
      <c r="C1056">
        <v>410470022021</v>
      </c>
      <c r="D1056">
        <v>0.74513099999999999</v>
      </c>
    </row>
    <row r="1057" spans="1:4" x14ac:dyDescent="0.25">
      <c r="A1057">
        <v>359</v>
      </c>
      <c r="B1057">
        <v>324</v>
      </c>
      <c r="C1057">
        <v>410470022023</v>
      </c>
      <c r="D1057">
        <v>0.14541100000000001</v>
      </c>
    </row>
    <row r="1058" spans="1:4" x14ac:dyDescent="0.25">
      <c r="A1058">
        <v>360</v>
      </c>
      <c r="B1058">
        <v>315</v>
      </c>
      <c r="C1058">
        <v>410470022021</v>
      </c>
      <c r="D1058">
        <v>87.327307000000005</v>
      </c>
    </row>
    <row r="1059" spans="1:4" x14ac:dyDescent="0.25">
      <c r="A1059">
        <v>360</v>
      </c>
      <c r="B1059">
        <v>315</v>
      </c>
      <c r="C1059">
        <v>410470022022</v>
      </c>
      <c r="D1059">
        <v>11.576599</v>
      </c>
    </row>
    <row r="1060" spans="1:4" x14ac:dyDescent="0.25">
      <c r="A1060">
        <v>360</v>
      </c>
      <c r="B1060">
        <v>315</v>
      </c>
      <c r="C1060">
        <v>410470022023</v>
      </c>
      <c r="D1060">
        <v>1.096095</v>
      </c>
    </row>
    <row r="1061" spans="1:4" x14ac:dyDescent="0.25">
      <c r="A1061">
        <v>361</v>
      </c>
      <c r="B1061">
        <v>310</v>
      </c>
      <c r="C1061">
        <v>410470022021</v>
      </c>
      <c r="D1061">
        <v>94.633486000000005</v>
      </c>
    </row>
    <row r="1062" spans="1:4" x14ac:dyDescent="0.25">
      <c r="A1062">
        <v>361</v>
      </c>
      <c r="B1062">
        <v>310</v>
      </c>
      <c r="C1062">
        <v>410470022023</v>
      </c>
      <c r="D1062">
        <v>0.95450999999999997</v>
      </c>
    </row>
    <row r="1063" spans="1:4" x14ac:dyDescent="0.25">
      <c r="A1063">
        <v>361</v>
      </c>
      <c r="B1063">
        <v>310</v>
      </c>
      <c r="C1063">
        <v>410470024001</v>
      </c>
      <c r="D1063">
        <v>4.4120039999999996</v>
      </c>
    </row>
    <row r="1064" spans="1:4" x14ac:dyDescent="0.25">
      <c r="A1064">
        <v>362</v>
      </c>
      <c r="B1064">
        <v>314</v>
      </c>
      <c r="C1064">
        <v>410470022021</v>
      </c>
      <c r="D1064">
        <v>94.170179000000005</v>
      </c>
    </row>
    <row r="1065" spans="1:4" x14ac:dyDescent="0.25">
      <c r="A1065">
        <v>362</v>
      </c>
      <c r="B1065">
        <v>314</v>
      </c>
      <c r="C1065">
        <v>410470024001</v>
      </c>
      <c r="D1065">
        <v>3.403035</v>
      </c>
    </row>
    <row r="1066" spans="1:4" x14ac:dyDescent="0.25">
      <c r="A1066">
        <v>362</v>
      </c>
      <c r="B1066">
        <v>314</v>
      </c>
      <c r="C1066">
        <v>410470024002</v>
      </c>
      <c r="D1066">
        <v>2.4267799999999999</v>
      </c>
    </row>
    <row r="1067" spans="1:4" x14ac:dyDescent="0.25">
      <c r="A1067">
        <v>363</v>
      </c>
      <c r="B1067">
        <v>369</v>
      </c>
      <c r="C1067">
        <v>410470022021</v>
      </c>
      <c r="D1067">
        <v>27.453890999999999</v>
      </c>
    </row>
    <row r="1068" spans="1:4" x14ac:dyDescent="0.25">
      <c r="A1068">
        <v>363</v>
      </c>
      <c r="B1068">
        <v>369</v>
      </c>
      <c r="C1068">
        <v>410470022023</v>
      </c>
      <c r="D1068">
        <v>70.137929999999997</v>
      </c>
    </row>
    <row r="1069" spans="1:4" x14ac:dyDescent="0.25">
      <c r="A1069">
        <v>363</v>
      </c>
      <c r="B1069">
        <v>369</v>
      </c>
      <c r="C1069">
        <v>410470024001</v>
      </c>
      <c r="D1069">
        <v>2.3170829999999998</v>
      </c>
    </row>
    <row r="1070" spans="1:4" x14ac:dyDescent="0.25">
      <c r="A1070">
        <v>363</v>
      </c>
      <c r="B1070">
        <v>369</v>
      </c>
      <c r="C1070">
        <v>410470024002</v>
      </c>
      <c r="D1070">
        <v>9.1095999999999996E-2</v>
      </c>
    </row>
    <row r="1071" spans="1:4" x14ac:dyDescent="0.25">
      <c r="A1071">
        <v>364</v>
      </c>
      <c r="B1071">
        <v>315</v>
      </c>
      <c r="C1071">
        <v>410470022023</v>
      </c>
      <c r="D1071">
        <v>99.999999000000003</v>
      </c>
    </row>
    <row r="1072" spans="1:4" x14ac:dyDescent="0.25">
      <c r="A1072">
        <v>365</v>
      </c>
      <c r="B1072">
        <v>370</v>
      </c>
      <c r="C1072">
        <v>410470021023</v>
      </c>
      <c r="D1072">
        <v>1.1643000000000001E-2</v>
      </c>
    </row>
    <row r="1073" spans="1:4" x14ac:dyDescent="0.25">
      <c r="A1073">
        <v>365</v>
      </c>
      <c r="B1073">
        <v>370</v>
      </c>
      <c r="C1073">
        <v>410470022023</v>
      </c>
      <c r="D1073">
        <v>96.904906999999994</v>
      </c>
    </row>
    <row r="1074" spans="1:4" x14ac:dyDescent="0.25">
      <c r="A1074">
        <v>365</v>
      </c>
      <c r="B1074">
        <v>370</v>
      </c>
      <c r="C1074">
        <v>410470023011</v>
      </c>
      <c r="D1074">
        <v>3.0834359999999998</v>
      </c>
    </row>
    <row r="1075" spans="1:4" x14ac:dyDescent="0.25">
      <c r="A1075">
        <v>365</v>
      </c>
      <c r="B1075">
        <v>370</v>
      </c>
      <c r="C1075">
        <v>410470023031</v>
      </c>
      <c r="D1075">
        <v>1.2E-5</v>
      </c>
    </row>
    <row r="1076" spans="1:4" x14ac:dyDescent="0.25">
      <c r="A1076">
        <v>366</v>
      </c>
      <c r="B1076">
        <v>371</v>
      </c>
      <c r="C1076">
        <v>410470021023</v>
      </c>
      <c r="D1076">
        <v>99.400053</v>
      </c>
    </row>
    <row r="1077" spans="1:4" x14ac:dyDescent="0.25">
      <c r="A1077">
        <v>366</v>
      </c>
      <c r="B1077">
        <v>371</v>
      </c>
      <c r="C1077">
        <v>410470022023</v>
      </c>
      <c r="D1077">
        <v>0.59994599999999998</v>
      </c>
    </row>
    <row r="1078" spans="1:4" x14ac:dyDescent="0.25">
      <c r="A1078">
        <v>367</v>
      </c>
      <c r="B1078">
        <v>371</v>
      </c>
      <c r="C1078">
        <v>410470021022</v>
      </c>
      <c r="D1078">
        <v>0.11634899999999999</v>
      </c>
    </row>
    <row r="1079" spans="1:4" x14ac:dyDescent="0.25">
      <c r="A1079">
        <v>367</v>
      </c>
      <c r="B1079">
        <v>371</v>
      </c>
      <c r="C1079">
        <v>410470021023</v>
      </c>
      <c r="D1079">
        <v>69.831442999999993</v>
      </c>
    </row>
    <row r="1080" spans="1:4" x14ac:dyDescent="0.25">
      <c r="A1080">
        <v>367</v>
      </c>
      <c r="B1080">
        <v>371</v>
      </c>
      <c r="C1080">
        <v>410470021024</v>
      </c>
      <c r="D1080">
        <v>6.6045999999999994E-2</v>
      </c>
    </row>
    <row r="1081" spans="1:4" x14ac:dyDescent="0.25">
      <c r="A1081">
        <v>367</v>
      </c>
      <c r="B1081">
        <v>371</v>
      </c>
      <c r="C1081">
        <v>410470022023</v>
      </c>
      <c r="D1081">
        <v>0.29745899999999997</v>
      </c>
    </row>
    <row r="1082" spans="1:4" x14ac:dyDescent="0.25">
      <c r="A1082">
        <v>367</v>
      </c>
      <c r="B1082">
        <v>371</v>
      </c>
      <c r="C1082">
        <v>410470023011</v>
      </c>
      <c r="D1082">
        <v>8.8568999999999995E-2</v>
      </c>
    </row>
    <row r="1083" spans="1:4" x14ac:dyDescent="0.25">
      <c r="A1083">
        <v>367</v>
      </c>
      <c r="B1083">
        <v>371</v>
      </c>
      <c r="C1083">
        <v>410470023031</v>
      </c>
      <c r="D1083">
        <v>29.549862999999998</v>
      </c>
    </row>
    <row r="1084" spans="1:4" x14ac:dyDescent="0.25">
      <c r="A1084">
        <v>367</v>
      </c>
      <c r="B1084">
        <v>371</v>
      </c>
      <c r="C1084">
        <v>410470023032</v>
      </c>
      <c r="D1084">
        <v>5.0265999999999998E-2</v>
      </c>
    </row>
    <row r="1085" spans="1:4" x14ac:dyDescent="0.25">
      <c r="A1085">
        <v>368</v>
      </c>
      <c r="B1085">
        <v>372</v>
      </c>
      <c r="C1085">
        <v>410470021021</v>
      </c>
      <c r="D1085">
        <v>9.0360000000000006E-3</v>
      </c>
    </row>
    <row r="1086" spans="1:4" x14ac:dyDescent="0.25">
      <c r="A1086">
        <v>368</v>
      </c>
      <c r="B1086">
        <v>372</v>
      </c>
      <c r="C1086">
        <v>410470021022</v>
      </c>
      <c r="D1086">
        <v>0.12031</v>
      </c>
    </row>
    <row r="1087" spans="1:4" x14ac:dyDescent="0.25">
      <c r="A1087">
        <v>368</v>
      </c>
      <c r="B1087">
        <v>372</v>
      </c>
      <c r="C1087">
        <v>410470021023</v>
      </c>
      <c r="D1087">
        <v>4.0509999999999997E-2</v>
      </c>
    </row>
    <row r="1088" spans="1:4" x14ac:dyDescent="0.25">
      <c r="A1088">
        <v>368</v>
      </c>
      <c r="B1088">
        <v>372</v>
      </c>
      <c r="C1088">
        <v>410470021024</v>
      </c>
      <c r="D1088">
        <v>77.625123000000002</v>
      </c>
    </row>
    <row r="1089" spans="1:4" x14ac:dyDescent="0.25">
      <c r="A1089">
        <v>368</v>
      </c>
      <c r="B1089">
        <v>372</v>
      </c>
      <c r="C1089">
        <v>410470023031</v>
      </c>
      <c r="D1089">
        <v>8.6499999999999999E-4</v>
      </c>
    </row>
    <row r="1090" spans="1:4" x14ac:dyDescent="0.25">
      <c r="A1090">
        <v>368</v>
      </c>
      <c r="B1090">
        <v>372</v>
      </c>
      <c r="C1090">
        <v>410470023032</v>
      </c>
      <c r="D1090">
        <v>22.181992000000001</v>
      </c>
    </row>
    <row r="1091" spans="1:4" x14ac:dyDescent="0.25">
      <c r="A1091">
        <v>368</v>
      </c>
      <c r="B1091">
        <v>372</v>
      </c>
      <c r="C1091">
        <v>410470023033</v>
      </c>
      <c r="D1091">
        <v>2.2164E-2</v>
      </c>
    </row>
    <row r="1092" spans="1:4" x14ac:dyDescent="0.25">
      <c r="A1092">
        <v>369</v>
      </c>
      <c r="B1092">
        <v>377</v>
      </c>
      <c r="C1092">
        <v>410470020011</v>
      </c>
      <c r="D1092">
        <v>3.9946000000000002E-2</v>
      </c>
    </row>
    <row r="1093" spans="1:4" x14ac:dyDescent="0.25">
      <c r="A1093">
        <v>369</v>
      </c>
      <c r="B1093">
        <v>377</v>
      </c>
      <c r="C1093">
        <v>410470020012</v>
      </c>
      <c r="D1093">
        <v>0.144235</v>
      </c>
    </row>
    <row r="1094" spans="1:4" x14ac:dyDescent="0.25">
      <c r="A1094">
        <v>369</v>
      </c>
      <c r="B1094">
        <v>377</v>
      </c>
      <c r="C1094">
        <v>410470021021</v>
      </c>
      <c r="D1094">
        <v>0.61307299999999998</v>
      </c>
    </row>
    <row r="1095" spans="1:4" x14ac:dyDescent="0.25">
      <c r="A1095">
        <v>369</v>
      </c>
      <c r="B1095">
        <v>377</v>
      </c>
      <c r="C1095">
        <v>410470021024</v>
      </c>
      <c r="D1095">
        <v>77.875152999999997</v>
      </c>
    </row>
    <row r="1096" spans="1:4" x14ac:dyDescent="0.25">
      <c r="A1096">
        <v>369</v>
      </c>
      <c r="B1096">
        <v>377</v>
      </c>
      <c r="C1096">
        <v>410470023033</v>
      </c>
      <c r="D1096">
        <v>21.327591999999999</v>
      </c>
    </row>
    <row r="1097" spans="1:4" x14ac:dyDescent="0.25">
      <c r="A1097">
        <v>370</v>
      </c>
      <c r="B1097">
        <v>344</v>
      </c>
      <c r="C1097">
        <v>410470020011</v>
      </c>
      <c r="D1097">
        <v>97.950871000000006</v>
      </c>
    </row>
    <row r="1098" spans="1:4" x14ac:dyDescent="0.25">
      <c r="A1098">
        <v>370</v>
      </c>
      <c r="B1098">
        <v>344</v>
      </c>
      <c r="C1098">
        <v>410470021024</v>
      </c>
      <c r="D1098">
        <v>2.0490339999999998</v>
      </c>
    </row>
    <row r="1099" spans="1:4" x14ac:dyDescent="0.25">
      <c r="A1099">
        <v>371</v>
      </c>
      <c r="B1099">
        <v>378</v>
      </c>
      <c r="C1099">
        <v>410470020011</v>
      </c>
      <c r="D1099">
        <v>92.446983000000003</v>
      </c>
    </row>
    <row r="1100" spans="1:4" x14ac:dyDescent="0.25">
      <c r="A1100">
        <v>371</v>
      </c>
      <c r="B1100">
        <v>378</v>
      </c>
      <c r="C1100">
        <v>410470020012</v>
      </c>
      <c r="D1100">
        <v>7.5530309999999998</v>
      </c>
    </row>
    <row r="1101" spans="1:4" x14ac:dyDescent="0.25">
      <c r="A1101">
        <v>372</v>
      </c>
      <c r="B1101">
        <v>378</v>
      </c>
      <c r="C1101">
        <v>410470020011</v>
      </c>
      <c r="D1101">
        <v>58.181368999999997</v>
      </c>
    </row>
    <row r="1102" spans="1:4" x14ac:dyDescent="0.25">
      <c r="A1102">
        <v>372</v>
      </c>
      <c r="B1102">
        <v>378</v>
      </c>
      <c r="C1102">
        <v>410470020012</v>
      </c>
      <c r="D1102">
        <v>41.818631000000003</v>
      </c>
    </row>
    <row r="1103" spans="1:4" x14ac:dyDescent="0.25">
      <c r="A1103">
        <v>373</v>
      </c>
      <c r="B1103">
        <v>381</v>
      </c>
      <c r="C1103">
        <v>410470020012</v>
      </c>
      <c r="D1103">
        <v>3.2516219999999998</v>
      </c>
    </row>
    <row r="1104" spans="1:4" x14ac:dyDescent="0.25">
      <c r="A1104">
        <v>373</v>
      </c>
      <c r="B1104">
        <v>381</v>
      </c>
      <c r="C1104">
        <v>410470020021</v>
      </c>
      <c r="D1104">
        <v>96.125606000000005</v>
      </c>
    </row>
    <row r="1105" spans="1:4" x14ac:dyDescent="0.25">
      <c r="A1105">
        <v>373</v>
      </c>
      <c r="B1105">
        <v>381</v>
      </c>
      <c r="C1105">
        <v>410470020022</v>
      </c>
      <c r="D1105">
        <v>0.62276699999999996</v>
      </c>
    </row>
    <row r="1106" spans="1:4" x14ac:dyDescent="0.25">
      <c r="A1106">
        <v>374</v>
      </c>
      <c r="B1106">
        <v>381</v>
      </c>
      <c r="C1106">
        <v>410470020012</v>
      </c>
      <c r="D1106">
        <v>99.969052000000005</v>
      </c>
    </row>
    <row r="1107" spans="1:4" x14ac:dyDescent="0.25">
      <c r="A1107">
        <v>374</v>
      </c>
      <c r="B1107">
        <v>381</v>
      </c>
      <c r="C1107">
        <v>410470020021</v>
      </c>
      <c r="D1107">
        <v>3.0948E-2</v>
      </c>
    </row>
    <row r="1108" spans="1:4" x14ac:dyDescent="0.25">
      <c r="A1108">
        <v>375</v>
      </c>
      <c r="B1108">
        <v>378</v>
      </c>
      <c r="C1108">
        <v>410470020012</v>
      </c>
      <c r="D1108">
        <v>91.613906</v>
      </c>
    </row>
    <row r="1109" spans="1:4" x14ac:dyDescent="0.25">
      <c r="A1109">
        <v>375</v>
      </c>
      <c r="B1109">
        <v>378</v>
      </c>
      <c r="C1109">
        <v>410470023033</v>
      </c>
      <c r="D1109">
        <v>8.3861150000000002</v>
      </c>
    </row>
    <row r="1110" spans="1:4" x14ac:dyDescent="0.25">
      <c r="A1110">
        <v>376</v>
      </c>
      <c r="B1110">
        <v>374</v>
      </c>
      <c r="C1110">
        <v>410470023033</v>
      </c>
      <c r="D1110">
        <v>100.00001399999999</v>
      </c>
    </row>
    <row r="1111" spans="1:4" x14ac:dyDescent="0.25">
      <c r="A1111">
        <v>377</v>
      </c>
      <c r="B1111">
        <v>374</v>
      </c>
      <c r="C1111">
        <v>410470023032</v>
      </c>
      <c r="D1111">
        <v>0.11469699999999999</v>
      </c>
    </row>
    <row r="1112" spans="1:4" x14ac:dyDescent="0.25">
      <c r="A1112">
        <v>377</v>
      </c>
      <c r="B1112">
        <v>374</v>
      </c>
      <c r="C1112">
        <v>410470023033</v>
      </c>
      <c r="D1112">
        <v>99.885309000000007</v>
      </c>
    </row>
    <row r="1113" spans="1:4" x14ac:dyDescent="0.25">
      <c r="A1113">
        <v>378</v>
      </c>
      <c r="B1113">
        <v>385</v>
      </c>
      <c r="C1113">
        <v>410470023031</v>
      </c>
      <c r="D1113">
        <v>29.673134999999998</v>
      </c>
    </row>
    <row r="1114" spans="1:4" x14ac:dyDescent="0.25">
      <c r="A1114">
        <v>378</v>
      </c>
      <c r="B1114">
        <v>385</v>
      </c>
      <c r="C1114">
        <v>410470023032</v>
      </c>
      <c r="D1114">
        <v>70.295845999999997</v>
      </c>
    </row>
    <row r="1115" spans="1:4" x14ac:dyDescent="0.25">
      <c r="A1115">
        <v>378</v>
      </c>
      <c r="B1115">
        <v>385</v>
      </c>
      <c r="C1115">
        <v>410470023033</v>
      </c>
      <c r="D1115">
        <v>3.1019999999999999E-2</v>
      </c>
    </row>
    <row r="1116" spans="1:4" x14ac:dyDescent="0.25">
      <c r="A1116">
        <v>379</v>
      </c>
      <c r="B1116">
        <v>371</v>
      </c>
      <c r="C1116">
        <v>410470023011</v>
      </c>
      <c r="D1116">
        <v>0.17688499999999999</v>
      </c>
    </row>
    <row r="1117" spans="1:4" x14ac:dyDescent="0.25">
      <c r="A1117">
        <v>379</v>
      </c>
      <c r="B1117">
        <v>371</v>
      </c>
      <c r="C1117">
        <v>410470023031</v>
      </c>
      <c r="D1117">
        <v>99.784959999999998</v>
      </c>
    </row>
    <row r="1118" spans="1:4" x14ac:dyDescent="0.25">
      <c r="A1118">
        <v>379</v>
      </c>
      <c r="B1118">
        <v>371</v>
      </c>
      <c r="C1118">
        <v>410470023032</v>
      </c>
      <c r="D1118">
        <v>3.8159999999999999E-2</v>
      </c>
    </row>
    <row r="1119" spans="1:4" x14ac:dyDescent="0.25">
      <c r="A1119">
        <v>380</v>
      </c>
      <c r="B1119">
        <v>370</v>
      </c>
      <c r="C1119">
        <v>410470022023</v>
      </c>
      <c r="D1119">
        <v>2.0674999999999999E-2</v>
      </c>
    </row>
    <row r="1120" spans="1:4" x14ac:dyDescent="0.25">
      <c r="A1120">
        <v>380</v>
      </c>
      <c r="B1120">
        <v>370</v>
      </c>
      <c r="C1120">
        <v>410470023011</v>
      </c>
      <c r="D1120">
        <v>78.120502000000002</v>
      </c>
    </row>
    <row r="1121" spans="1:4" x14ac:dyDescent="0.25">
      <c r="A1121">
        <v>380</v>
      </c>
      <c r="B1121">
        <v>370</v>
      </c>
      <c r="C1121">
        <v>410470023012</v>
      </c>
      <c r="D1121">
        <v>21.680548000000002</v>
      </c>
    </row>
    <row r="1122" spans="1:4" x14ac:dyDescent="0.25">
      <c r="A1122">
        <v>380</v>
      </c>
      <c r="B1122">
        <v>370</v>
      </c>
      <c r="C1122">
        <v>410470023031</v>
      </c>
      <c r="D1122">
        <v>5.1017E-2</v>
      </c>
    </row>
    <row r="1123" spans="1:4" x14ac:dyDescent="0.25">
      <c r="A1123">
        <v>380</v>
      </c>
      <c r="B1123">
        <v>370</v>
      </c>
      <c r="C1123">
        <v>410470024002</v>
      </c>
      <c r="D1123">
        <v>0.12725800000000001</v>
      </c>
    </row>
    <row r="1124" spans="1:4" x14ac:dyDescent="0.25">
      <c r="A1124">
        <v>381</v>
      </c>
      <c r="B1124">
        <v>369</v>
      </c>
      <c r="C1124">
        <v>410470022023</v>
      </c>
      <c r="D1124">
        <v>0.36985800000000002</v>
      </c>
    </row>
    <row r="1125" spans="1:4" x14ac:dyDescent="0.25">
      <c r="A1125">
        <v>381</v>
      </c>
      <c r="B1125">
        <v>369</v>
      </c>
      <c r="C1125">
        <v>410470023011</v>
      </c>
      <c r="D1125">
        <v>0.65898500000000004</v>
      </c>
    </row>
    <row r="1126" spans="1:4" x14ac:dyDescent="0.25">
      <c r="A1126">
        <v>381</v>
      </c>
      <c r="B1126">
        <v>369</v>
      </c>
      <c r="C1126">
        <v>410470024002</v>
      </c>
      <c r="D1126">
        <v>98.971155999999993</v>
      </c>
    </row>
    <row r="1127" spans="1:4" x14ac:dyDescent="0.25">
      <c r="A1127">
        <v>382</v>
      </c>
      <c r="B1127">
        <v>385</v>
      </c>
      <c r="C1127">
        <v>410470023011</v>
      </c>
      <c r="D1127">
        <v>2.3819E-2</v>
      </c>
    </row>
    <row r="1128" spans="1:4" x14ac:dyDescent="0.25">
      <c r="A1128">
        <v>382</v>
      </c>
      <c r="B1128">
        <v>385</v>
      </c>
      <c r="C1128">
        <v>410470023012</v>
      </c>
      <c r="D1128">
        <v>0.15826599999999999</v>
      </c>
    </row>
    <row r="1129" spans="1:4" x14ac:dyDescent="0.25">
      <c r="A1129">
        <v>382</v>
      </c>
      <c r="B1129">
        <v>385</v>
      </c>
      <c r="C1129">
        <v>410470023031</v>
      </c>
      <c r="D1129">
        <v>37.561990000000002</v>
      </c>
    </row>
    <row r="1130" spans="1:4" x14ac:dyDescent="0.25">
      <c r="A1130">
        <v>382</v>
      </c>
      <c r="B1130">
        <v>385</v>
      </c>
      <c r="C1130">
        <v>410470023041</v>
      </c>
      <c r="D1130">
        <v>62.255923000000003</v>
      </c>
    </row>
    <row r="1131" spans="1:4" x14ac:dyDescent="0.25">
      <c r="A1131">
        <v>383</v>
      </c>
      <c r="B1131">
        <v>385</v>
      </c>
      <c r="C1131">
        <v>410470023031</v>
      </c>
      <c r="D1131">
        <v>31.918792</v>
      </c>
    </row>
    <row r="1132" spans="1:4" x14ac:dyDescent="0.25">
      <c r="A1132">
        <v>383</v>
      </c>
      <c r="B1132">
        <v>385</v>
      </c>
      <c r="C1132">
        <v>410470023041</v>
      </c>
      <c r="D1132">
        <v>68.068911</v>
      </c>
    </row>
    <row r="1133" spans="1:4" x14ac:dyDescent="0.25">
      <c r="A1133">
        <v>383</v>
      </c>
      <c r="B1133">
        <v>385</v>
      </c>
      <c r="C1133">
        <v>410470023042</v>
      </c>
      <c r="D1133">
        <v>2.5000000000000001E-5</v>
      </c>
    </row>
    <row r="1134" spans="1:4" x14ac:dyDescent="0.25">
      <c r="A1134">
        <v>383</v>
      </c>
      <c r="B1134">
        <v>385</v>
      </c>
      <c r="C1134">
        <v>410470023043</v>
      </c>
      <c r="D1134">
        <v>1.2269E-2</v>
      </c>
    </row>
    <row r="1135" spans="1:4" x14ac:dyDescent="0.25">
      <c r="A1135">
        <v>384</v>
      </c>
      <c r="B1135">
        <v>385</v>
      </c>
      <c r="C1135">
        <v>410470023031</v>
      </c>
      <c r="D1135">
        <v>8.3749000000000004E-2</v>
      </c>
    </row>
    <row r="1136" spans="1:4" x14ac:dyDescent="0.25">
      <c r="A1136">
        <v>384</v>
      </c>
      <c r="B1136">
        <v>385</v>
      </c>
      <c r="C1136">
        <v>410470023032</v>
      </c>
      <c r="D1136">
        <v>9.1564000000000006E-2</v>
      </c>
    </row>
    <row r="1137" spans="1:4" x14ac:dyDescent="0.25">
      <c r="A1137">
        <v>384</v>
      </c>
      <c r="B1137">
        <v>385</v>
      </c>
      <c r="C1137">
        <v>410470023033</v>
      </c>
      <c r="D1137">
        <v>55.815244999999997</v>
      </c>
    </row>
    <row r="1138" spans="1:4" x14ac:dyDescent="0.25">
      <c r="A1138">
        <v>384</v>
      </c>
      <c r="B1138">
        <v>385</v>
      </c>
      <c r="C1138">
        <v>410470023041</v>
      </c>
      <c r="D1138">
        <v>5.3220000000000003E-2</v>
      </c>
    </row>
    <row r="1139" spans="1:4" x14ac:dyDescent="0.25">
      <c r="A1139">
        <v>384</v>
      </c>
      <c r="B1139">
        <v>385</v>
      </c>
      <c r="C1139">
        <v>410470023042</v>
      </c>
      <c r="D1139">
        <v>43.367415999999999</v>
      </c>
    </row>
    <row r="1140" spans="1:4" x14ac:dyDescent="0.25">
      <c r="A1140">
        <v>384</v>
      </c>
      <c r="B1140">
        <v>385</v>
      </c>
      <c r="C1140">
        <v>410470023043</v>
      </c>
      <c r="D1140">
        <v>0.58880399999999999</v>
      </c>
    </row>
    <row r="1141" spans="1:4" x14ac:dyDescent="0.25">
      <c r="A1141">
        <v>385</v>
      </c>
      <c r="B1141">
        <v>376</v>
      </c>
      <c r="C1141">
        <v>410470023033</v>
      </c>
      <c r="D1141">
        <v>19.452124999999999</v>
      </c>
    </row>
    <row r="1142" spans="1:4" x14ac:dyDescent="0.25">
      <c r="A1142">
        <v>385</v>
      </c>
      <c r="B1142">
        <v>376</v>
      </c>
      <c r="C1142">
        <v>410470023042</v>
      </c>
      <c r="D1142">
        <v>79.908069999999995</v>
      </c>
    </row>
    <row r="1143" spans="1:4" x14ac:dyDescent="0.25">
      <c r="A1143">
        <v>385</v>
      </c>
      <c r="B1143">
        <v>376</v>
      </c>
      <c r="C1143">
        <v>410470023043</v>
      </c>
      <c r="D1143">
        <v>0.639795</v>
      </c>
    </row>
    <row r="1144" spans="1:4" x14ac:dyDescent="0.25">
      <c r="A1144">
        <v>386</v>
      </c>
      <c r="B1144">
        <v>380</v>
      </c>
      <c r="C1144">
        <v>410470020012</v>
      </c>
      <c r="D1144">
        <v>94.341994999999997</v>
      </c>
    </row>
    <row r="1145" spans="1:4" x14ac:dyDescent="0.25">
      <c r="A1145">
        <v>386</v>
      </c>
      <c r="B1145">
        <v>380</v>
      </c>
      <c r="C1145">
        <v>410470020022</v>
      </c>
      <c r="D1145">
        <v>6.9775000000000004E-2</v>
      </c>
    </row>
    <row r="1146" spans="1:4" x14ac:dyDescent="0.25">
      <c r="A1146">
        <v>386</v>
      </c>
      <c r="B1146">
        <v>380</v>
      </c>
      <c r="C1146">
        <v>410470023033</v>
      </c>
      <c r="D1146">
        <v>3.0237889999999998</v>
      </c>
    </row>
    <row r="1147" spans="1:4" x14ac:dyDescent="0.25">
      <c r="A1147">
        <v>386</v>
      </c>
      <c r="B1147">
        <v>380</v>
      </c>
      <c r="C1147">
        <v>410470023042</v>
      </c>
      <c r="D1147">
        <v>2.555126</v>
      </c>
    </row>
    <row r="1148" spans="1:4" x14ac:dyDescent="0.25">
      <c r="A1148">
        <v>386</v>
      </c>
      <c r="B1148">
        <v>380</v>
      </c>
      <c r="C1148">
        <v>410470023043</v>
      </c>
      <c r="D1148">
        <v>9.3200000000000002E-3</v>
      </c>
    </row>
    <row r="1149" spans="1:4" x14ac:dyDescent="0.25">
      <c r="A1149">
        <v>387</v>
      </c>
      <c r="B1149">
        <v>381</v>
      </c>
      <c r="C1149">
        <v>410470020012</v>
      </c>
      <c r="D1149">
        <v>99.863037000000006</v>
      </c>
    </row>
    <row r="1150" spans="1:4" x14ac:dyDescent="0.25">
      <c r="A1150">
        <v>387</v>
      </c>
      <c r="B1150">
        <v>381</v>
      </c>
      <c r="C1150">
        <v>410470020021</v>
      </c>
      <c r="D1150">
        <v>5.7026E-2</v>
      </c>
    </row>
    <row r="1151" spans="1:4" x14ac:dyDescent="0.25">
      <c r="A1151">
        <v>387</v>
      </c>
      <c r="B1151">
        <v>381</v>
      </c>
      <c r="C1151">
        <v>410470020022</v>
      </c>
      <c r="D1151">
        <v>7.9944000000000001E-2</v>
      </c>
    </row>
    <row r="1152" spans="1:4" x14ac:dyDescent="0.25">
      <c r="A1152">
        <v>388</v>
      </c>
      <c r="B1152">
        <v>397</v>
      </c>
      <c r="C1152">
        <v>410470020012</v>
      </c>
      <c r="D1152">
        <v>6.8025000000000002E-2</v>
      </c>
    </row>
    <row r="1153" spans="1:4" x14ac:dyDescent="0.25">
      <c r="A1153">
        <v>388</v>
      </c>
      <c r="B1153">
        <v>397</v>
      </c>
      <c r="C1153">
        <v>410470020022</v>
      </c>
      <c r="D1153">
        <v>99.776653999999994</v>
      </c>
    </row>
    <row r="1154" spans="1:4" x14ac:dyDescent="0.25">
      <c r="A1154">
        <v>388</v>
      </c>
      <c r="B1154">
        <v>397</v>
      </c>
      <c r="C1154">
        <v>410470027013</v>
      </c>
      <c r="D1154">
        <v>0.15532299999999999</v>
      </c>
    </row>
    <row r="1155" spans="1:4" x14ac:dyDescent="0.25">
      <c r="A1155">
        <v>389</v>
      </c>
      <c r="B1155">
        <v>397</v>
      </c>
      <c r="C1155">
        <v>410470020012</v>
      </c>
      <c r="D1155">
        <v>2.3280000000000002E-3</v>
      </c>
    </row>
    <row r="1156" spans="1:4" x14ac:dyDescent="0.25">
      <c r="A1156">
        <v>389</v>
      </c>
      <c r="B1156">
        <v>397</v>
      </c>
      <c r="C1156">
        <v>410470020022</v>
      </c>
      <c r="D1156">
        <v>95.824682999999993</v>
      </c>
    </row>
    <row r="1157" spans="1:4" x14ac:dyDescent="0.25">
      <c r="A1157">
        <v>389</v>
      </c>
      <c r="B1157">
        <v>397</v>
      </c>
      <c r="C1157">
        <v>410470023043</v>
      </c>
      <c r="D1157">
        <v>1.102908</v>
      </c>
    </row>
    <row r="1158" spans="1:4" x14ac:dyDescent="0.25">
      <c r="A1158">
        <v>389</v>
      </c>
      <c r="B1158">
        <v>397</v>
      </c>
      <c r="C1158">
        <v>410470027013</v>
      </c>
      <c r="D1158">
        <v>2.7206350000000001</v>
      </c>
    </row>
    <row r="1159" spans="1:4" x14ac:dyDescent="0.25">
      <c r="A1159">
        <v>389</v>
      </c>
      <c r="B1159">
        <v>397</v>
      </c>
      <c r="C1159">
        <v>410470028002</v>
      </c>
      <c r="D1159">
        <v>0.34944599999999998</v>
      </c>
    </row>
    <row r="1160" spans="1:4" x14ac:dyDescent="0.25">
      <c r="A1160">
        <v>390</v>
      </c>
      <c r="B1160">
        <v>389</v>
      </c>
      <c r="C1160">
        <v>410470023041</v>
      </c>
      <c r="D1160">
        <v>0.19547700000000001</v>
      </c>
    </row>
    <row r="1161" spans="1:4" x14ac:dyDescent="0.25">
      <c r="A1161">
        <v>390</v>
      </c>
      <c r="B1161">
        <v>389</v>
      </c>
      <c r="C1161">
        <v>410470023042</v>
      </c>
      <c r="D1161">
        <v>0.111265</v>
      </c>
    </row>
    <row r="1162" spans="1:4" x14ac:dyDescent="0.25">
      <c r="A1162">
        <v>390</v>
      </c>
      <c r="B1162">
        <v>389</v>
      </c>
      <c r="C1162">
        <v>410470023043</v>
      </c>
      <c r="D1162">
        <v>54.908507999999998</v>
      </c>
    </row>
    <row r="1163" spans="1:4" x14ac:dyDescent="0.25">
      <c r="A1163">
        <v>390</v>
      </c>
      <c r="B1163">
        <v>389</v>
      </c>
      <c r="C1163">
        <v>410470023044</v>
      </c>
      <c r="D1163">
        <v>38.240946999999998</v>
      </c>
    </row>
    <row r="1164" spans="1:4" x14ac:dyDescent="0.25">
      <c r="A1164">
        <v>390</v>
      </c>
      <c r="B1164">
        <v>389</v>
      </c>
      <c r="C1164">
        <v>410470028002</v>
      </c>
      <c r="D1164">
        <v>6.5438029999999996</v>
      </c>
    </row>
    <row r="1165" spans="1:4" x14ac:dyDescent="0.25">
      <c r="A1165">
        <v>391</v>
      </c>
      <c r="B1165">
        <v>355</v>
      </c>
      <c r="C1165">
        <v>410470010002</v>
      </c>
      <c r="D1165">
        <v>0.48604900000000001</v>
      </c>
    </row>
    <row r="1166" spans="1:4" x14ac:dyDescent="0.25">
      <c r="A1166">
        <v>391</v>
      </c>
      <c r="B1166">
        <v>355</v>
      </c>
      <c r="C1166">
        <v>410470010003</v>
      </c>
      <c r="D1166">
        <v>99.513943999999995</v>
      </c>
    </row>
    <row r="1167" spans="1:4" x14ac:dyDescent="0.25">
      <c r="A1167">
        <v>392</v>
      </c>
      <c r="B1167">
        <v>358</v>
      </c>
      <c r="C1167">
        <v>410470010001</v>
      </c>
      <c r="D1167">
        <v>5.6016000000000003E-2</v>
      </c>
    </row>
    <row r="1168" spans="1:4" x14ac:dyDescent="0.25">
      <c r="A1168">
        <v>392</v>
      </c>
      <c r="B1168">
        <v>358</v>
      </c>
      <c r="C1168">
        <v>410470010002</v>
      </c>
      <c r="D1168">
        <v>8.5762000000000005E-2</v>
      </c>
    </row>
    <row r="1169" spans="1:4" x14ac:dyDescent="0.25">
      <c r="A1169">
        <v>392</v>
      </c>
      <c r="B1169">
        <v>358</v>
      </c>
      <c r="C1169">
        <v>410470010003</v>
      </c>
      <c r="D1169">
        <v>99.803666000000007</v>
      </c>
    </row>
    <row r="1170" spans="1:4" x14ac:dyDescent="0.25">
      <c r="A1170">
        <v>392</v>
      </c>
      <c r="B1170">
        <v>358</v>
      </c>
      <c r="C1170">
        <v>410470018032</v>
      </c>
      <c r="D1170">
        <v>5.4556E-2</v>
      </c>
    </row>
    <row r="1171" spans="1:4" x14ac:dyDescent="0.25">
      <c r="A1171">
        <v>393</v>
      </c>
      <c r="B1171">
        <v>352</v>
      </c>
      <c r="C1171">
        <v>410470010003</v>
      </c>
      <c r="D1171">
        <v>100.00000799999999</v>
      </c>
    </row>
    <row r="1172" spans="1:4" x14ac:dyDescent="0.25">
      <c r="A1172">
        <v>394</v>
      </c>
      <c r="B1172">
        <v>393</v>
      </c>
      <c r="C1172">
        <v>410470010003</v>
      </c>
      <c r="D1172">
        <v>98.788417999999993</v>
      </c>
    </row>
    <row r="1173" spans="1:4" x14ac:dyDescent="0.25">
      <c r="A1173">
        <v>394</v>
      </c>
      <c r="B1173">
        <v>393</v>
      </c>
      <c r="C1173">
        <v>410470018032</v>
      </c>
      <c r="D1173">
        <v>1.2115819999999999</v>
      </c>
    </row>
    <row r="1174" spans="1:4" x14ac:dyDescent="0.25">
      <c r="A1174">
        <v>395</v>
      </c>
      <c r="B1174">
        <v>400</v>
      </c>
      <c r="C1174">
        <v>410470010003</v>
      </c>
      <c r="D1174">
        <v>4.2722999999999997E-2</v>
      </c>
    </row>
    <row r="1175" spans="1:4" x14ac:dyDescent="0.25">
      <c r="A1175">
        <v>395</v>
      </c>
      <c r="B1175">
        <v>400</v>
      </c>
      <c r="C1175">
        <v>410470018031</v>
      </c>
      <c r="D1175">
        <v>0.318241</v>
      </c>
    </row>
    <row r="1176" spans="1:4" x14ac:dyDescent="0.25">
      <c r="A1176">
        <v>395</v>
      </c>
      <c r="B1176">
        <v>400</v>
      </c>
      <c r="C1176">
        <v>410470018032</v>
      </c>
      <c r="D1176">
        <v>99.639036000000004</v>
      </c>
    </row>
    <row r="1177" spans="1:4" x14ac:dyDescent="0.25">
      <c r="A1177">
        <v>396</v>
      </c>
      <c r="B1177">
        <v>393</v>
      </c>
      <c r="C1177">
        <v>410470018031</v>
      </c>
      <c r="D1177">
        <v>99.457646999999994</v>
      </c>
    </row>
    <row r="1178" spans="1:4" x14ac:dyDescent="0.25">
      <c r="A1178">
        <v>396</v>
      </c>
      <c r="B1178">
        <v>393</v>
      </c>
      <c r="C1178">
        <v>410470018032</v>
      </c>
      <c r="D1178">
        <v>0.54235199999999995</v>
      </c>
    </row>
    <row r="1179" spans="1:4" x14ac:dyDescent="0.25">
      <c r="A1179">
        <v>397</v>
      </c>
      <c r="B1179">
        <v>400</v>
      </c>
      <c r="C1179">
        <v>410470018031</v>
      </c>
      <c r="D1179">
        <v>0.68609699999999996</v>
      </c>
    </row>
    <row r="1180" spans="1:4" x14ac:dyDescent="0.25">
      <c r="A1180">
        <v>397</v>
      </c>
      <c r="B1180">
        <v>400</v>
      </c>
      <c r="C1180">
        <v>410470018032</v>
      </c>
      <c r="D1180">
        <v>99.313897999999995</v>
      </c>
    </row>
    <row r="1181" spans="1:4" x14ac:dyDescent="0.25">
      <c r="A1181">
        <v>398</v>
      </c>
      <c r="B1181">
        <v>408</v>
      </c>
      <c r="C1181">
        <v>410470018021</v>
      </c>
      <c r="D1181">
        <v>7.1540000000000006E-2</v>
      </c>
    </row>
    <row r="1182" spans="1:4" x14ac:dyDescent="0.25">
      <c r="A1182">
        <v>398</v>
      </c>
      <c r="B1182">
        <v>408</v>
      </c>
      <c r="C1182">
        <v>410470018032</v>
      </c>
      <c r="D1182">
        <v>99.361250999999996</v>
      </c>
    </row>
    <row r="1183" spans="1:4" x14ac:dyDescent="0.25">
      <c r="A1183">
        <v>398</v>
      </c>
      <c r="B1183">
        <v>408</v>
      </c>
      <c r="C1183">
        <v>410470027011</v>
      </c>
      <c r="D1183">
        <v>0.49887399999999998</v>
      </c>
    </row>
    <row r="1184" spans="1:4" x14ac:dyDescent="0.25">
      <c r="A1184">
        <v>398</v>
      </c>
      <c r="B1184">
        <v>408</v>
      </c>
      <c r="C1184">
        <v>410470027022</v>
      </c>
      <c r="D1184">
        <v>6.8334000000000006E-2</v>
      </c>
    </row>
    <row r="1185" spans="1:4" x14ac:dyDescent="0.25">
      <c r="A1185">
        <v>399</v>
      </c>
      <c r="B1185">
        <v>358</v>
      </c>
      <c r="C1185">
        <v>410470010002</v>
      </c>
      <c r="D1185">
        <v>0.114815</v>
      </c>
    </row>
    <row r="1186" spans="1:4" x14ac:dyDescent="0.25">
      <c r="A1186">
        <v>399</v>
      </c>
      <c r="B1186">
        <v>358</v>
      </c>
      <c r="C1186">
        <v>410470010003</v>
      </c>
      <c r="D1186">
        <v>99.251920999999996</v>
      </c>
    </row>
    <row r="1187" spans="1:4" x14ac:dyDescent="0.25">
      <c r="A1187">
        <v>399</v>
      </c>
      <c r="B1187">
        <v>358</v>
      </c>
      <c r="C1187">
        <v>410470018032</v>
      </c>
      <c r="D1187">
        <v>0.63326400000000005</v>
      </c>
    </row>
    <row r="1188" spans="1:4" x14ac:dyDescent="0.25">
      <c r="A1188">
        <v>400</v>
      </c>
      <c r="B1188">
        <v>356</v>
      </c>
      <c r="C1188">
        <v>410470010003</v>
      </c>
      <c r="D1188">
        <v>99.122038000000003</v>
      </c>
    </row>
    <row r="1189" spans="1:4" x14ac:dyDescent="0.25">
      <c r="A1189">
        <v>400</v>
      </c>
      <c r="B1189">
        <v>356</v>
      </c>
      <c r="C1189">
        <v>410470020011</v>
      </c>
      <c r="D1189">
        <v>0.87796099999999999</v>
      </c>
    </row>
    <row r="1190" spans="1:4" x14ac:dyDescent="0.25">
      <c r="A1190">
        <v>401</v>
      </c>
      <c r="B1190">
        <v>357</v>
      </c>
      <c r="C1190">
        <v>410470010003</v>
      </c>
      <c r="D1190">
        <v>99.022000000000006</v>
      </c>
    </row>
    <row r="1191" spans="1:4" x14ac:dyDescent="0.25">
      <c r="A1191">
        <v>401</v>
      </c>
      <c r="B1191">
        <v>357</v>
      </c>
      <c r="C1191">
        <v>410470020012</v>
      </c>
      <c r="D1191">
        <v>0.83729100000000001</v>
      </c>
    </row>
    <row r="1192" spans="1:4" x14ac:dyDescent="0.25">
      <c r="A1192">
        <v>401</v>
      </c>
      <c r="B1192">
        <v>357</v>
      </c>
      <c r="C1192">
        <v>410470020021</v>
      </c>
      <c r="D1192">
        <v>0.14071</v>
      </c>
    </row>
    <row r="1193" spans="1:4" x14ac:dyDescent="0.25">
      <c r="A1193">
        <v>402</v>
      </c>
      <c r="B1193">
        <v>358</v>
      </c>
      <c r="C1193">
        <v>410470010003</v>
      </c>
      <c r="D1193">
        <v>96.796321000000006</v>
      </c>
    </row>
    <row r="1194" spans="1:4" x14ac:dyDescent="0.25">
      <c r="A1194">
        <v>402</v>
      </c>
      <c r="B1194">
        <v>358</v>
      </c>
      <c r="C1194">
        <v>410470018032</v>
      </c>
      <c r="D1194">
        <v>3.203684</v>
      </c>
    </row>
    <row r="1195" spans="1:4" x14ac:dyDescent="0.25">
      <c r="A1195">
        <v>403</v>
      </c>
      <c r="B1195">
        <v>382</v>
      </c>
      <c r="C1195">
        <v>410470010003</v>
      </c>
      <c r="D1195">
        <v>1.5154810000000001</v>
      </c>
    </row>
    <row r="1196" spans="1:4" x14ac:dyDescent="0.25">
      <c r="A1196">
        <v>403</v>
      </c>
      <c r="B1196">
        <v>382</v>
      </c>
      <c r="C1196">
        <v>410470018032</v>
      </c>
      <c r="D1196">
        <v>1.04104</v>
      </c>
    </row>
    <row r="1197" spans="1:4" x14ac:dyDescent="0.25">
      <c r="A1197">
        <v>403</v>
      </c>
      <c r="B1197">
        <v>382</v>
      </c>
      <c r="C1197">
        <v>410470020012</v>
      </c>
      <c r="D1197">
        <v>0.57704200000000005</v>
      </c>
    </row>
    <row r="1198" spans="1:4" x14ac:dyDescent="0.25">
      <c r="A1198">
        <v>403</v>
      </c>
      <c r="B1198">
        <v>382</v>
      </c>
      <c r="C1198">
        <v>410470020021</v>
      </c>
      <c r="D1198">
        <v>96.866434999999996</v>
      </c>
    </row>
    <row r="1199" spans="1:4" x14ac:dyDescent="0.25">
      <c r="A1199">
        <v>404</v>
      </c>
      <c r="B1199">
        <v>397</v>
      </c>
      <c r="C1199">
        <v>410470018032</v>
      </c>
      <c r="D1199">
        <v>1.1789449999999999</v>
      </c>
    </row>
    <row r="1200" spans="1:4" x14ac:dyDescent="0.25">
      <c r="A1200">
        <v>404</v>
      </c>
      <c r="B1200">
        <v>397</v>
      </c>
      <c r="C1200">
        <v>410470020021</v>
      </c>
      <c r="D1200">
        <v>98.102341999999993</v>
      </c>
    </row>
    <row r="1201" spans="1:4" x14ac:dyDescent="0.25">
      <c r="A1201">
        <v>404</v>
      </c>
      <c r="B1201">
        <v>397</v>
      </c>
      <c r="C1201">
        <v>410470020022</v>
      </c>
      <c r="D1201">
        <v>0.71588700000000005</v>
      </c>
    </row>
    <row r="1202" spans="1:4" x14ac:dyDescent="0.25">
      <c r="A1202">
        <v>404</v>
      </c>
      <c r="B1202">
        <v>397</v>
      </c>
      <c r="C1202">
        <v>410470027013</v>
      </c>
      <c r="D1202">
        <v>2.826E-3</v>
      </c>
    </row>
    <row r="1203" spans="1:4" x14ac:dyDescent="0.25">
      <c r="A1203">
        <v>405</v>
      </c>
      <c r="B1203">
        <v>362</v>
      </c>
      <c r="C1203">
        <v>410470018032</v>
      </c>
      <c r="D1203">
        <v>100.000006</v>
      </c>
    </row>
    <row r="1204" spans="1:4" x14ac:dyDescent="0.25">
      <c r="A1204">
        <v>406</v>
      </c>
      <c r="B1204">
        <v>400</v>
      </c>
      <c r="C1204">
        <v>410470018032</v>
      </c>
      <c r="D1204">
        <v>99.999994999999998</v>
      </c>
    </row>
    <row r="1205" spans="1:4" x14ac:dyDescent="0.25">
      <c r="A1205">
        <v>407</v>
      </c>
      <c r="B1205">
        <v>400</v>
      </c>
      <c r="C1205">
        <v>410470018032</v>
      </c>
      <c r="D1205">
        <v>99.999968999999993</v>
      </c>
    </row>
    <row r="1206" spans="1:4" x14ac:dyDescent="0.25">
      <c r="A1206">
        <v>408</v>
      </c>
      <c r="B1206">
        <v>400</v>
      </c>
      <c r="C1206">
        <v>410470018032</v>
      </c>
      <c r="D1206">
        <v>100.00000300000001</v>
      </c>
    </row>
    <row r="1207" spans="1:4" x14ac:dyDescent="0.25">
      <c r="A1207">
        <v>409</v>
      </c>
      <c r="B1207">
        <v>400</v>
      </c>
      <c r="C1207">
        <v>410470018032</v>
      </c>
      <c r="D1207">
        <v>99.999968999999993</v>
      </c>
    </row>
    <row r="1208" spans="1:4" x14ac:dyDescent="0.25">
      <c r="A1208">
        <v>410</v>
      </c>
      <c r="B1208">
        <v>400</v>
      </c>
      <c r="C1208">
        <v>410470018032</v>
      </c>
      <c r="D1208">
        <v>99.999993000000003</v>
      </c>
    </row>
    <row r="1209" spans="1:4" x14ac:dyDescent="0.25">
      <c r="A1209">
        <v>411</v>
      </c>
      <c r="B1209">
        <v>382</v>
      </c>
      <c r="C1209">
        <v>410470018032</v>
      </c>
      <c r="D1209">
        <v>60.972977999999998</v>
      </c>
    </row>
    <row r="1210" spans="1:4" x14ac:dyDescent="0.25">
      <c r="A1210">
        <v>411</v>
      </c>
      <c r="B1210">
        <v>382</v>
      </c>
      <c r="C1210">
        <v>410470027013</v>
      </c>
      <c r="D1210">
        <v>39.027023</v>
      </c>
    </row>
    <row r="1211" spans="1:4" x14ac:dyDescent="0.25">
      <c r="A1211">
        <v>412</v>
      </c>
      <c r="B1211">
        <v>400</v>
      </c>
      <c r="C1211">
        <v>410470018032</v>
      </c>
      <c r="D1211">
        <v>73.252168999999995</v>
      </c>
    </row>
    <row r="1212" spans="1:4" x14ac:dyDescent="0.25">
      <c r="A1212">
        <v>412</v>
      </c>
      <c r="B1212">
        <v>400</v>
      </c>
      <c r="C1212">
        <v>410470027011</v>
      </c>
      <c r="D1212">
        <v>26.586106000000001</v>
      </c>
    </row>
    <row r="1213" spans="1:4" x14ac:dyDescent="0.25">
      <c r="A1213">
        <v>412</v>
      </c>
      <c r="B1213">
        <v>400</v>
      </c>
      <c r="C1213">
        <v>410470027013</v>
      </c>
      <c r="D1213">
        <v>0.16172300000000001</v>
      </c>
    </row>
    <row r="1214" spans="1:4" x14ac:dyDescent="0.25">
      <c r="A1214">
        <v>413</v>
      </c>
      <c r="B1214">
        <v>400</v>
      </c>
      <c r="C1214">
        <v>410470018032</v>
      </c>
      <c r="D1214">
        <v>99.113816</v>
      </c>
    </row>
    <row r="1215" spans="1:4" x14ac:dyDescent="0.25">
      <c r="A1215">
        <v>413</v>
      </c>
      <c r="B1215">
        <v>400</v>
      </c>
      <c r="C1215">
        <v>410470027011</v>
      </c>
      <c r="D1215">
        <v>0.88618399999999997</v>
      </c>
    </row>
    <row r="1216" spans="1:4" x14ac:dyDescent="0.25">
      <c r="A1216">
        <v>414</v>
      </c>
      <c r="B1216">
        <v>408</v>
      </c>
      <c r="C1216">
        <v>410470018032</v>
      </c>
      <c r="D1216">
        <v>6.4791939999999997</v>
      </c>
    </row>
    <row r="1217" spans="1:4" x14ac:dyDescent="0.25">
      <c r="A1217">
        <v>414</v>
      </c>
      <c r="B1217">
        <v>408</v>
      </c>
      <c r="C1217">
        <v>410470027011</v>
      </c>
      <c r="D1217">
        <v>92.098665999999994</v>
      </c>
    </row>
    <row r="1218" spans="1:4" x14ac:dyDescent="0.25">
      <c r="A1218">
        <v>414</v>
      </c>
      <c r="B1218">
        <v>408</v>
      </c>
      <c r="C1218">
        <v>410470027021</v>
      </c>
      <c r="D1218">
        <v>1.3068E-2</v>
      </c>
    </row>
    <row r="1219" spans="1:4" x14ac:dyDescent="0.25">
      <c r="A1219">
        <v>414</v>
      </c>
      <c r="B1219">
        <v>408</v>
      </c>
      <c r="C1219">
        <v>410470027022</v>
      </c>
      <c r="D1219">
        <v>1.409073</v>
      </c>
    </row>
    <row r="1220" spans="1:4" x14ac:dyDescent="0.25">
      <c r="A1220">
        <v>415</v>
      </c>
      <c r="B1220">
        <v>395</v>
      </c>
      <c r="C1220">
        <v>410470018032</v>
      </c>
      <c r="D1220">
        <v>3.4450159999999999</v>
      </c>
    </row>
    <row r="1221" spans="1:4" x14ac:dyDescent="0.25">
      <c r="A1221">
        <v>415</v>
      </c>
      <c r="B1221">
        <v>395</v>
      </c>
      <c r="C1221">
        <v>410470027011</v>
      </c>
      <c r="D1221">
        <v>96.541659999999993</v>
      </c>
    </row>
    <row r="1222" spans="1:4" x14ac:dyDescent="0.25">
      <c r="A1222">
        <v>415</v>
      </c>
      <c r="B1222">
        <v>395</v>
      </c>
      <c r="C1222">
        <v>410470027012</v>
      </c>
      <c r="D1222">
        <v>1.3325E-2</v>
      </c>
    </row>
    <row r="1223" spans="1:4" x14ac:dyDescent="0.25">
      <c r="A1223">
        <v>416</v>
      </c>
      <c r="B1223">
        <v>395</v>
      </c>
      <c r="C1223">
        <v>410470027011</v>
      </c>
      <c r="D1223">
        <v>94.259462999999997</v>
      </c>
    </row>
    <row r="1224" spans="1:4" x14ac:dyDescent="0.25">
      <c r="A1224">
        <v>416</v>
      </c>
      <c r="B1224">
        <v>395</v>
      </c>
      <c r="C1224">
        <v>410470027012</v>
      </c>
      <c r="D1224">
        <v>5.7405369999999998</v>
      </c>
    </row>
    <row r="1225" spans="1:4" x14ac:dyDescent="0.25">
      <c r="A1225">
        <v>417</v>
      </c>
      <c r="B1225">
        <v>395</v>
      </c>
      <c r="C1225">
        <v>410470027011</v>
      </c>
      <c r="D1225">
        <v>9.9955370000000006</v>
      </c>
    </row>
    <row r="1226" spans="1:4" x14ac:dyDescent="0.25">
      <c r="A1226">
        <v>417</v>
      </c>
      <c r="B1226">
        <v>395</v>
      </c>
      <c r="C1226">
        <v>410470027012</v>
      </c>
      <c r="D1226">
        <v>89.677413999999999</v>
      </c>
    </row>
    <row r="1227" spans="1:4" x14ac:dyDescent="0.25">
      <c r="A1227">
        <v>417</v>
      </c>
      <c r="B1227">
        <v>395</v>
      </c>
      <c r="C1227">
        <v>410470027013</v>
      </c>
      <c r="D1227">
        <v>0.32705000000000001</v>
      </c>
    </row>
    <row r="1228" spans="1:4" x14ac:dyDescent="0.25">
      <c r="A1228">
        <v>418</v>
      </c>
      <c r="B1228">
        <v>367</v>
      </c>
      <c r="C1228">
        <v>410470027011</v>
      </c>
      <c r="D1228">
        <v>92.401685999999998</v>
      </c>
    </row>
    <row r="1229" spans="1:4" x14ac:dyDescent="0.25">
      <c r="A1229">
        <v>418</v>
      </c>
      <c r="B1229">
        <v>367</v>
      </c>
      <c r="C1229">
        <v>410470027021</v>
      </c>
      <c r="D1229">
        <v>7.5983150000000004</v>
      </c>
    </row>
    <row r="1230" spans="1:4" x14ac:dyDescent="0.25">
      <c r="A1230">
        <v>419</v>
      </c>
      <c r="B1230">
        <v>366</v>
      </c>
      <c r="C1230">
        <v>410470018032</v>
      </c>
      <c r="D1230">
        <v>3.7160000000000001E-3</v>
      </c>
    </row>
    <row r="1231" spans="1:4" x14ac:dyDescent="0.25">
      <c r="A1231">
        <v>419</v>
      </c>
      <c r="B1231">
        <v>366</v>
      </c>
      <c r="C1231">
        <v>410470027011</v>
      </c>
      <c r="D1231">
        <v>7.2300000000000001E-4</v>
      </c>
    </row>
    <row r="1232" spans="1:4" x14ac:dyDescent="0.25">
      <c r="A1232">
        <v>419</v>
      </c>
      <c r="B1232">
        <v>366</v>
      </c>
      <c r="C1232">
        <v>410470027012</v>
      </c>
      <c r="D1232">
        <v>0.76712400000000003</v>
      </c>
    </row>
    <row r="1233" spans="1:4" x14ac:dyDescent="0.25">
      <c r="A1233">
        <v>419</v>
      </c>
      <c r="B1233">
        <v>366</v>
      </c>
      <c r="C1233">
        <v>410470027013</v>
      </c>
      <c r="D1233">
        <v>99.228437</v>
      </c>
    </row>
    <row r="1234" spans="1:4" x14ac:dyDescent="0.25">
      <c r="A1234">
        <v>420</v>
      </c>
      <c r="B1234">
        <v>397</v>
      </c>
      <c r="C1234">
        <v>410470018032</v>
      </c>
      <c r="D1234">
        <v>3.6586E-2</v>
      </c>
    </row>
    <row r="1235" spans="1:4" x14ac:dyDescent="0.25">
      <c r="A1235">
        <v>420</v>
      </c>
      <c r="B1235">
        <v>397</v>
      </c>
      <c r="C1235">
        <v>410470027013</v>
      </c>
      <c r="D1235">
        <v>99.963042999999999</v>
      </c>
    </row>
    <row r="1236" spans="1:4" x14ac:dyDescent="0.25">
      <c r="A1236">
        <v>420</v>
      </c>
      <c r="B1236">
        <v>397</v>
      </c>
      <c r="C1236">
        <v>410470028002</v>
      </c>
      <c r="D1236">
        <v>3.6999999999999999E-4</v>
      </c>
    </row>
    <row r="1237" spans="1:4" x14ac:dyDescent="0.25">
      <c r="A1237">
        <v>421</v>
      </c>
      <c r="B1237">
        <v>390</v>
      </c>
      <c r="C1237">
        <v>410470020022</v>
      </c>
      <c r="D1237">
        <v>0.34507599999999999</v>
      </c>
    </row>
    <row r="1238" spans="1:4" x14ac:dyDescent="0.25">
      <c r="A1238">
        <v>421</v>
      </c>
      <c r="B1238">
        <v>390</v>
      </c>
      <c r="C1238">
        <v>410470023044</v>
      </c>
      <c r="D1238">
        <v>8.1155000000000005E-2</v>
      </c>
    </row>
    <row r="1239" spans="1:4" x14ac:dyDescent="0.25">
      <c r="A1239">
        <v>421</v>
      </c>
      <c r="B1239">
        <v>390</v>
      </c>
      <c r="C1239">
        <v>410470027013</v>
      </c>
      <c r="D1239">
        <v>0.48380299999999998</v>
      </c>
    </row>
    <row r="1240" spans="1:4" x14ac:dyDescent="0.25">
      <c r="A1240">
        <v>421</v>
      </c>
      <c r="B1240">
        <v>390</v>
      </c>
      <c r="C1240">
        <v>410470028002</v>
      </c>
      <c r="D1240">
        <v>99.089967000000001</v>
      </c>
    </row>
    <row r="1241" spans="1:4" x14ac:dyDescent="0.25">
      <c r="A1241">
        <v>422</v>
      </c>
      <c r="B1241">
        <v>409</v>
      </c>
      <c r="C1241">
        <v>410470023041</v>
      </c>
      <c r="D1241">
        <v>9.9727999999999997E-2</v>
      </c>
    </row>
    <row r="1242" spans="1:4" x14ac:dyDescent="0.25">
      <c r="A1242">
        <v>422</v>
      </c>
      <c r="B1242">
        <v>409</v>
      </c>
      <c r="C1242">
        <v>410470028001</v>
      </c>
      <c r="D1242">
        <v>4.0097000000000001E-2</v>
      </c>
    </row>
    <row r="1243" spans="1:4" x14ac:dyDescent="0.25">
      <c r="A1243">
        <v>422</v>
      </c>
      <c r="B1243">
        <v>409</v>
      </c>
      <c r="C1243">
        <v>410470028002</v>
      </c>
      <c r="D1243">
        <v>99.860166000000007</v>
      </c>
    </row>
    <row r="1244" spans="1:4" x14ac:dyDescent="0.25">
      <c r="A1244">
        <v>423</v>
      </c>
      <c r="B1244">
        <v>409</v>
      </c>
      <c r="C1244">
        <v>410470028001</v>
      </c>
      <c r="D1244">
        <v>0.54962500000000003</v>
      </c>
    </row>
    <row r="1245" spans="1:4" x14ac:dyDescent="0.25">
      <c r="A1245">
        <v>423</v>
      </c>
      <c r="B1245">
        <v>409</v>
      </c>
      <c r="C1245">
        <v>410470028002</v>
      </c>
      <c r="D1245">
        <v>99.450378000000001</v>
      </c>
    </row>
    <row r="1246" spans="1:4" x14ac:dyDescent="0.25">
      <c r="A1246">
        <v>424</v>
      </c>
      <c r="B1246">
        <v>409</v>
      </c>
      <c r="C1246">
        <v>410470028001</v>
      </c>
      <c r="D1246">
        <v>99.809039999999996</v>
      </c>
    </row>
    <row r="1247" spans="1:4" x14ac:dyDescent="0.25">
      <c r="A1247">
        <v>424</v>
      </c>
      <c r="B1247">
        <v>409</v>
      </c>
      <c r="C1247">
        <v>410470028002</v>
      </c>
      <c r="D1247">
        <v>3.6120000000000002E-3</v>
      </c>
    </row>
    <row r="1248" spans="1:4" x14ac:dyDescent="0.25">
      <c r="A1248">
        <v>424</v>
      </c>
      <c r="B1248">
        <v>409</v>
      </c>
      <c r="C1248">
        <v>410470108022</v>
      </c>
      <c r="D1248">
        <v>0.18734899999999999</v>
      </c>
    </row>
    <row r="1249" spans="1:4" x14ac:dyDescent="0.25">
      <c r="A1249">
        <v>425</v>
      </c>
      <c r="B1249">
        <v>409</v>
      </c>
      <c r="C1249">
        <v>410470023012</v>
      </c>
      <c r="D1249">
        <v>6.7120000000000001E-3</v>
      </c>
    </row>
    <row r="1250" spans="1:4" x14ac:dyDescent="0.25">
      <c r="A1250">
        <v>425</v>
      </c>
      <c r="B1250">
        <v>409</v>
      </c>
      <c r="C1250">
        <v>410470023041</v>
      </c>
      <c r="D1250">
        <v>4.6309999999999997E-2</v>
      </c>
    </row>
    <row r="1251" spans="1:4" x14ac:dyDescent="0.25">
      <c r="A1251">
        <v>425</v>
      </c>
      <c r="B1251">
        <v>409</v>
      </c>
      <c r="C1251">
        <v>410470028001</v>
      </c>
      <c r="D1251">
        <v>1.2614620000000001</v>
      </c>
    </row>
    <row r="1252" spans="1:4" x14ac:dyDescent="0.25">
      <c r="A1252">
        <v>425</v>
      </c>
      <c r="B1252">
        <v>409</v>
      </c>
      <c r="C1252">
        <v>410470028002</v>
      </c>
      <c r="D1252">
        <v>98.685516000000007</v>
      </c>
    </row>
    <row r="1253" spans="1:4" x14ac:dyDescent="0.25">
      <c r="A1253">
        <v>426</v>
      </c>
      <c r="B1253">
        <v>390</v>
      </c>
      <c r="C1253">
        <v>410470023041</v>
      </c>
      <c r="D1253">
        <v>91.299173999999994</v>
      </c>
    </row>
    <row r="1254" spans="1:4" x14ac:dyDescent="0.25">
      <c r="A1254">
        <v>426</v>
      </c>
      <c r="B1254">
        <v>390</v>
      </c>
      <c r="C1254">
        <v>410470023044</v>
      </c>
      <c r="D1254">
        <v>2.6450000000000002E-3</v>
      </c>
    </row>
    <row r="1255" spans="1:4" x14ac:dyDescent="0.25">
      <c r="A1255">
        <v>426</v>
      </c>
      <c r="B1255">
        <v>390</v>
      </c>
      <c r="C1255">
        <v>410470028002</v>
      </c>
      <c r="D1255">
        <v>8.6981780000000004</v>
      </c>
    </row>
    <row r="1256" spans="1:4" x14ac:dyDescent="0.25">
      <c r="A1256">
        <v>427</v>
      </c>
      <c r="B1256">
        <v>390</v>
      </c>
      <c r="C1256">
        <v>410470023012</v>
      </c>
      <c r="D1256">
        <v>1.7198000000000001E-2</v>
      </c>
    </row>
    <row r="1257" spans="1:4" x14ac:dyDescent="0.25">
      <c r="A1257">
        <v>427</v>
      </c>
      <c r="B1257">
        <v>390</v>
      </c>
      <c r="C1257">
        <v>410470023041</v>
      </c>
      <c r="D1257">
        <v>99.146342000000004</v>
      </c>
    </row>
    <row r="1258" spans="1:4" x14ac:dyDescent="0.25">
      <c r="A1258">
        <v>427</v>
      </c>
      <c r="B1258">
        <v>390</v>
      </c>
      <c r="C1258">
        <v>410470028002</v>
      </c>
      <c r="D1258">
        <v>0.83645700000000001</v>
      </c>
    </row>
    <row r="1259" spans="1:4" x14ac:dyDescent="0.25">
      <c r="A1259">
        <v>428</v>
      </c>
      <c r="B1259">
        <v>388</v>
      </c>
      <c r="C1259">
        <v>410470023012</v>
      </c>
      <c r="D1259">
        <v>97.951701999999997</v>
      </c>
    </row>
    <row r="1260" spans="1:4" x14ac:dyDescent="0.25">
      <c r="A1260">
        <v>428</v>
      </c>
      <c r="B1260">
        <v>388</v>
      </c>
      <c r="C1260">
        <v>410470023041</v>
      </c>
      <c r="D1260">
        <v>1.2722000000000001E-2</v>
      </c>
    </row>
    <row r="1261" spans="1:4" x14ac:dyDescent="0.25">
      <c r="A1261">
        <v>428</v>
      </c>
      <c r="B1261">
        <v>388</v>
      </c>
      <c r="C1261">
        <v>410470024002</v>
      </c>
      <c r="D1261">
        <v>8.3581000000000003E-2</v>
      </c>
    </row>
    <row r="1262" spans="1:4" x14ac:dyDescent="0.25">
      <c r="A1262">
        <v>428</v>
      </c>
      <c r="B1262">
        <v>388</v>
      </c>
      <c r="C1262">
        <v>410470028002</v>
      </c>
      <c r="D1262">
        <v>1.9519979999999999</v>
      </c>
    </row>
    <row r="1263" spans="1:4" x14ac:dyDescent="0.25">
      <c r="A1263">
        <v>429</v>
      </c>
      <c r="B1263">
        <v>384</v>
      </c>
      <c r="C1263">
        <v>410470023011</v>
      </c>
      <c r="D1263">
        <v>7.0028000000000007E-2</v>
      </c>
    </row>
    <row r="1264" spans="1:4" x14ac:dyDescent="0.25">
      <c r="A1264">
        <v>429</v>
      </c>
      <c r="B1264">
        <v>384</v>
      </c>
      <c r="C1264">
        <v>410470023012</v>
      </c>
      <c r="D1264">
        <v>99.735018999999994</v>
      </c>
    </row>
    <row r="1265" spans="1:4" x14ac:dyDescent="0.25">
      <c r="A1265">
        <v>429</v>
      </c>
      <c r="B1265">
        <v>384</v>
      </c>
      <c r="C1265">
        <v>410470023031</v>
      </c>
      <c r="D1265">
        <v>4.5365000000000003E-2</v>
      </c>
    </row>
    <row r="1266" spans="1:4" x14ac:dyDescent="0.25">
      <c r="A1266">
        <v>429</v>
      </c>
      <c r="B1266">
        <v>384</v>
      </c>
      <c r="C1266">
        <v>410470023041</v>
      </c>
      <c r="D1266">
        <v>5.1216999999999999E-2</v>
      </c>
    </row>
    <row r="1267" spans="1:4" x14ac:dyDescent="0.25">
      <c r="A1267">
        <v>429</v>
      </c>
      <c r="B1267">
        <v>384</v>
      </c>
      <c r="C1267">
        <v>410470024002</v>
      </c>
      <c r="D1267">
        <v>9.8374000000000003E-2</v>
      </c>
    </row>
    <row r="1268" spans="1:4" x14ac:dyDescent="0.25">
      <c r="A1268">
        <v>430</v>
      </c>
      <c r="B1268">
        <v>384</v>
      </c>
      <c r="C1268">
        <v>410470023012</v>
      </c>
      <c r="D1268">
        <v>9.0362999999999999E-2</v>
      </c>
    </row>
    <row r="1269" spans="1:4" x14ac:dyDescent="0.25">
      <c r="A1269">
        <v>430</v>
      </c>
      <c r="B1269">
        <v>384</v>
      </c>
      <c r="C1269">
        <v>410470024002</v>
      </c>
      <c r="D1269">
        <v>99.600966999999997</v>
      </c>
    </row>
    <row r="1270" spans="1:4" x14ac:dyDescent="0.25">
      <c r="A1270">
        <v>430</v>
      </c>
      <c r="B1270">
        <v>384</v>
      </c>
      <c r="C1270">
        <v>410470028002</v>
      </c>
      <c r="D1270">
        <v>0.308668</v>
      </c>
    </row>
    <row r="1271" spans="1:4" x14ac:dyDescent="0.25">
      <c r="A1271">
        <v>431</v>
      </c>
      <c r="B1271">
        <v>313</v>
      </c>
      <c r="C1271">
        <v>410470024001</v>
      </c>
      <c r="D1271">
        <v>2.1659000000000001E-2</v>
      </c>
    </row>
    <row r="1272" spans="1:4" x14ac:dyDescent="0.25">
      <c r="A1272">
        <v>431</v>
      </c>
      <c r="B1272">
        <v>313</v>
      </c>
      <c r="C1272">
        <v>410470024002</v>
      </c>
      <c r="D1272">
        <v>99.636737999999994</v>
      </c>
    </row>
    <row r="1273" spans="1:4" x14ac:dyDescent="0.25">
      <c r="A1273">
        <v>431</v>
      </c>
      <c r="B1273">
        <v>313</v>
      </c>
      <c r="C1273">
        <v>410470028001</v>
      </c>
      <c r="D1273">
        <v>0.317328</v>
      </c>
    </row>
    <row r="1274" spans="1:4" x14ac:dyDescent="0.25">
      <c r="A1274">
        <v>431</v>
      </c>
      <c r="B1274">
        <v>313</v>
      </c>
      <c r="C1274">
        <v>410470028002</v>
      </c>
      <c r="D1274">
        <v>2.4274E-2</v>
      </c>
    </row>
    <row r="1275" spans="1:4" x14ac:dyDescent="0.25">
      <c r="A1275">
        <v>432</v>
      </c>
      <c r="B1275">
        <v>287</v>
      </c>
      <c r="C1275">
        <v>410470024002</v>
      </c>
      <c r="D1275">
        <v>99.924447999999998</v>
      </c>
    </row>
    <row r="1276" spans="1:4" x14ac:dyDescent="0.25">
      <c r="A1276">
        <v>432</v>
      </c>
      <c r="B1276">
        <v>287</v>
      </c>
      <c r="C1276">
        <v>410470028001</v>
      </c>
      <c r="D1276">
        <v>3.4882999999999997E-2</v>
      </c>
    </row>
    <row r="1277" spans="1:4" x14ac:dyDescent="0.25">
      <c r="A1277">
        <v>432</v>
      </c>
      <c r="B1277">
        <v>287</v>
      </c>
      <c r="C1277">
        <v>410530053021</v>
      </c>
      <c r="D1277">
        <v>4.0668999999999997E-2</v>
      </c>
    </row>
    <row r="1278" spans="1:4" x14ac:dyDescent="0.25">
      <c r="A1278">
        <v>433</v>
      </c>
      <c r="B1278">
        <v>287</v>
      </c>
      <c r="C1278">
        <v>410470024001</v>
      </c>
      <c r="D1278">
        <v>2.1051530000000001</v>
      </c>
    </row>
    <row r="1279" spans="1:4" x14ac:dyDescent="0.25">
      <c r="A1279">
        <v>433</v>
      </c>
      <c r="B1279">
        <v>287</v>
      </c>
      <c r="C1279">
        <v>410470024002</v>
      </c>
      <c r="D1279">
        <v>97.894847999999996</v>
      </c>
    </row>
    <row r="1280" spans="1:4" x14ac:dyDescent="0.25">
      <c r="A1280">
        <v>434</v>
      </c>
      <c r="B1280">
        <v>289</v>
      </c>
      <c r="C1280">
        <v>410470024001</v>
      </c>
      <c r="D1280">
        <v>98.830202</v>
      </c>
    </row>
    <row r="1281" spans="1:4" x14ac:dyDescent="0.25">
      <c r="A1281">
        <v>434</v>
      </c>
      <c r="B1281">
        <v>289</v>
      </c>
      <c r="C1281">
        <v>410470024002</v>
      </c>
      <c r="D1281">
        <v>1.169799</v>
      </c>
    </row>
    <row r="1282" spans="1:4" x14ac:dyDescent="0.25">
      <c r="A1282">
        <v>435</v>
      </c>
      <c r="B1282">
        <v>396</v>
      </c>
      <c r="C1282">
        <v>410470013001</v>
      </c>
      <c r="D1282">
        <v>6.9859119999999999</v>
      </c>
    </row>
    <row r="1283" spans="1:4" x14ac:dyDescent="0.25">
      <c r="A1283">
        <v>435</v>
      </c>
      <c r="B1283">
        <v>396</v>
      </c>
      <c r="C1283">
        <v>410470024001</v>
      </c>
      <c r="D1283">
        <v>5.4541880000000003</v>
      </c>
    </row>
    <row r="1284" spans="1:4" x14ac:dyDescent="0.25">
      <c r="A1284">
        <v>435</v>
      </c>
      <c r="B1284">
        <v>396</v>
      </c>
      <c r="C1284">
        <v>410470024002</v>
      </c>
      <c r="D1284">
        <v>87.459102000000001</v>
      </c>
    </row>
    <row r="1285" spans="1:4" x14ac:dyDescent="0.25">
      <c r="A1285">
        <v>435</v>
      </c>
      <c r="B1285">
        <v>396</v>
      </c>
      <c r="C1285">
        <v>410530052041</v>
      </c>
      <c r="D1285">
        <v>8.1961999999999993E-2</v>
      </c>
    </row>
    <row r="1286" spans="1:4" x14ac:dyDescent="0.25">
      <c r="A1286">
        <v>435</v>
      </c>
      <c r="B1286">
        <v>396</v>
      </c>
      <c r="C1286">
        <v>410530053021</v>
      </c>
      <c r="D1286">
        <v>1.8835999999999999E-2</v>
      </c>
    </row>
    <row r="1287" spans="1:4" x14ac:dyDescent="0.25">
      <c r="A1287">
        <v>436</v>
      </c>
      <c r="B1287">
        <v>290</v>
      </c>
      <c r="C1287">
        <v>410470002002</v>
      </c>
      <c r="D1287">
        <v>0.27853099999999997</v>
      </c>
    </row>
    <row r="1288" spans="1:4" x14ac:dyDescent="0.25">
      <c r="A1288">
        <v>436</v>
      </c>
      <c r="B1288">
        <v>290</v>
      </c>
      <c r="C1288">
        <v>410470013001</v>
      </c>
      <c r="D1288">
        <v>98.905141</v>
      </c>
    </row>
    <row r="1289" spans="1:4" x14ac:dyDescent="0.25">
      <c r="A1289">
        <v>436</v>
      </c>
      <c r="B1289">
        <v>290</v>
      </c>
      <c r="C1289">
        <v>410470013002</v>
      </c>
      <c r="D1289">
        <v>1.155E-2</v>
      </c>
    </row>
    <row r="1290" spans="1:4" x14ac:dyDescent="0.25">
      <c r="A1290">
        <v>436</v>
      </c>
      <c r="B1290">
        <v>290</v>
      </c>
      <c r="C1290">
        <v>410470024001</v>
      </c>
      <c r="D1290">
        <v>1.8350000000000002E-2</v>
      </c>
    </row>
    <row r="1291" spans="1:4" x14ac:dyDescent="0.25">
      <c r="A1291">
        <v>436</v>
      </c>
      <c r="B1291">
        <v>290</v>
      </c>
      <c r="C1291">
        <v>410470024002</v>
      </c>
      <c r="D1291">
        <v>0.24907399999999999</v>
      </c>
    </row>
    <row r="1292" spans="1:4" x14ac:dyDescent="0.25">
      <c r="A1292">
        <v>436</v>
      </c>
      <c r="B1292">
        <v>290</v>
      </c>
      <c r="C1292">
        <v>410530052041</v>
      </c>
      <c r="D1292">
        <v>0.537354</v>
      </c>
    </row>
    <row r="1293" spans="1:4" x14ac:dyDescent="0.25">
      <c r="A1293">
        <v>437</v>
      </c>
      <c r="B1293">
        <v>392</v>
      </c>
      <c r="C1293">
        <v>410470028001</v>
      </c>
      <c r="D1293">
        <v>84.934691999999998</v>
      </c>
    </row>
    <row r="1294" spans="1:4" x14ac:dyDescent="0.25">
      <c r="A1294">
        <v>437</v>
      </c>
      <c r="B1294">
        <v>392</v>
      </c>
      <c r="C1294">
        <v>410470028002</v>
      </c>
      <c r="D1294">
        <v>14.878525</v>
      </c>
    </row>
    <row r="1295" spans="1:4" x14ac:dyDescent="0.25">
      <c r="A1295">
        <v>437</v>
      </c>
      <c r="B1295">
        <v>392</v>
      </c>
      <c r="C1295">
        <v>410470108022</v>
      </c>
      <c r="D1295">
        <v>0.186783</v>
      </c>
    </row>
    <row r="1296" spans="1:4" x14ac:dyDescent="0.25">
      <c r="A1296">
        <v>438</v>
      </c>
      <c r="B1296">
        <v>81</v>
      </c>
      <c r="C1296">
        <v>410470014011</v>
      </c>
      <c r="D1296">
        <v>68.790182999999999</v>
      </c>
    </row>
    <row r="1297" spans="1:4" x14ac:dyDescent="0.25">
      <c r="A1297">
        <v>438</v>
      </c>
      <c r="B1297">
        <v>81</v>
      </c>
      <c r="C1297">
        <v>410470015012</v>
      </c>
      <c r="D1297">
        <v>0.49121399999999998</v>
      </c>
    </row>
    <row r="1298" spans="1:4" x14ac:dyDescent="0.25">
      <c r="A1298">
        <v>438</v>
      </c>
      <c r="B1298">
        <v>81</v>
      </c>
      <c r="C1298">
        <v>410470015013</v>
      </c>
      <c r="D1298">
        <v>5.4219999999999997E-2</v>
      </c>
    </row>
    <row r="1299" spans="1:4" x14ac:dyDescent="0.25">
      <c r="A1299">
        <v>438</v>
      </c>
      <c r="B1299">
        <v>81</v>
      </c>
      <c r="C1299">
        <v>410470025032</v>
      </c>
      <c r="D1299">
        <v>30.664370999999999</v>
      </c>
    </row>
    <row r="1300" spans="1:4" x14ac:dyDescent="0.25">
      <c r="A1300">
        <v>439</v>
      </c>
      <c r="B1300">
        <v>160</v>
      </c>
      <c r="C1300">
        <v>410470003001</v>
      </c>
      <c r="D1300">
        <v>92.411764000000005</v>
      </c>
    </row>
    <row r="1301" spans="1:4" x14ac:dyDescent="0.25">
      <c r="A1301">
        <v>439</v>
      </c>
      <c r="B1301">
        <v>160</v>
      </c>
      <c r="C1301">
        <v>410470004003</v>
      </c>
      <c r="D1301">
        <v>7.5882379999999996</v>
      </c>
    </row>
    <row r="1302" spans="1:4" x14ac:dyDescent="0.25">
      <c r="A1302">
        <v>440</v>
      </c>
      <c r="B1302">
        <v>194</v>
      </c>
      <c r="C1302">
        <v>410470002002</v>
      </c>
      <c r="D1302">
        <v>93.931681999999995</v>
      </c>
    </row>
    <row r="1303" spans="1:4" x14ac:dyDescent="0.25">
      <c r="A1303">
        <v>440</v>
      </c>
      <c r="B1303">
        <v>194</v>
      </c>
      <c r="C1303">
        <v>410470002003</v>
      </c>
      <c r="D1303">
        <v>6.0683090000000002</v>
      </c>
    </row>
    <row r="1304" spans="1:4" x14ac:dyDescent="0.25">
      <c r="A1304">
        <v>441</v>
      </c>
      <c r="B1304">
        <v>293</v>
      </c>
      <c r="C1304">
        <v>410470012001</v>
      </c>
      <c r="D1304">
        <v>99.237069000000005</v>
      </c>
    </row>
    <row r="1305" spans="1:4" x14ac:dyDescent="0.25">
      <c r="A1305">
        <v>441</v>
      </c>
      <c r="B1305">
        <v>293</v>
      </c>
      <c r="C1305">
        <v>410470012002</v>
      </c>
      <c r="D1305">
        <v>0.29025299999999998</v>
      </c>
    </row>
    <row r="1306" spans="1:4" x14ac:dyDescent="0.25">
      <c r="A1306">
        <v>441</v>
      </c>
      <c r="B1306">
        <v>293</v>
      </c>
      <c r="C1306">
        <v>410470013001</v>
      </c>
      <c r="D1306">
        <v>4.5050000000000003E-3</v>
      </c>
    </row>
    <row r="1307" spans="1:4" x14ac:dyDescent="0.25">
      <c r="A1307">
        <v>441</v>
      </c>
      <c r="B1307">
        <v>293</v>
      </c>
      <c r="C1307">
        <v>410470013002</v>
      </c>
      <c r="D1307">
        <v>0.46816000000000002</v>
      </c>
    </row>
    <row r="1308" spans="1:4" x14ac:dyDescent="0.25">
      <c r="A1308">
        <v>442</v>
      </c>
      <c r="B1308">
        <v>300</v>
      </c>
      <c r="C1308">
        <v>410470013001</v>
      </c>
      <c r="D1308">
        <v>99.995411000000004</v>
      </c>
    </row>
    <row r="1309" spans="1:4" x14ac:dyDescent="0.25">
      <c r="A1309">
        <v>442</v>
      </c>
      <c r="B1309">
        <v>300</v>
      </c>
      <c r="C1309">
        <v>410470013003</v>
      </c>
      <c r="D1309">
        <v>4.594E-3</v>
      </c>
    </row>
    <row r="1310" spans="1:4" x14ac:dyDescent="0.25">
      <c r="A1310">
        <v>443</v>
      </c>
      <c r="B1310" t="s">
        <v>13</v>
      </c>
      <c r="C1310">
        <v>410470025021</v>
      </c>
      <c r="D1310">
        <v>99.999988000000002</v>
      </c>
    </row>
    <row r="1311" spans="1:4" x14ac:dyDescent="0.25">
      <c r="A1311">
        <v>444</v>
      </c>
      <c r="B1311" t="s">
        <v>13</v>
      </c>
      <c r="C1311">
        <v>410470025021</v>
      </c>
      <c r="D1311">
        <v>99.999996999999993</v>
      </c>
    </row>
    <row r="1312" spans="1:4" x14ac:dyDescent="0.25">
      <c r="A1312">
        <v>445</v>
      </c>
      <c r="B1312">
        <v>79</v>
      </c>
      <c r="C1312">
        <v>410470014012</v>
      </c>
      <c r="D1312">
        <v>99.90916</v>
      </c>
    </row>
    <row r="1313" spans="1:4" x14ac:dyDescent="0.25">
      <c r="A1313">
        <v>445</v>
      </c>
      <c r="B1313">
        <v>79</v>
      </c>
      <c r="C1313">
        <v>410470025021</v>
      </c>
      <c r="D1313">
        <v>9.0837000000000001E-2</v>
      </c>
    </row>
    <row r="1314" spans="1:4" x14ac:dyDescent="0.25">
      <c r="A1314">
        <v>446</v>
      </c>
      <c r="B1314">
        <v>399</v>
      </c>
      <c r="C1314">
        <v>410470014012</v>
      </c>
      <c r="D1314">
        <v>99.918665000000004</v>
      </c>
    </row>
    <row r="1315" spans="1:4" x14ac:dyDescent="0.25">
      <c r="A1315">
        <v>446</v>
      </c>
      <c r="B1315">
        <v>399</v>
      </c>
      <c r="C1315">
        <v>410470014021</v>
      </c>
      <c r="D1315">
        <v>1.4114E-2</v>
      </c>
    </row>
    <row r="1316" spans="1:4" x14ac:dyDescent="0.25">
      <c r="A1316">
        <v>446</v>
      </c>
      <c r="B1316">
        <v>399</v>
      </c>
      <c r="C1316">
        <v>410530053012</v>
      </c>
      <c r="D1316">
        <v>6.7224999999999993E-2</v>
      </c>
    </row>
    <row r="1317" spans="1:4" x14ac:dyDescent="0.25">
      <c r="A1317">
        <v>447</v>
      </c>
      <c r="B1317">
        <v>399</v>
      </c>
      <c r="C1317">
        <v>410530052051</v>
      </c>
      <c r="D1317">
        <v>3.1584000000000001E-2</v>
      </c>
    </row>
    <row r="1318" spans="1:4" x14ac:dyDescent="0.25">
      <c r="A1318">
        <v>447</v>
      </c>
      <c r="B1318">
        <v>399</v>
      </c>
      <c r="C1318">
        <v>410530052053</v>
      </c>
      <c r="D1318">
        <v>0.82216599999999995</v>
      </c>
    </row>
    <row r="1319" spans="1:4" x14ac:dyDescent="0.25">
      <c r="A1319">
        <v>447</v>
      </c>
      <c r="B1319">
        <v>399</v>
      </c>
      <c r="C1319">
        <v>410530052061</v>
      </c>
      <c r="D1319">
        <v>98.954104000000001</v>
      </c>
    </row>
    <row r="1320" spans="1:4" x14ac:dyDescent="0.25">
      <c r="A1320">
        <v>447</v>
      </c>
      <c r="B1320">
        <v>399</v>
      </c>
      <c r="C1320">
        <v>410530053012</v>
      </c>
      <c r="D1320">
        <v>0.19214700000000001</v>
      </c>
    </row>
    <row r="1321" spans="1:4" x14ac:dyDescent="0.25">
      <c r="A1321">
        <v>448</v>
      </c>
      <c r="B1321">
        <v>357</v>
      </c>
      <c r="C1321">
        <v>410470010003</v>
      </c>
      <c r="D1321">
        <v>96.423996000000002</v>
      </c>
    </row>
    <row r="1322" spans="1:4" x14ac:dyDescent="0.25">
      <c r="A1322">
        <v>448</v>
      </c>
      <c r="B1322">
        <v>357</v>
      </c>
      <c r="C1322">
        <v>410470020011</v>
      </c>
      <c r="D1322">
        <v>2.4354260000000001</v>
      </c>
    </row>
    <row r="1323" spans="1:4" x14ac:dyDescent="0.25">
      <c r="A1323">
        <v>448</v>
      </c>
      <c r="B1323">
        <v>357</v>
      </c>
      <c r="C1323">
        <v>410470020012</v>
      </c>
      <c r="D1323">
        <v>1.1405829999999999</v>
      </c>
    </row>
    <row r="1324" spans="1:4" x14ac:dyDescent="0.25">
      <c r="A1324">
        <v>449</v>
      </c>
      <c r="B1324">
        <v>377</v>
      </c>
      <c r="C1324">
        <v>410470020011</v>
      </c>
      <c r="D1324">
        <v>89.385949999999994</v>
      </c>
    </row>
    <row r="1325" spans="1:4" x14ac:dyDescent="0.25">
      <c r="A1325">
        <v>449</v>
      </c>
      <c r="B1325">
        <v>377</v>
      </c>
      <c r="C1325">
        <v>410470020012</v>
      </c>
      <c r="D1325">
        <v>10.413171</v>
      </c>
    </row>
    <row r="1326" spans="1:4" x14ac:dyDescent="0.25">
      <c r="A1326">
        <v>449</v>
      </c>
      <c r="B1326">
        <v>377</v>
      </c>
      <c r="C1326">
        <v>410470021024</v>
      </c>
      <c r="D1326">
        <v>0.20091200000000001</v>
      </c>
    </row>
    <row r="1327" spans="1:4" x14ac:dyDescent="0.25">
      <c r="A1327">
        <v>450</v>
      </c>
      <c r="B1327">
        <v>392</v>
      </c>
      <c r="C1327">
        <v>410470027013</v>
      </c>
      <c r="D1327">
        <v>0.66584100000000002</v>
      </c>
    </row>
    <row r="1328" spans="1:4" x14ac:dyDescent="0.25">
      <c r="A1328">
        <v>450</v>
      </c>
      <c r="B1328">
        <v>392</v>
      </c>
      <c r="C1328">
        <v>410470028001</v>
      </c>
      <c r="D1328">
        <v>0.148455</v>
      </c>
    </row>
    <row r="1329" spans="1:4" x14ac:dyDescent="0.25">
      <c r="A1329">
        <v>450</v>
      </c>
      <c r="B1329">
        <v>392</v>
      </c>
      <c r="C1329">
        <v>410470028002</v>
      </c>
      <c r="D1329">
        <v>99.185706999999994</v>
      </c>
    </row>
    <row r="1330" spans="1:4" x14ac:dyDescent="0.25">
      <c r="A1330">
        <v>451</v>
      </c>
      <c r="B1330">
        <v>397</v>
      </c>
      <c r="C1330">
        <v>410470018032</v>
      </c>
      <c r="D1330">
        <v>46.261152000000003</v>
      </c>
    </row>
    <row r="1331" spans="1:4" x14ac:dyDescent="0.25">
      <c r="A1331">
        <v>451</v>
      </c>
      <c r="B1331">
        <v>397</v>
      </c>
      <c r="C1331">
        <v>410470027013</v>
      </c>
      <c r="D1331">
        <v>53.738849999999999</v>
      </c>
    </row>
    <row r="1332" spans="1:4" x14ac:dyDescent="0.25">
      <c r="A1332">
        <v>452</v>
      </c>
      <c r="B1332">
        <v>400</v>
      </c>
      <c r="C1332">
        <v>410470018032</v>
      </c>
      <c r="D1332">
        <v>99.999977999999999</v>
      </c>
    </row>
    <row r="1333" spans="1:4" x14ac:dyDescent="0.25">
      <c r="A1333">
        <v>453</v>
      </c>
      <c r="B1333">
        <v>343</v>
      </c>
      <c r="C1333">
        <v>410470020011</v>
      </c>
      <c r="D1333">
        <v>96.320631000000006</v>
      </c>
    </row>
    <row r="1334" spans="1:4" x14ac:dyDescent="0.25">
      <c r="A1334">
        <v>453</v>
      </c>
      <c r="B1334">
        <v>343</v>
      </c>
      <c r="C1334">
        <v>410470021021</v>
      </c>
      <c r="D1334">
        <v>1.7491000000000001</v>
      </c>
    </row>
    <row r="1335" spans="1:4" x14ac:dyDescent="0.25">
      <c r="A1335">
        <v>453</v>
      </c>
      <c r="B1335">
        <v>343</v>
      </c>
      <c r="C1335">
        <v>410470021024</v>
      </c>
      <c r="D1335">
        <v>1.930294</v>
      </c>
    </row>
    <row r="1336" spans="1:4" x14ac:dyDescent="0.25">
      <c r="A1336">
        <v>454</v>
      </c>
      <c r="B1336">
        <v>373</v>
      </c>
      <c r="C1336">
        <v>410470021024</v>
      </c>
      <c r="D1336">
        <v>81.953631999999999</v>
      </c>
    </row>
    <row r="1337" spans="1:4" x14ac:dyDescent="0.25">
      <c r="A1337">
        <v>454</v>
      </c>
      <c r="B1337">
        <v>373</v>
      </c>
      <c r="C1337">
        <v>410470023032</v>
      </c>
      <c r="D1337">
        <v>1.2042000000000001E-2</v>
      </c>
    </row>
    <row r="1338" spans="1:4" x14ac:dyDescent="0.25">
      <c r="A1338">
        <v>454</v>
      </c>
      <c r="B1338">
        <v>373</v>
      </c>
      <c r="C1338">
        <v>410470023033</v>
      </c>
      <c r="D1338">
        <v>18.034326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0FAF-E36A-4AF3-9E31-6B8D87906C99}">
  <dimension ref="A1:C1336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1</v>
      </c>
      <c r="B1" t="s">
        <v>11</v>
      </c>
      <c r="C1" t="s">
        <v>17</v>
      </c>
    </row>
    <row r="2" spans="1:3" x14ac:dyDescent="0.25">
      <c r="A2">
        <v>31</v>
      </c>
      <c r="B2">
        <v>31</v>
      </c>
      <c r="C2">
        <v>0.98712208000000001</v>
      </c>
    </row>
    <row r="3" spans="1:3" x14ac:dyDescent="0.25">
      <c r="A3">
        <v>31</v>
      </c>
      <c r="B3">
        <v>32</v>
      </c>
      <c r="C3">
        <v>4.5052000000000004E-4</v>
      </c>
    </row>
    <row r="4" spans="1:3" x14ac:dyDescent="0.25">
      <c r="A4">
        <v>33</v>
      </c>
      <c r="B4">
        <v>32</v>
      </c>
      <c r="C4">
        <v>0.9979469299999999</v>
      </c>
    </row>
    <row r="5" spans="1:3" x14ac:dyDescent="0.25">
      <c r="A5">
        <v>34</v>
      </c>
      <c r="B5">
        <v>32</v>
      </c>
      <c r="C5">
        <v>2.3498600000000001E-3</v>
      </c>
    </row>
    <row r="6" spans="1:3" x14ac:dyDescent="0.25">
      <c r="A6">
        <v>43</v>
      </c>
      <c r="B6">
        <v>32</v>
      </c>
      <c r="C6">
        <v>1.0701299999999999E-3</v>
      </c>
    </row>
    <row r="7" spans="1:3" x14ac:dyDescent="0.25">
      <c r="A7">
        <v>33</v>
      </c>
      <c r="B7">
        <v>33</v>
      </c>
      <c r="C7">
        <v>6.9999999999999999E-6</v>
      </c>
    </row>
    <row r="8" spans="1:3" x14ac:dyDescent="0.25">
      <c r="A8">
        <v>34</v>
      </c>
      <c r="B8">
        <v>33</v>
      </c>
      <c r="C8">
        <v>0.98244862999999993</v>
      </c>
    </row>
    <row r="9" spans="1:3" x14ac:dyDescent="0.25">
      <c r="A9">
        <v>35</v>
      </c>
      <c r="B9">
        <v>33</v>
      </c>
      <c r="C9">
        <v>6.3688999999999998E-4</v>
      </c>
    </row>
    <row r="10" spans="1:3" x14ac:dyDescent="0.25">
      <c r="A10">
        <v>34</v>
      </c>
      <c r="B10">
        <v>34</v>
      </c>
      <c r="C10">
        <v>2.6786000000000003E-4</v>
      </c>
    </row>
    <row r="11" spans="1:3" x14ac:dyDescent="0.25">
      <c r="A11">
        <v>35</v>
      </c>
      <c r="B11">
        <v>34</v>
      </c>
      <c r="C11">
        <v>0.99688661000000001</v>
      </c>
    </row>
    <row r="12" spans="1:3" x14ac:dyDescent="0.25">
      <c r="A12">
        <v>36</v>
      </c>
      <c r="B12">
        <v>34</v>
      </c>
      <c r="C12">
        <v>9.0591000000000001E-4</v>
      </c>
    </row>
    <row r="13" spans="1:3" x14ac:dyDescent="0.25">
      <c r="A13">
        <v>35</v>
      </c>
      <c r="B13">
        <v>35</v>
      </c>
      <c r="C13">
        <v>1.4231000000000001E-4</v>
      </c>
    </row>
    <row r="14" spans="1:3" x14ac:dyDescent="0.25">
      <c r="A14">
        <v>36</v>
      </c>
      <c r="B14">
        <v>35</v>
      </c>
      <c r="C14">
        <v>0.99665110000000001</v>
      </c>
    </row>
    <row r="15" spans="1:3" x14ac:dyDescent="0.25">
      <c r="A15">
        <v>37</v>
      </c>
      <c r="B15">
        <v>35</v>
      </c>
      <c r="C15">
        <v>6.2493E-4</v>
      </c>
    </row>
    <row r="16" spans="1:3" x14ac:dyDescent="0.25">
      <c r="A16">
        <v>36</v>
      </c>
      <c r="B16">
        <v>36</v>
      </c>
      <c r="C16">
        <v>4.0273000000000002E-4</v>
      </c>
    </row>
    <row r="17" spans="1:3" x14ac:dyDescent="0.25">
      <c r="A17">
        <v>37</v>
      </c>
      <c r="B17">
        <v>36</v>
      </c>
      <c r="C17">
        <v>0.99672732999999991</v>
      </c>
    </row>
    <row r="18" spans="1:3" x14ac:dyDescent="0.25">
      <c r="A18">
        <v>38</v>
      </c>
      <c r="B18">
        <v>36</v>
      </c>
      <c r="C18">
        <v>1.16176E-3</v>
      </c>
    </row>
    <row r="19" spans="1:3" x14ac:dyDescent="0.25">
      <c r="A19">
        <v>396</v>
      </c>
      <c r="B19">
        <v>36</v>
      </c>
      <c r="C19">
        <v>9.4811000000000006E-4</v>
      </c>
    </row>
    <row r="20" spans="1:3" x14ac:dyDescent="0.25">
      <c r="A20">
        <v>37</v>
      </c>
      <c r="B20">
        <v>37</v>
      </c>
      <c r="C20">
        <v>6.1773999999999998E-4</v>
      </c>
    </row>
    <row r="21" spans="1:3" x14ac:dyDescent="0.25">
      <c r="A21">
        <v>38</v>
      </c>
      <c r="B21">
        <v>37</v>
      </c>
      <c r="C21">
        <v>1.4985000000000001E-4</v>
      </c>
    </row>
    <row r="22" spans="1:3" x14ac:dyDescent="0.25">
      <c r="A22">
        <v>396</v>
      </c>
      <c r="B22">
        <v>37</v>
      </c>
      <c r="C22">
        <v>0.98703642999999996</v>
      </c>
    </row>
    <row r="23" spans="1:3" x14ac:dyDescent="0.25">
      <c r="A23">
        <v>38</v>
      </c>
      <c r="B23">
        <v>38</v>
      </c>
      <c r="C23">
        <v>1.1299700000000001E-3</v>
      </c>
    </row>
    <row r="24" spans="1:3" x14ac:dyDescent="0.25">
      <c r="A24">
        <v>57</v>
      </c>
      <c r="B24">
        <v>38</v>
      </c>
      <c r="C24">
        <v>0.99575213000000007</v>
      </c>
    </row>
    <row r="25" spans="1:3" x14ac:dyDescent="0.25">
      <c r="A25">
        <v>286</v>
      </c>
      <c r="B25">
        <v>38</v>
      </c>
      <c r="C25">
        <v>3.1368999999999999E-4</v>
      </c>
    </row>
    <row r="26" spans="1:3" x14ac:dyDescent="0.25">
      <c r="A26">
        <v>396</v>
      </c>
      <c r="B26">
        <v>38</v>
      </c>
      <c r="C26">
        <v>2.8533599999999997E-3</v>
      </c>
    </row>
    <row r="27" spans="1:3" x14ac:dyDescent="0.25">
      <c r="A27">
        <v>402</v>
      </c>
      <c r="B27">
        <v>38</v>
      </c>
      <c r="C27">
        <v>5.9860999999999996E-4</v>
      </c>
    </row>
    <row r="28" spans="1:3" x14ac:dyDescent="0.25">
      <c r="A28">
        <v>406</v>
      </c>
      <c r="B28">
        <v>38</v>
      </c>
      <c r="C28">
        <v>6.7199999999999996E-4</v>
      </c>
    </row>
    <row r="29" spans="1:3" x14ac:dyDescent="0.25">
      <c r="A29">
        <v>37</v>
      </c>
      <c r="B29">
        <v>39</v>
      </c>
      <c r="C29">
        <v>1.6158100000000001E-3</v>
      </c>
    </row>
    <row r="30" spans="1:3" x14ac:dyDescent="0.25">
      <c r="A30">
        <v>38</v>
      </c>
      <c r="B30">
        <v>39</v>
      </c>
      <c r="C30">
        <v>0.99442468000000006</v>
      </c>
    </row>
    <row r="31" spans="1:3" x14ac:dyDescent="0.25">
      <c r="A31">
        <v>39</v>
      </c>
      <c r="B31">
        <v>39</v>
      </c>
      <c r="C31">
        <v>4.2789999999999995E-5</v>
      </c>
    </row>
    <row r="32" spans="1:3" x14ac:dyDescent="0.25">
      <c r="A32">
        <v>396</v>
      </c>
      <c r="B32">
        <v>39</v>
      </c>
      <c r="C32">
        <v>7.0832000000000002E-4</v>
      </c>
    </row>
    <row r="33" spans="1:3" x14ac:dyDescent="0.25">
      <c r="A33">
        <v>401</v>
      </c>
      <c r="B33">
        <v>39</v>
      </c>
      <c r="C33">
        <v>5.1823000000000006E-4</v>
      </c>
    </row>
    <row r="34" spans="1:3" x14ac:dyDescent="0.25">
      <c r="A34">
        <v>402</v>
      </c>
      <c r="B34">
        <v>39</v>
      </c>
      <c r="C34">
        <v>8.6083000000000004E-4</v>
      </c>
    </row>
    <row r="35" spans="1:3" x14ac:dyDescent="0.25">
      <c r="A35">
        <v>36</v>
      </c>
      <c r="B35">
        <v>40</v>
      </c>
      <c r="C35">
        <v>1.12476E-3</v>
      </c>
    </row>
    <row r="36" spans="1:3" x14ac:dyDescent="0.25">
      <c r="A36">
        <v>37</v>
      </c>
      <c r="B36">
        <v>40</v>
      </c>
      <c r="C36">
        <v>1.1373E-4</v>
      </c>
    </row>
    <row r="37" spans="1:3" x14ac:dyDescent="0.25">
      <c r="A37">
        <v>42</v>
      </c>
      <c r="B37">
        <v>40</v>
      </c>
      <c r="C37">
        <v>1.2815999999999999E-4</v>
      </c>
    </row>
    <row r="38" spans="1:3" x14ac:dyDescent="0.25">
      <c r="A38">
        <v>401</v>
      </c>
      <c r="B38">
        <v>40</v>
      </c>
      <c r="C38">
        <v>0.99431811999999997</v>
      </c>
    </row>
    <row r="39" spans="1:3" x14ac:dyDescent="0.25">
      <c r="A39">
        <v>35</v>
      </c>
      <c r="B39">
        <v>41</v>
      </c>
      <c r="C39">
        <v>5.8222000000000005E-4</v>
      </c>
    </row>
    <row r="40" spans="1:3" x14ac:dyDescent="0.25">
      <c r="A40">
        <v>36</v>
      </c>
      <c r="B40">
        <v>41</v>
      </c>
      <c r="C40">
        <v>9.1551999999999996E-4</v>
      </c>
    </row>
    <row r="41" spans="1:3" x14ac:dyDescent="0.25">
      <c r="A41">
        <v>42</v>
      </c>
      <c r="B41">
        <v>41</v>
      </c>
      <c r="C41">
        <v>0.99588673999999999</v>
      </c>
    </row>
    <row r="42" spans="1:3" x14ac:dyDescent="0.25">
      <c r="A42">
        <v>401</v>
      </c>
      <c r="B42">
        <v>41</v>
      </c>
      <c r="C42">
        <v>2.35769E-3</v>
      </c>
    </row>
    <row r="43" spans="1:3" x14ac:dyDescent="0.25">
      <c r="A43">
        <v>31</v>
      </c>
      <c r="B43">
        <v>42</v>
      </c>
      <c r="C43">
        <v>7.4980000000000004E-5</v>
      </c>
    </row>
    <row r="44" spans="1:3" x14ac:dyDescent="0.25">
      <c r="A44">
        <v>32</v>
      </c>
      <c r="B44">
        <v>42</v>
      </c>
      <c r="C44">
        <v>0.99182647000000002</v>
      </c>
    </row>
    <row r="45" spans="1:3" x14ac:dyDescent="0.25">
      <c r="A45">
        <v>33</v>
      </c>
      <c r="B45">
        <v>42</v>
      </c>
      <c r="C45">
        <v>1.7283999999999999E-3</v>
      </c>
    </row>
    <row r="46" spans="1:3" x14ac:dyDescent="0.25">
      <c r="A46">
        <v>399</v>
      </c>
      <c r="B46">
        <v>42</v>
      </c>
      <c r="C46">
        <v>5.0863999999999998E-4</v>
      </c>
    </row>
    <row r="47" spans="1:3" x14ac:dyDescent="0.25">
      <c r="A47">
        <v>405</v>
      </c>
      <c r="B47">
        <v>42</v>
      </c>
      <c r="C47">
        <v>6.4776800000000004E-3</v>
      </c>
    </row>
    <row r="48" spans="1:3" x14ac:dyDescent="0.25">
      <c r="A48">
        <v>32</v>
      </c>
      <c r="B48">
        <v>43</v>
      </c>
      <c r="C48">
        <v>1.50921E-3</v>
      </c>
    </row>
    <row r="49" spans="1:3" x14ac:dyDescent="0.25">
      <c r="A49">
        <v>45</v>
      </c>
      <c r="B49">
        <v>43</v>
      </c>
      <c r="C49">
        <v>3.1594619999999997E-2</v>
      </c>
    </row>
    <row r="50" spans="1:3" x14ac:dyDescent="0.25">
      <c r="A50">
        <v>46</v>
      </c>
      <c r="B50">
        <v>43</v>
      </c>
      <c r="C50">
        <v>4.9469999999999999E-5</v>
      </c>
    </row>
    <row r="51" spans="1:3" x14ac:dyDescent="0.25">
      <c r="A51">
        <v>48</v>
      </c>
      <c r="B51">
        <v>43</v>
      </c>
      <c r="C51">
        <v>1.3746979999999999E-2</v>
      </c>
    </row>
    <row r="52" spans="1:3" x14ac:dyDescent="0.25">
      <c r="A52">
        <v>66</v>
      </c>
      <c r="B52">
        <v>43</v>
      </c>
      <c r="C52">
        <v>2.2737E-3</v>
      </c>
    </row>
    <row r="53" spans="1:3" x14ac:dyDescent="0.25">
      <c r="A53">
        <v>68</v>
      </c>
      <c r="B53">
        <v>43</v>
      </c>
      <c r="C53">
        <v>2.0473000000000003E-4</v>
      </c>
    </row>
    <row r="54" spans="1:3" x14ac:dyDescent="0.25">
      <c r="A54">
        <v>79</v>
      </c>
      <c r="B54">
        <v>43</v>
      </c>
      <c r="C54">
        <v>1.9149E-4</v>
      </c>
    </row>
    <row r="55" spans="1:3" x14ac:dyDescent="0.25">
      <c r="A55">
        <v>95</v>
      </c>
      <c r="B55">
        <v>43</v>
      </c>
      <c r="C55">
        <v>2.5772000000000002E-4</v>
      </c>
    </row>
    <row r="56" spans="1:3" x14ac:dyDescent="0.25">
      <c r="A56">
        <v>398</v>
      </c>
      <c r="B56">
        <v>43</v>
      </c>
      <c r="C56">
        <v>0.14131971999999998</v>
      </c>
    </row>
    <row r="57" spans="1:3" x14ac:dyDescent="0.25">
      <c r="A57">
        <v>399</v>
      </c>
      <c r="B57">
        <v>43</v>
      </c>
      <c r="C57">
        <v>0.98267177000000006</v>
      </c>
    </row>
    <row r="58" spans="1:3" x14ac:dyDescent="0.25">
      <c r="A58">
        <v>32</v>
      </c>
      <c r="B58">
        <v>44</v>
      </c>
      <c r="C58">
        <v>4.0826000000000002E-4</v>
      </c>
    </row>
    <row r="59" spans="1:3" x14ac:dyDescent="0.25">
      <c r="A59">
        <v>33</v>
      </c>
      <c r="B59">
        <v>44</v>
      </c>
      <c r="C59">
        <v>2.6970000000000001E-5</v>
      </c>
    </row>
    <row r="60" spans="1:3" x14ac:dyDescent="0.25">
      <c r="A60">
        <v>43</v>
      </c>
      <c r="B60">
        <v>44</v>
      </c>
      <c r="C60">
        <v>2.00797E-3</v>
      </c>
    </row>
    <row r="61" spans="1:3" x14ac:dyDescent="0.25">
      <c r="A61">
        <v>44</v>
      </c>
      <c r="B61">
        <v>44</v>
      </c>
      <c r="C61">
        <v>6.0354699999999994E-3</v>
      </c>
    </row>
    <row r="62" spans="1:3" x14ac:dyDescent="0.25">
      <c r="A62">
        <v>45</v>
      </c>
      <c r="B62">
        <v>44</v>
      </c>
      <c r="C62">
        <v>0.95426047999999997</v>
      </c>
    </row>
    <row r="63" spans="1:3" x14ac:dyDescent="0.25">
      <c r="A63">
        <v>405</v>
      </c>
      <c r="B63">
        <v>44</v>
      </c>
      <c r="C63">
        <v>0.99352236000000005</v>
      </c>
    </row>
    <row r="64" spans="1:3" x14ac:dyDescent="0.25">
      <c r="A64">
        <v>33</v>
      </c>
      <c r="B64">
        <v>45</v>
      </c>
      <c r="C64">
        <v>2.4605999999999999E-4</v>
      </c>
    </row>
    <row r="65" spans="1:3" x14ac:dyDescent="0.25">
      <c r="A65">
        <v>34</v>
      </c>
      <c r="B65">
        <v>45</v>
      </c>
      <c r="C65">
        <v>8.6047999999999995E-4</v>
      </c>
    </row>
    <row r="66" spans="1:3" x14ac:dyDescent="0.25">
      <c r="A66">
        <v>35</v>
      </c>
      <c r="B66">
        <v>45</v>
      </c>
      <c r="C66">
        <v>2.81E-4</v>
      </c>
    </row>
    <row r="67" spans="1:3" x14ac:dyDescent="0.25">
      <c r="A67">
        <v>41</v>
      </c>
      <c r="B67">
        <v>45</v>
      </c>
      <c r="C67">
        <v>1.73435E-3</v>
      </c>
    </row>
    <row r="68" spans="1:3" x14ac:dyDescent="0.25">
      <c r="A68">
        <v>43</v>
      </c>
      <c r="B68">
        <v>45</v>
      </c>
      <c r="C68">
        <v>0.99477298999999997</v>
      </c>
    </row>
    <row r="69" spans="1:3" x14ac:dyDescent="0.25">
      <c r="A69">
        <v>43</v>
      </c>
      <c r="B69">
        <v>47</v>
      </c>
      <c r="C69">
        <v>2.0868700000000002E-3</v>
      </c>
    </row>
    <row r="70" spans="1:3" x14ac:dyDescent="0.25">
      <c r="A70">
        <v>44</v>
      </c>
      <c r="B70">
        <v>47</v>
      </c>
      <c r="C70">
        <v>0.99234257000000003</v>
      </c>
    </row>
    <row r="71" spans="1:3" x14ac:dyDescent="0.25">
      <c r="A71">
        <v>45</v>
      </c>
      <c r="B71">
        <v>47</v>
      </c>
      <c r="C71">
        <v>1.42954E-2</v>
      </c>
    </row>
    <row r="72" spans="1:3" x14ac:dyDescent="0.25">
      <c r="A72">
        <v>46</v>
      </c>
      <c r="B72">
        <v>47</v>
      </c>
      <c r="C72">
        <v>1.064E-5</v>
      </c>
    </row>
    <row r="73" spans="1:3" x14ac:dyDescent="0.25">
      <c r="A73">
        <v>46</v>
      </c>
      <c r="B73">
        <v>48</v>
      </c>
      <c r="C73">
        <v>1.6317200000000001E-3</v>
      </c>
    </row>
    <row r="74" spans="1:3" x14ac:dyDescent="0.25">
      <c r="A74">
        <v>398</v>
      </c>
      <c r="B74">
        <v>48</v>
      </c>
      <c r="C74">
        <v>0.67723222000000005</v>
      </c>
    </row>
    <row r="75" spans="1:3" x14ac:dyDescent="0.25">
      <c r="A75">
        <v>399</v>
      </c>
      <c r="B75">
        <v>48</v>
      </c>
      <c r="C75">
        <v>5.3585999999999998E-4</v>
      </c>
    </row>
    <row r="76" spans="1:3" x14ac:dyDescent="0.25">
      <c r="A76">
        <v>41</v>
      </c>
      <c r="B76">
        <v>49</v>
      </c>
      <c r="C76">
        <v>2.0434900000000002E-3</v>
      </c>
    </row>
    <row r="77" spans="1:3" x14ac:dyDescent="0.25">
      <c r="A77">
        <v>43</v>
      </c>
      <c r="B77">
        <v>49</v>
      </c>
      <c r="C77">
        <v>1.164E-5</v>
      </c>
    </row>
    <row r="78" spans="1:3" x14ac:dyDescent="0.25">
      <c r="A78">
        <v>44</v>
      </c>
      <c r="B78">
        <v>49</v>
      </c>
      <c r="C78">
        <v>1.6042300000000001E-3</v>
      </c>
    </row>
    <row r="79" spans="1:3" x14ac:dyDescent="0.25">
      <c r="A79">
        <v>45</v>
      </c>
      <c r="B79">
        <v>49</v>
      </c>
      <c r="C79">
        <v>8.4099999999999991E-6</v>
      </c>
    </row>
    <row r="80" spans="1:3" x14ac:dyDescent="0.25">
      <c r="A80">
        <v>46</v>
      </c>
      <c r="B80">
        <v>49</v>
      </c>
      <c r="C80">
        <v>0.99572055000000004</v>
      </c>
    </row>
    <row r="81" spans="1:3" x14ac:dyDescent="0.25">
      <c r="A81">
        <v>47</v>
      </c>
      <c r="B81">
        <v>49</v>
      </c>
      <c r="C81">
        <v>5.2536E-4</v>
      </c>
    </row>
    <row r="82" spans="1:3" x14ac:dyDescent="0.25">
      <c r="A82">
        <v>398</v>
      </c>
      <c r="B82">
        <v>49</v>
      </c>
      <c r="C82">
        <v>2.8306900000000003E-3</v>
      </c>
    </row>
    <row r="83" spans="1:3" x14ac:dyDescent="0.25">
      <c r="A83">
        <v>35</v>
      </c>
      <c r="B83">
        <v>50</v>
      </c>
      <c r="C83">
        <v>7.4962E-4</v>
      </c>
    </row>
    <row r="84" spans="1:3" x14ac:dyDescent="0.25">
      <c r="A84">
        <v>41</v>
      </c>
      <c r="B84">
        <v>50</v>
      </c>
      <c r="C84">
        <v>0.99410898999999997</v>
      </c>
    </row>
    <row r="85" spans="1:3" x14ac:dyDescent="0.25">
      <c r="A85">
        <v>42</v>
      </c>
      <c r="B85">
        <v>50</v>
      </c>
      <c r="C85">
        <v>3.9843500000000002E-3</v>
      </c>
    </row>
    <row r="86" spans="1:3" x14ac:dyDescent="0.25">
      <c r="A86">
        <v>43</v>
      </c>
      <c r="B86">
        <v>50</v>
      </c>
      <c r="C86">
        <v>5.041E-5</v>
      </c>
    </row>
    <row r="87" spans="1:3" x14ac:dyDescent="0.25">
      <c r="A87">
        <v>41</v>
      </c>
      <c r="B87">
        <v>51</v>
      </c>
      <c r="C87">
        <v>2.0233999999999999E-3</v>
      </c>
    </row>
    <row r="88" spans="1:3" x14ac:dyDescent="0.25">
      <c r="A88">
        <v>46</v>
      </c>
      <c r="B88">
        <v>51</v>
      </c>
      <c r="C88">
        <v>1.3860700000000001E-3</v>
      </c>
    </row>
    <row r="89" spans="1:3" x14ac:dyDescent="0.25">
      <c r="A89">
        <v>47</v>
      </c>
      <c r="B89">
        <v>51</v>
      </c>
      <c r="C89">
        <v>0.99345713000000002</v>
      </c>
    </row>
    <row r="90" spans="1:3" x14ac:dyDescent="0.25">
      <c r="A90">
        <v>52</v>
      </c>
      <c r="B90">
        <v>51</v>
      </c>
      <c r="C90">
        <v>1.07576E-3</v>
      </c>
    </row>
    <row r="91" spans="1:3" x14ac:dyDescent="0.25">
      <c r="A91">
        <v>398</v>
      </c>
      <c r="B91">
        <v>51</v>
      </c>
      <c r="C91">
        <v>1.0353000000000001E-3</v>
      </c>
    </row>
    <row r="92" spans="1:3" x14ac:dyDescent="0.25">
      <c r="A92">
        <v>47</v>
      </c>
      <c r="B92">
        <v>52</v>
      </c>
      <c r="C92">
        <v>2.9395100000000002E-3</v>
      </c>
    </row>
    <row r="93" spans="1:3" x14ac:dyDescent="0.25">
      <c r="A93">
        <v>49</v>
      </c>
      <c r="B93">
        <v>52</v>
      </c>
      <c r="C93">
        <v>0.98995689999999992</v>
      </c>
    </row>
    <row r="94" spans="1:3" x14ac:dyDescent="0.25">
      <c r="A94">
        <v>50</v>
      </c>
      <c r="B94">
        <v>52</v>
      </c>
      <c r="C94">
        <v>0.99539860000000002</v>
      </c>
    </row>
    <row r="95" spans="1:3" x14ac:dyDescent="0.25">
      <c r="A95">
        <v>51</v>
      </c>
      <c r="B95">
        <v>52</v>
      </c>
      <c r="C95">
        <v>2.365482E-2</v>
      </c>
    </row>
    <row r="96" spans="1:3" x14ac:dyDescent="0.25">
      <c r="A96">
        <v>52</v>
      </c>
      <c r="B96">
        <v>52</v>
      </c>
      <c r="C96">
        <v>1.08136E-3</v>
      </c>
    </row>
    <row r="97" spans="1:3" x14ac:dyDescent="0.25">
      <c r="A97">
        <v>48</v>
      </c>
      <c r="B97">
        <v>53</v>
      </c>
      <c r="C97">
        <v>0.96310169999999995</v>
      </c>
    </row>
    <row r="98" spans="1:3" x14ac:dyDescent="0.25">
      <c r="A98">
        <v>49</v>
      </c>
      <c r="B98">
        <v>53</v>
      </c>
      <c r="C98">
        <v>7.5732999999999998E-3</v>
      </c>
    </row>
    <row r="99" spans="1:3" x14ac:dyDescent="0.25">
      <c r="A99">
        <v>399</v>
      </c>
      <c r="B99">
        <v>53</v>
      </c>
      <c r="C99">
        <v>2.4542499999999998E-3</v>
      </c>
    </row>
    <row r="100" spans="1:3" x14ac:dyDescent="0.25">
      <c r="A100">
        <v>39</v>
      </c>
      <c r="B100">
        <v>54</v>
      </c>
      <c r="C100">
        <v>1.87514E-3</v>
      </c>
    </row>
    <row r="101" spans="1:3" x14ac:dyDescent="0.25">
      <c r="A101">
        <v>40</v>
      </c>
      <c r="B101">
        <v>54</v>
      </c>
      <c r="C101">
        <v>4.9754300000000003E-3</v>
      </c>
    </row>
    <row r="102" spans="1:3" x14ac:dyDescent="0.25">
      <c r="A102">
        <v>41</v>
      </c>
      <c r="B102">
        <v>54</v>
      </c>
      <c r="C102">
        <v>3.3000000000000002E-7</v>
      </c>
    </row>
    <row r="103" spans="1:3" x14ac:dyDescent="0.25">
      <c r="A103">
        <v>47</v>
      </c>
      <c r="B103">
        <v>54</v>
      </c>
      <c r="C103">
        <v>1.9245999999999998E-4</v>
      </c>
    </row>
    <row r="104" spans="1:3" x14ac:dyDescent="0.25">
      <c r="A104">
        <v>51</v>
      </c>
      <c r="B104">
        <v>54</v>
      </c>
      <c r="C104">
        <v>0.97606582000000008</v>
      </c>
    </row>
    <row r="105" spans="1:3" x14ac:dyDescent="0.25">
      <c r="A105">
        <v>52</v>
      </c>
      <c r="B105">
        <v>54</v>
      </c>
      <c r="C105">
        <v>0.99784287999999999</v>
      </c>
    </row>
    <row r="106" spans="1:3" x14ac:dyDescent="0.25">
      <c r="A106">
        <v>53</v>
      </c>
      <c r="B106">
        <v>54</v>
      </c>
      <c r="C106">
        <v>0.99947342000000006</v>
      </c>
    </row>
    <row r="107" spans="1:3" x14ac:dyDescent="0.25">
      <c r="A107">
        <v>54</v>
      </c>
      <c r="B107">
        <v>54</v>
      </c>
      <c r="C107">
        <v>0.9998992699999999</v>
      </c>
    </row>
    <row r="108" spans="1:3" x14ac:dyDescent="0.25">
      <c r="A108">
        <v>55</v>
      </c>
      <c r="B108">
        <v>54</v>
      </c>
      <c r="C108">
        <v>2.2767999999999999E-4</v>
      </c>
    </row>
    <row r="109" spans="1:3" x14ac:dyDescent="0.25">
      <c r="A109">
        <v>56</v>
      </c>
      <c r="B109">
        <v>54</v>
      </c>
      <c r="C109">
        <v>1.26475E-3</v>
      </c>
    </row>
    <row r="110" spans="1:3" x14ac:dyDescent="0.25">
      <c r="A110">
        <v>404</v>
      </c>
      <c r="B110">
        <v>54</v>
      </c>
      <c r="C110">
        <v>4.0127999999999995E-4</v>
      </c>
    </row>
    <row r="111" spans="1:3" x14ac:dyDescent="0.25">
      <c r="A111">
        <v>40</v>
      </c>
      <c r="B111">
        <v>55</v>
      </c>
      <c r="C111">
        <v>0.99404689000000002</v>
      </c>
    </row>
    <row r="112" spans="1:3" x14ac:dyDescent="0.25">
      <c r="A112">
        <v>41</v>
      </c>
      <c r="B112">
        <v>55</v>
      </c>
      <c r="C112">
        <v>8.9400000000000005E-5</v>
      </c>
    </row>
    <row r="113" spans="1:3" x14ac:dyDescent="0.25">
      <c r="A113">
        <v>42</v>
      </c>
      <c r="B113">
        <v>55</v>
      </c>
      <c r="C113">
        <v>7.1000000000000008E-7</v>
      </c>
    </row>
    <row r="114" spans="1:3" x14ac:dyDescent="0.25">
      <c r="A114">
        <v>401</v>
      </c>
      <c r="B114">
        <v>55</v>
      </c>
      <c r="C114">
        <v>2.1521299999999999E-3</v>
      </c>
    </row>
    <row r="115" spans="1:3" x14ac:dyDescent="0.25">
      <c r="A115">
        <v>38</v>
      </c>
      <c r="B115">
        <v>56</v>
      </c>
      <c r="C115">
        <v>3.13372E-3</v>
      </c>
    </row>
    <row r="116" spans="1:3" x14ac:dyDescent="0.25">
      <c r="A116">
        <v>39</v>
      </c>
      <c r="B116">
        <v>56</v>
      </c>
      <c r="C116">
        <v>0.99501452000000001</v>
      </c>
    </row>
    <row r="117" spans="1:3" x14ac:dyDescent="0.25">
      <c r="A117">
        <v>40</v>
      </c>
      <c r="B117">
        <v>56</v>
      </c>
      <c r="C117">
        <v>9.7769000000000003E-4</v>
      </c>
    </row>
    <row r="118" spans="1:3" x14ac:dyDescent="0.25">
      <c r="A118">
        <v>56</v>
      </c>
      <c r="B118">
        <v>56</v>
      </c>
      <c r="C118">
        <v>7.7000000000000004E-7</v>
      </c>
    </row>
    <row r="119" spans="1:3" x14ac:dyDescent="0.25">
      <c r="A119">
        <v>401</v>
      </c>
      <c r="B119">
        <v>56</v>
      </c>
      <c r="C119">
        <v>6.5386999999999997E-4</v>
      </c>
    </row>
    <row r="120" spans="1:3" x14ac:dyDescent="0.25">
      <c r="A120">
        <v>402</v>
      </c>
      <c r="B120">
        <v>56</v>
      </c>
      <c r="C120">
        <v>0.98727410999999998</v>
      </c>
    </row>
    <row r="121" spans="1:3" x14ac:dyDescent="0.25">
      <c r="A121">
        <v>406</v>
      </c>
      <c r="B121">
        <v>56</v>
      </c>
      <c r="C121">
        <v>2.8601000000000001E-4</v>
      </c>
    </row>
    <row r="122" spans="1:3" x14ac:dyDescent="0.25">
      <c r="A122">
        <v>48</v>
      </c>
      <c r="B122">
        <v>61</v>
      </c>
      <c r="C122">
        <v>1.5608000000000001E-4</v>
      </c>
    </row>
    <row r="123" spans="1:3" x14ac:dyDescent="0.25">
      <c r="A123">
        <v>49</v>
      </c>
      <c r="B123">
        <v>61</v>
      </c>
      <c r="C123">
        <v>1.28856E-3</v>
      </c>
    </row>
    <row r="124" spans="1:3" x14ac:dyDescent="0.25">
      <c r="A124">
        <v>50</v>
      </c>
      <c r="B124">
        <v>61</v>
      </c>
      <c r="C124">
        <v>3.8298900000000003E-3</v>
      </c>
    </row>
    <row r="125" spans="1:3" x14ac:dyDescent="0.25">
      <c r="A125">
        <v>65</v>
      </c>
      <c r="B125">
        <v>61</v>
      </c>
      <c r="C125">
        <v>8.4487599999999996E-3</v>
      </c>
    </row>
    <row r="126" spans="1:3" x14ac:dyDescent="0.25">
      <c r="A126">
        <v>66</v>
      </c>
      <c r="B126">
        <v>61</v>
      </c>
      <c r="C126">
        <v>0.9977226400000001</v>
      </c>
    </row>
    <row r="127" spans="1:3" x14ac:dyDescent="0.25">
      <c r="A127">
        <v>67</v>
      </c>
      <c r="B127">
        <v>61</v>
      </c>
      <c r="C127">
        <v>0.34332602000000001</v>
      </c>
    </row>
    <row r="128" spans="1:3" x14ac:dyDescent="0.25">
      <c r="A128">
        <v>68</v>
      </c>
      <c r="B128">
        <v>61</v>
      </c>
      <c r="C128">
        <v>0.99152111000000009</v>
      </c>
    </row>
    <row r="129" spans="1:3" x14ac:dyDescent="0.25">
      <c r="A129">
        <v>399</v>
      </c>
      <c r="B129">
        <v>61</v>
      </c>
      <c r="C129">
        <v>1.1588E-4</v>
      </c>
    </row>
    <row r="130" spans="1:3" x14ac:dyDescent="0.25">
      <c r="A130">
        <v>50</v>
      </c>
      <c r="B130">
        <v>64</v>
      </c>
      <c r="C130">
        <v>7.2390000000000003E-5</v>
      </c>
    </row>
    <row r="131" spans="1:3" x14ac:dyDescent="0.25">
      <c r="A131">
        <v>60</v>
      </c>
      <c r="B131">
        <v>64</v>
      </c>
      <c r="C131">
        <v>3.0832399999999997E-3</v>
      </c>
    </row>
    <row r="132" spans="1:3" x14ac:dyDescent="0.25">
      <c r="A132">
        <v>63</v>
      </c>
      <c r="B132">
        <v>64</v>
      </c>
      <c r="C132">
        <v>9.8108599999999994E-3</v>
      </c>
    </row>
    <row r="133" spans="1:3" x14ac:dyDescent="0.25">
      <c r="A133">
        <v>64</v>
      </c>
      <c r="B133">
        <v>64</v>
      </c>
      <c r="C133">
        <v>1.106265E-2</v>
      </c>
    </row>
    <row r="134" spans="1:3" x14ac:dyDescent="0.25">
      <c r="A134">
        <v>65</v>
      </c>
      <c r="B134">
        <v>64</v>
      </c>
      <c r="C134">
        <v>0.99100482999999995</v>
      </c>
    </row>
    <row r="135" spans="1:3" x14ac:dyDescent="0.25">
      <c r="A135">
        <v>67</v>
      </c>
      <c r="B135">
        <v>64</v>
      </c>
      <c r="C135">
        <v>0.64669290000000001</v>
      </c>
    </row>
    <row r="136" spans="1:3" x14ac:dyDescent="0.25">
      <c r="A136">
        <v>50</v>
      </c>
      <c r="B136">
        <v>65</v>
      </c>
      <c r="C136">
        <v>6.9907999999999993E-4</v>
      </c>
    </row>
    <row r="137" spans="1:3" x14ac:dyDescent="0.25">
      <c r="A137">
        <v>51</v>
      </c>
      <c r="B137">
        <v>65</v>
      </c>
      <c r="C137">
        <v>2.7940000000000002E-4</v>
      </c>
    </row>
    <row r="138" spans="1:3" x14ac:dyDescent="0.25">
      <c r="A138">
        <v>53</v>
      </c>
      <c r="B138">
        <v>65</v>
      </c>
      <c r="C138">
        <v>2.9470000000000001E-5</v>
      </c>
    </row>
    <row r="139" spans="1:3" x14ac:dyDescent="0.25">
      <c r="A139">
        <v>55</v>
      </c>
      <c r="B139">
        <v>65</v>
      </c>
      <c r="C139">
        <v>2.4923100000000002E-3</v>
      </c>
    </row>
    <row r="140" spans="1:3" x14ac:dyDescent="0.25">
      <c r="A140">
        <v>59</v>
      </c>
      <c r="B140">
        <v>65</v>
      </c>
      <c r="C140">
        <v>2.6735800000000001E-3</v>
      </c>
    </row>
    <row r="141" spans="1:3" x14ac:dyDescent="0.25">
      <c r="A141">
        <v>60</v>
      </c>
      <c r="B141">
        <v>65</v>
      </c>
      <c r="C141">
        <v>0.98869060000000009</v>
      </c>
    </row>
    <row r="142" spans="1:3" x14ac:dyDescent="0.25">
      <c r="A142">
        <v>63</v>
      </c>
      <c r="B142">
        <v>65</v>
      </c>
      <c r="C142">
        <v>3.4247999999999999E-4</v>
      </c>
    </row>
    <row r="143" spans="1:3" x14ac:dyDescent="0.25">
      <c r="A143">
        <v>65</v>
      </c>
      <c r="B143">
        <v>65</v>
      </c>
      <c r="C143">
        <v>5.4633999999999998E-4</v>
      </c>
    </row>
    <row r="144" spans="1:3" x14ac:dyDescent="0.25">
      <c r="A144">
        <v>53</v>
      </c>
      <c r="B144">
        <v>66</v>
      </c>
      <c r="C144">
        <v>4.9711999999999998E-4</v>
      </c>
    </row>
    <row r="145" spans="1:3" x14ac:dyDescent="0.25">
      <c r="A145">
        <v>54</v>
      </c>
      <c r="B145">
        <v>66</v>
      </c>
      <c r="C145">
        <v>4.7600000000000005E-5</v>
      </c>
    </row>
    <row r="146" spans="1:3" x14ac:dyDescent="0.25">
      <c r="A146">
        <v>55</v>
      </c>
      <c r="B146">
        <v>66</v>
      </c>
      <c r="C146">
        <v>0.99317533000000002</v>
      </c>
    </row>
    <row r="147" spans="1:3" x14ac:dyDescent="0.25">
      <c r="A147">
        <v>403</v>
      </c>
      <c r="B147">
        <v>66</v>
      </c>
      <c r="C147">
        <v>1.8651130000000002E-2</v>
      </c>
    </row>
    <row r="148" spans="1:3" x14ac:dyDescent="0.25">
      <c r="A148">
        <v>404</v>
      </c>
      <c r="B148">
        <v>66</v>
      </c>
      <c r="C148">
        <v>4.5512999999999994E-3</v>
      </c>
    </row>
    <row r="149" spans="1:3" x14ac:dyDescent="0.25">
      <c r="A149">
        <v>406</v>
      </c>
      <c r="B149">
        <v>66</v>
      </c>
      <c r="C149">
        <v>1.7468E-4</v>
      </c>
    </row>
    <row r="150" spans="1:3" x14ac:dyDescent="0.25">
      <c r="A150">
        <v>39</v>
      </c>
      <c r="B150">
        <v>67</v>
      </c>
      <c r="C150">
        <v>3.0675599999999996E-3</v>
      </c>
    </row>
    <row r="151" spans="1:3" x14ac:dyDescent="0.25">
      <c r="A151">
        <v>54</v>
      </c>
      <c r="B151">
        <v>67</v>
      </c>
      <c r="C151">
        <v>5.3130000000000001E-5</v>
      </c>
    </row>
    <row r="152" spans="1:3" x14ac:dyDescent="0.25">
      <c r="A152">
        <v>56</v>
      </c>
      <c r="B152">
        <v>67</v>
      </c>
      <c r="C152">
        <v>0.99873453000000001</v>
      </c>
    </row>
    <row r="153" spans="1:3" x14ac:dyDescent="0.25">
      <c r="A153">
        <v>402</v>
      </c>
      <c r="B153">
        <v>67</v>
      </c>
      <c r="C153">
        <v>9.9104299999999996E-3</v>
      </c>
    </row>
    <row r="154" spans="1:3" x14ac:dyDescent="0.25">
      <c r="A154">
        <v>404</v>
      </c>
      <c r="B154">
        <v>67</v>
      </c>
      <c r="C154">
        <v>0.98382413000000002</v>
      </c>
    </row>
    <row r="155" spans="1:3" x14ac:dyDescent="0.25">
      <c r="A155">
        <v>57</v>
      </c>
      <c r="B155">
        <v>70</v>
      </c>
      <c r="C155">
        <v>8.2021999999999998E-4</v>
      </c>
    </row>
    <row r="156" spans="1:3" x14ac:dyDescent="0.25">
      <c r="A156">
        <v>402</v>
      </c>
      <c r="B156">
        <v>70</v>
      </c>
      <c r="C156">
        <v>1.3560900000000001E-3</v>
      </c>
    </row>
    <row r="157" spans="1:3" x14ac:dyDescent="0.25">
      <c r="A157">
        <v>404</v>
      </c>
      <c r="B157">
        <v>70</v>
      </c>
      <c r="C157">
        <v>1.1223259999999999E-2</v>
      </c>
    </row>
    <row r="158" spans="1:3" x14ac:dyDescent="0.25">
      <c r="A158">
        <v>406</v>
      </c>
      <c r="B158">
        <v>70</v>
      </c>
      <c r="C158">
        <v>0.81592730999999996</v>
      </c>
    </row>
    <row r="159" spans="1:3" x14ac:dyDescent="0.25">
      <c r="A159">
        <v>55</v>
      </c>
      <c r="B159">
        <v>71</v>
      </c>
      <c r="C159">
        <v>1.7824E-4</v>
      </c>
    </row>
    <row r="160" spans="1:3" x14ac:dyDescent="0.25">
      <c r="A160">
        <v>57</v>
      </c>
      <c r="B160">
        <v>71</v>
      </c>
      <c r="C160">
        <v>2.9556199999999999E-3</v>
      </c>
    </row>
    <row r="161" spans="1:3" x14ac:dyDescent="0.25">
      <c r="A161">
        <v>58</v>
      </c>
      <c r="B161">
        <v>71</v>
      </c>
      <c r="C161">
        <v>0.99346272999999996</v>
      </c>
    </row>
    <row r="162" spans="1:3" x14ac:dyDescent="0.25">
      <c r="A162">
        <v>59</v>
      </c>
      <c r="B162">
        <v>71</v>
      </c>
      <c r="C162">
        <v>2.7511099999999998E-3</v>
      </c>
    </row>
    <row r="163" spans="1:3" x14ac:dyDescent="0.25">
      <c r="A163">
        <v>62</v>
      </c>
      <c r="B163">
        <v>71</v>
      </c>
      <c r="C163">
        <v>6.6727599999999998E-3</v>
      </c>
    </row>
    <row r="164" spans="1:3" x14ac:dyDescent="0.25">
      <c r="A164">
        <v>286</v>
      </c>
      <c r="B164">
        <v>71</v>
      </c>
      <c r="C164">
        <v>1.1919999999999999E-5</v>
      </c>
    </row>
    <row r="165" spans="1:3" x14ac:dyDescent="0.25">
      <c r="A165">
        <v>403</v>
      </c>
      <c r="B165">
        <v>71</v>
      </c>
      <c r="C165">
        <v>0.98033527000000009</v>
      </c>
    </row>
    <row r="166" spans="1:3" x14ac:dyDescent="0.25">
      <c r="A166">
        <v>406</v>
      </c>
      <c r="B166">
        <v>71</v>
      </c>
      <c r="C166">
        <v>0.18293999</v>
      </c>
    </row>
    <row r="167" spans="1:3" x14ac:dyDescent="0.25">
      <c r="A167">
        <v>407</v>
      </c>
      <c r="B167">
        <v>71</v>
      </c>
      <c r="C167">
        <v>0.99517482999999995</v>
      </c>
    </row>
    <row r="168" spans="1:3" x14ac:dyDescent="0.25">
      <c r="A168">
        <v>55</v>
      </c>
      <c r="B168">
        <v>74</v>
      </c>
      <c r="C168">
        <v>3.9264700000000005E-3</v>
      </c>
    </row>
    <row r="169" spans="1:3" x14ac:dyDescent="0.25">
      <c r="A169">
        <v>59</v>
      </c>
      <c r="B169">
        <v>74</v>
      </c>
      <c r="C169">
        <v>0.98192605999999993</v>
      </c>
    </row>
    <row r="170" spans="1:3" x14ac:dyDescent="0.25">
      <c r="A170">
        <v>60</v>
      </c>
      <c r="B170">
        <v>74</v>
      </c>
      <c r="C170">
        <v>1.09702E-3</v>
      </c>
    </row>
    <row r="171" spans="1:3" x14ac:dyDescent="0.25">
      <c r="A171">
        <v>61</v>
      </c>
      <c r="B171">
        <v>74</v>
      </c>
      <c r="C171">
        <v>2.5400000000000001E-5</v>
      </c>
    </row>
    <row r="172" spans="1:3" x14ac:dyDescent="0.25">
      <c r="A172">
        <v>403</v>
      </c>
      <c r="B172">
        <v>74</v>
      </c>
      <c r="C172">
        <v>1.0136399999999999E-3</v>
      </c>
    </row>
    <row r="173" spans="1:3" x14ac:dyDescent="0.25">
      <c r="A173">
        <v>407</v>
      </c>
      <c r="B173">
        <v>74</v>
      </c>
      <c r="C173">
        <v>2.6228699999999998E-3</v>
      </c>
    </row>
    <row r="174" spans="1:3" x14ac:dyDescent="0.25">
      <c r="A174">
        <v>59</v>
      </c>
      <c r="B174">
        <v>75</v>
      </c>
      <c r="C174">
        <v>9.7619899999999999E-3</v>
      </c>
    </row>
    <row r="175" spans="1:3" x14ac:dyDescent="0.25">
      <c r="A175">
        <v>60</v>
      </c>
      <c r="B175">
        <v>75</v>
      </c>
      <c r="C175">
        <v>4.1279200000000002E-3</v>
      </c>
    </row>
    <row r="176" spans="1:3" x14ac:dyDescent="0.25">
      <c r="A176">
        <v>61</v>
      </c>
      <c r="B176">
        <v>75</v>
      </c>
      <c r="C176">
        <v>0.98632143999999999</v>
      </c>
    </row>
    <row r="177" spans="1:3" x14ac:dyDescent="0.25">
      <c r="A177">
        <v>62</v>
      </c>
      <c r="B177">
        <v>75</v>
      </c>
      <c r="C177">
        <v>2.2992899999999998E-3</v>
      </c>
    </row>
    <row r="178" spans="1:3" x14ac:dyDescent="0.25">
      <c r="A178">
        <v>58</v>
      </c>
      <c r="B178">
        <v>76</v>
      </c>
      <c r="C178">
        <v>7.5814999999999997E-4</v>
      </c>
    </row>
    <row r="179" spans="1:3" x14ac:dyDescent="0.25">
      <c r="A179">
        <v>59</v>
      </c>
      <c r="B179">
        <v>76</v>
      </c>
      <c r="C179">
        <v>2.88719E-3</v>
      </c>
    </row>
    <row r="180" spans="1:3" x14ac:dyDescent="0.25">
      <c r="A180">
        <v>61</v>
      </c>
      <c r="B180">
        <v>76</v>
      </c>
      <c r="C180">
        <v>4.1643599999999998E-3</v>
      </c>
    </row>
    <row r="181" spans="1:3" x14ac:dyDescent="0.25">
      <c r="A181">
        <v>62</v>
      </c>
      <c r="B181">
        <v>76</v>
      </c>
      <c r="C181">
        <v>0.97403233</v>
      </c>
    </row>
    <row r="182" spans="1:3" x14ac:dyDescent="0.25">
      <c r="A182">
        <v>64</v>
      </c>
      <c r="B182">
        <v>76</v>
      </c>
      <c r="C182">
        <v>5.2527999999999993E-4</v>
      </c>
    </row>
    <row r="183" spans="1:3" x14ac:dyDescent="0.25">
      <c r="A183">
        <v>407</v>
      </c>
      <c r="B183">
        <v>76</v>
      </c>
      <c r="C183">
        <v>2.2022399999999998E-3</v>
      </c>
    </row>
    <row r="184" spans="1:3" x14ac:dyDescent="0.25">
      <c r="A184">
        <v>61</v>
      </c>
      <c r="B184">
        <v>77</v>
      </c>
      <c r="C184">
        <v>4.2909999999999994E-5</v>
      </c>
    </row>
    <row r="185" spans="1:3" x14ac:dyDescent="0.25">
      <c r="A185">
        <v>62</v>
      </c>
      <c r="B185">
        <v>77</v>
      </c>
      <c r="C185">
        <v>7.6116300000000003E-3</v>
      </c>
    </row>
    <row r="186" spans="1:3" x14ac:dyDescent="0.25">
      <c r="A186">
        <v>63</v>
      </c>
      <c r="B186">
        <v>77</v>
      </c>
      <c r="C186">
        <v>3.9403099999999998E-3</v>
      </c>
    </row>
    <row r="187" spans="1:3" x14ac:dyDescent="0.25">
      <c r="A187">
        <v>64</v>
      </c>
      <c r="B187">
        <v>77</v>
      </c>
      <c r="C187">
        <v>0.97771761000000001</v>
      </c>
    </row>
    <row r="188" spans="1:3" x14ac:dyDescent="0.25">
      <c r="A188">
        <v>60</v>
      </c>
      <c r="B188">
        <v>78</v>
      </c>
      <c r="C188">
        <v>3.0012200000000002E-3</v>
      </c>
    </row>
    <row r="189" spans="1:3" x14ac:dyDescent="0.25">
      <c r="A189">
        <v>61</v>
      </c>
      <c r="B189">
        <v>78</v>
      </c>
      <c r="C189">
        <v>9.44592E-3</v>
      </c>
    </row>
    <row r="190" spans="1:3" x14ac:dyDescent="0.25">
      <c r="A190">
        <v>63</v>
      </c>
      <c r="B190">
        <v>78</v>
      </c>
      <c r="C190">
        <v>0.98590633999999999</v>
      </c>
    </row>
    <row r="191" spans="1:3" x14ac:dyDescent="0.25">
      <c r="A191">
        <v>32</v>
      </c>
      <c r="B191">
        <v>80</v>
      </c>
      <c r="C191">
        <v>7.1874999999999999E-4</v>
      </c>
    </row>
    <row r="192" spans="1:3" x14ac:dyDescent="0.25">
      <c r="A192">
        <v>69</v>
      </c>
      <c r="B192">
        <v>80</v>
      </c>
      <c r="C192">
        <v>0.98980080999999998</v>
      </c>
    </row>
    <row r="193" spans="1:3" x14ac:dyDescent="0.25">
      <c r="A193">
        <v>74</v>
      </c>
      <c r="B193">
        <v>80</v>
      </c>
      <c r="C193">
        <v>8.8391999999999995E-4</v>
      </c>
    </row>
    <row r="194" spans="1:3" x14ac:dyDescent="0.25">
      <c r="A194">
        <v>79</v>
      </c>
      <c r="B194">
        <v>80</v>
      </c>
      <c r="C194">
        <v>1.7985000000000001E-4</v>
      </c>
    </row>
    <row r="195" spans="1:3" x14ac:dyDescent="0.25">
      <c r="A195">
        <v>32</v>
      </c>
      <c r="B195">
        <v>81</v>
      </c>
      <c r="C195">
        <v>5.4433200000000006E-3</v>
      </c>
    </row>
    <row r="196" spans="1:3" x14ac:dyDescent="0.25">
      <c r="A196">
        <v>69</v>
      </c>
      <c r="B196">
        <v>81</v>
      </c>
      <c r="C196">
        <v>1.5419999999999998E-5</v>
      </c>
    </row>
    <row r="197" spans="1:3" x14ac:dyDescent="0.25">
      <c r="A197">
        <v>79</v>
      </c>
      <c r="B197">
        <v>81</v>
      </c>
      <c r="C197">
        <v>0.86780917999999996</v>
      </c>
    </row>
    <row r="198" spans="1:3" x14ac:dyDescent="0.25">
      <c r="A198">
        <v>399</v>
      </c>
      <c r="B198">
        <v>81</v>
      </c>
      <c r="C198">
        <v>1.3548499999999999E-3</v>
      </c>
    </row>
    <row r="199" spans="1:3" x14ac:dyDescent="0.25">
      <c r="A199">
        <v>69</v>
      </c>
      <c r="B199">
        <v>82</v>
      </c>
      <c r="C199">
        <v>4.1680000000000001E-5</v>
      </c>
    </row>
    <row r="200" spans="1:3" x14ac:dyDescent="0.25">
      <c r="A200">
        <v>74</v>
      </c>
      <c r="B200">
        <v>82</v>
      </c>
      <c r="C200">
        <v>2.9001999999999999E-4</v>
      </c>
    </row>
    <row r="201" spans="1:3" x14ac:dyDescent="0.25">
      <c r="A201">
        <v>79</v>
      </c>
      <c r="B201">
        <v>82</v>
      </c>
      <c r="C201">
        <v>1.1881999999999999E-3</v>
      </c>
    </row>
    <row r="202" spans="1:3" x14ac:dyDescent="0.25">
      <c r="A202">
        <v>80</v>
      </c>
      <c r="B202">
        <v>82</v>
      </c>
      <c r="C202">
        <v>0.99985183000000011</v>
      </c>
    </row>
    <row r="203" spans="1:3" x14ac:dyDescent="0.25">
      <c r="A203">
        <v>81</v>
      </c>
      <c r="B203">
        <v>82</v>
      </c>
      <c r="C203">
        <v>0.99661627999999991</v>
      </c>
    </row>
    <row r="204" spans="1:3" x14ac:dyDescent="0.25">
      <c r="A204">
        <v>82</v>
      </c>
      <c r="B204">
        <v>82</v>
      </c>
      <c r="C204">
        <v>0.99504261999999999</v>
      </c>
    </row>
    <row r="205" spans="1:3" x14ac:dyDescent="0.25">
      <c r="A205">
        <v>88</v>
      </c>
      <c r="B205">
        <v>82</v>
      </c>
      <c r="C205">
        <v>4.8827000000000001E-4</v>
      </c>
    </row>
    <row r="206" spans="1:3" x14ac:dyDescent="0.25">
      <c r="A206">
        <v>69</v>
      </c>
      <c r="B206">
        <v>83</v>
      </c>
      <c r="C206">
        <v>2.9627000000000001E-4</v>
      </c>
    </row>
    <row r="207" spans="1:3" x14ac:dyDescent="0.25">
      <c r="A207">
        <v>70</v>
      </c>
      <c r="B207">
        <v>83</v>
      </c>
      <c r="C207">
        <v>0.99680302999999992</v>
      </c>
    </row>
    <row r="208" spans="1:3" x14ac:dyDescent="0.25">
      <c r="A208">
        <v>74</v>
      </c>
      <c r="B208">
        <v>83</v>
      </c>
      <c r="C208">
        <v>8.0826999999999993E-4</v>
      </c>
    </row>
    <row r="209" spans="1:3" x14ac:dyDescent="0.25">
      <c r="A209">
        <v>70</v>
      </c>
      <c r="B209">
        <v>84</v>
      </c>
      <c r="C209">
        <v>2.9595199999999998E-3</v>
      </c>
    </row>
    <row r="210" spans="1:3" x14ac:dyDescent="0.25">
      <c r="A210">
        <v>71</v>
      </c>
      <c r="B210">
        <v>84</v>
      </c>
      <c r="C210">
        <v>0.99596790000000002</v>
      </c>
    </row>
    <row r="211" spans="1:3" x14ac:dyDescent="0.25">
      <c r="A211">
        <v>73</v>
      </c>
      <c r="B211">
        <v>84</v>
      </c>
      <c r="C211">
        <v>4.4450000000000003E-5</v>
      </c>
    </row>
    <row r="212" spans="1:3" x14ac:dyDescent="0.25">
      <c r="A212">
        <v>70</v>
      </c>
      <c r="B212">
        <v>85</v>
      </c>
      <c r="C212">
        <v>5.7999999999999995E-7</v>
      </c>
    </row>
    <row r="213" spans="1:3" x14ac:dyDescent="0.25">
      <c r="A213">
        <v>71</v>
      </c>
      <c r="B213">
        <v>85</v>
      </c>
      <c r="C213">
        <v>1.9845999999999999E-4</v>
      </c>
    </row>
    <row r="214" spans="1:3" x14ac:dyDescent="0.25">
      <c r="A214">
        <v>72</v>
      </c>
      <c r="B214">
        <v>85</v>
      </c>
      <c r="C214">
        <v>3.2346399999999996E-3</v>
      </c>
    </row>
    <row r="215" spans="1:3" x14ac:dyDescent="0.25">
      <c r="A215">
        <v>73</v>
      </c>
      <c r="B215">
        <v>85</v>
      </c>
      <c r="C215">
        <v>0.99665902000000006</v>
      </c>
    </row>
    <row r="216" spans="1:3" x14ac:dyDescent="0.25">
      <c r="A216">
        <v>72</v>
      </c>
      <c r="B216">
        <v>86</v>
      </c>
      <c r="C216">
        <v>1.2899999999999999E-6</v>
      </c>
    </row>
    <row r="217" spans="1:3" x14ac:dyDescent="0.25">
      <c r="A217">
        <v>73</v>
      </c>
      <c r="B217">
        <v>86</v>
      </c>
      <c r="C217">
        <v>4.4056E-4</v>
      </c>
    </row>
    <row r="218" spans="1:3" x14ac:dyDescent="0.25">
      <c r="A218">
        <v>75</v>
      </c>
      <c r="B218">
        <v>86</v>
      </c>
      <c r="C218">
        <v>3.6220400000000004E-3</v>
      </c>
    </row>
    <row r="219" spans="1:3" x14ac:dyDescent="0.25">
      <c r="A219">
        <v>76</v>
      </c>
      <c r="B219">
        <v>86</v>
      </c>
      <c r="C219">
        <v>0.99683864</v>
      </c>
    </row>
    <row r="220" spans="1:3" x14ac:dyDescent="0.25">
      <c r="A220">
        <v>78</v>
      </c>
      <c r="B220">
        <v>86</v>
      </c>
      <c r="C220">
        <v>5.0002400000000004E-3</v>
      </c>
    </row>
    <row r="221" spans="1:3" x14ac:dyDescent="0.25">
      <c r="A221">
        <v>84</v>
      </c>
      <c r="B221">
        <v>86</v>
      </c>
      <c r="C221">
        <v>1.2192E-4</v>
      </c>
    </row>
    <row r="222" spans="1:3" x14ac:dyDescent="0.25">
      <c r="A222">
        <v>85</v>
      </c>
      <c r="B222">
        <v>86</v>
      </c>
      <c r="C222">
        <v>7.8593999999999995E-4</v>
      </c>
    </row>
    <row r="223" spans="1:3" x14ac:dyDescent="0.25">
      <c r="A223">
        <v>86</v>
      </c>
      <c r="B223">
        <v>86</v>
      </c>
      <c r="C223">
        <v>4.4141999999999999E-4</v>
      </c>
    </row>
    <row r="224" spans="1:3" x14ac:dyDescent="0.25">
      <c r="A224">
        <v>70</v>
      </c>
      <c r="B224">
        <v>87</v>
      </c>
      <c r="C224">
        <v>1.8846000000000002E-4</v>
      </c>
    </row>
    <row r="225" spans="1:3" x14ac:dyDescent="0.25">
      <c r="A225">
        <v>72</v>
      </c>
      <c r="B225">
        <v>87</v>
      </c>
      <c r="C225">
        <v>0.99642616000000006</v>
      </c>
    </row>
    <row r="226" spans="1:3" x14ac:dyDescent="0.25">
      <c r="A226">
        <v>74</v>
      </c>
      <c r="B226">
        <v>87</v>
      </c>
      <c r="C226">
        <v>3.3843299999999996E-3</v>
      </c>
    </row>
    <row r="227" spans="1:3" x14ac:dyDescent="0.25">
      <c r="A227">
        <v>69</v>
      </c>
      <c r="B227">
        <v>88</v>
      </c>
      <c r="C227">
        <v>1.02086E-3</v>
      </c>
    </row>
    <row r="228" spans="1:3" x14ac:dyDescent="0.25">
      <c r="A228">
        <v>74</v>
      </c>
      <c r="B228">
        <v>88</v>
      </c>
      <c r="C228">
        <v>0.98781699000000001</v>
      </c>
    </row>
    <row r="229" spans="1:3" x14ac:dyDescent="0.25">
      <c r="A229">
        <v>81</v>
      </c>
      <c r="B229">
        <v>88</v>
      </c>
      <c r="C229">
        <v>1.21557E-3</v>
      </c>
    </row>
    <row r="230" spans="1:3" x14ac:dyDescent="0.25">
      <c r="A230">
        <v>72</v>
      </c>
      <c r="B230">
        <v>89</v>
      </c>
      <c r="C230">
        <v>3.3792999999999996E-4</v>
      </c>
    </row>
    <row r="231" spans="1:3" x14ac:dyDescent="0.25">
      <c r="A231">
        <v>74</v>
      </c>
      <c r="B231">
        <v>89</v>
      </c>
      <c r="C231">
        <v>3.3341600000000001E-3</v>
      </c>
    </row>
    <row r="232" spans="1:3" x14ac:dyDescent="0.25">
      <c r="A232">
        <v>75</v>
      </c>
      <c r="B232">
        <v>89</v>
      </c>
      <c r="C232">
        <v>0.99329409000000002</v>
      </c>
    </row>
    <row r="233" spans="1:3" x14ac:dyDescent="0.25">
      <c r="A233">
        <v>77</v>
      </c>
      <c r="B233">
        <v>89</v>
      </c>
      <c r="C233">
        <v>4.79335E-3</v>
      </c>
    </row>
    <row r="234" spans="1:3" x14ac:dyDescent="0.25">
      <c r="A234">
        <v>74</v>
      </c>
      <c r="B234">
        <v>90</v>
      </c>
      <c r="C234">
        <v>3.4822799999999999E-3</v>
      </c>
    </row>
    <row r="235" spans="1:3" x14ac:dyDescent="0.25">
      <c r="A235">
        <v>75</v>
      </c>
      <c r="B235">
        <v>90</v>
      </c>
      <c r="C235">
        <v>1.205E-4</v>
      </c>
    </row>
    <row r="236" spans="1:3" x14ac:dyDescent="0.25">
      <c r="A236">
        <v>77</v>
      </c>
      <c r="B236">
        <v>90</v>
      </c>
      <c r="C236">
        <v>0.98123406000000002</v>
      </c>
    </row>
    <row r="237" spans="1:3" x14ac:dyDescent="0.25">
      <c r="A237">
        <v>81</v>
      </c>
      <c r="B237">
        <v>90</v>
      </c>
      <c r="C237">
        <v>8.2370999999999996E-4</v>
      </c>
    </row>
    <row r="238" spans="1:3" x14ac:dyDescent="0.25">
      <c r="A238">
        <v>75</v>
      </c>
      <c r="B238">
        <v>91</v>
      </c>
      <c r="C238">
        <v>2.9634300000000004E-3</v>
      </c>
    </row>
    <row r="239" spans="1:3" x14ac:dyDescent="0.25">
      <c r="A239">
        <v>76</v>
      </c>
      <c r="B239">
        <v>91</v>
      </c>
      <c r="C239">
        <v>1.6000000000000001E-6</v>
      </c>
    </row>
    <row r="240" spans="1:3" x14ac:dyDescent="0.25">
      <c r="A240">
        <v>77</v>
      </c>
      <c r="B240">
        <v>91</v>
      </c>
      <c r="C240">
        <v>1.395421E-2</v>
      </c>
    </row>
    <row r="241" spans="1:3" x14ac:dyDescent="0.25">
      <c r="A241">
        <v>78</v>
      </c>
      <c r="B241">
        <v>91</v>
      </c>
      <c r="C241">
        <v>0.98846312000000003</v>
      </c>
    </row>
    <row r="242" spans="1:3" x14ac:dyDescent="0.25">
      <c r="A242">
        <v>81</v>
      </c>
      <c r="B242">
        <v>91</v>
      </c>
      <c r="C242">
        <v>7.61E-6</v>
      </c>
    </row>
    <row r="243" spans="1:3" x14ac:dyDescent="0.25">
      <c r="A243">
        <v>76</v>
      </c>
      <c r="B243">
        <v>92</v>
      </c>
      <c r="C243">
        <v>2.6336999999999997E-4</v>
      </c>
    </row>
    <row r="244" spans="1:3" x14ac:dyDescent="0.25">
      <c r="A244">
        <v>84</v>
      </c>
      <c r="B244">
        <v>92</v>
      </c>
      <c r="C244">
        <v>9.8761600000000001E-3</v>
      </c>
    </row>
    <row r="245" spans="1:3" x14ac:dyDescent="0.25">
      <c r="A245">
        <v>85</v>
      </c>
      <c r="B245">
        <v>92</v>
      </c>
      <c r="C245">
        <v>0.99887682999999994</v>
      </c>
    </row>
    <row r="246" spans="1:3" x14ac:dyDescent="0.25">
      <c r="A246">
        <v>86</v>
      </c>
      <c r="B246">
        <v>92</v>
      </c>
      <c r="C246">
        <v>0.99187338999999997</v>
      </c>
    </row>
    <row r="247" spans="1:3" x14ac:dyDescent="0.25">
      <c r="A247">
        <v>93</v>
      </c>
      <c r="B247">
        <v>92</v>
      </c>
      <c r="C247">
        <v>1.1184E-4</v>
      </c>
    </row>
    <row r="248" spans="1:3" x14ac:dyDescent="0.25">
      <c r="A248">
        <v>94</v>
      </c>
      <c r="B248">
        <v>92</v>
      </c>
      <c r="C248">
        <v>2.4456E-4</v>
      </c>
    </row>
    <row r="249" spans="1:3" x14ac:dyDescent="0.25">
      <c r="A249">
        <v>76</v>
      </c>
      <c r="B249">
        <v>94</v>
      </c>
      <c r="C249">
        <v>1.2999999999999998E-6</v>
      </c>
    </row>
    <row r="250" spans="1:3" x14ac:dyDescent="0.25">
      <c r="A250">
        <v>78</v>
      </c>
      <c r="B250">
        <v>94</v>
      </c>
      <c r="C250">
        <v>1.43067E-3</v>
      </c>
    </row>
    <row r="251" spans="1:3" x14ac:dyDescent="0.25">
      <c r="A251">
        <v>83</v>
      </c>
      <c r="B251">
        <v>94</v>
      </c>
      <c r="C251">
        <v>9.3508400000000009E-3</v>
      </c>
    </row>
    <row r="252" spans="1:3" x14ac:dyDescent="0.25">
      <c r="A252">
        <v>84</v>
      </c>
      <c r="B252">
        <v>94</v>
      </c>
      <c r="C252">
        <v>0.9897282300000001</v>
      </c>
    </row>
    <row r="253" spans="1:3" x14ac:dyDescent="0.25">
      <c r="A253">
        <v>77</v>
      </c>
      <c r="B253">
        <v>95</v>
      </c>
      <c r="C253">
        <v>1.8389999999999998E-5</v>
      </c>
    </row>
    <row r="254" spans="1:3" x14ac:dyDescent="0.25">
      <c r="A254">
        <v>78</v>
      </c>
      <c r="B254">
        <v>95</v>
      </c>
      <c r="C254">
        <v>5.10591E-3</v>
      </c>
    </row>
    <row r="255" spans="1:3" x14ac:dyDescent="0.25">
      <c r="A255">
        <v>81</v>
      </c>
      <c r="B255">
        <v>95</v>
      </c>
      <c r="C255">
        <v>1.33686E-3</v>
      </c>
    </row>
    <row r="256" spans="1:3" x14ac:dyDescent="0.25">
      <c r="A256">
        <v>82</v>
      </c>
      <c r="B256">
        <v>95</v>
      </c>
      <c r="C256">
        <v>4.04164E-3</v>
      </c>
    </row>
    <row r="257" spans="1:3" x14ac:dyDescent="0.25">
      <c r="A257">
        <v>83</v>
      </c>
      <c r="B257">
        <v>95</v>
      </c>
      <c r="C257">
        <v>0.98860887000000008</v>
      </c>
    </row>
    <row r="258" spans="1:3" x14ac:dyDescent="0.25">
      <c r="A258">
        <v>93</v>
      </c>
      <c r="B258">
        <v>100</v>
      </c>
      <c r="C258">
        <v>5.4262900000000003E-3</v>
      </c>
    </row>
    <row r="259" spans="1:3" x14ac:dyDescent="0.25">
      <c r="A259">
        <v>94</v>
      </c>
      <c r="B259">
        <v>100</v>
      </c>
      <c r="C259">
        <v>0.99175523999999993</v>
      </c>
    </row>
    <row r="260" spans="1:3" x14ac:dyDescent="0.25">
      <c r="A260">
        <v>100</v>
      </c>
      <c r="B260">
        <v>100</v>
      </c>
      <c r="C260">
        <v>3.4274000000000002E-4</v>
      </c>
    </row>
    <row r="261" spans="1:3" x14ac:dyDescent="0.25">
      <c r="A261">
        <v>83</v>
      </c>
      <c r="B261">
        <v>103</v>
      </c>
      <c r="C261">
        <v>1.4177E-3</v>
      </c>
    </row>
    <row r="262" spans="1:3" x14ac:dyDescent="0.25">
      <c r="A262">
        <v>84</v>
      </c>
      <c r="B262">
        <v>103</v>
      </c>
      <c r="C262">
        <v>2.7366000000000001E-4</v>
      </c>
    </row>
    <row r="263" spans="1:3" x14ac:dyDescent="0.25">
      <c r="A263">
        <v>85</v>
      </c>
      <c r="B263">
        <v>103</v>
      </c>
      <c r="C263">
        <v>3.3715000000000004E-4</v>
      </c>
    </row>
    <row r="264" spans="1:3" x14ac:dyDescent="0.25">
      <c r="A264">
        <v>90</v>
      </c>
      <c r="B264">
        <v>103</v>
      </c>
      <c r="C264">
        <v>1.8226059999999999E-2</v>
      </c>
    </row>
    <row r="265" spans="1:3" x14ac:dyDescent="0.25">
      <c r="A265">
        <v>92</v>
      </c>
      <c r="B265">
        <v>103</v>
      </c>
      <c r="C265">
        <v>7.8830100000000011E-3</v>
      </c>
    </row>
    <row r="266" spans="1:3" x14ac:dyDescent="0.25">
      <c r="A266">
        <v>93</v>
      </c>
      <c r="B266">
        <v>103</v>
      </c>
      <c r="C266">
        <v>0.99386483999999997</v>
      </c>
    </row>
    <row r="267" spans="1:3" x14ac:dyDescent="0.25">
      <c r="A267">
        <v>82</v>
      </c>
      <c r="B267">
        <v>104</v>
      </c>
      <c r="C267">
        <v>1.6670000000000001E-5</v>
      </c>
    </row>
    <row r="268" spans="1:3" x14ac:dyDescent="0.25">
      <c r="A268">
        <v>83</v>
      </c>
      <c r="B268">
        <v>104</v>
      </c>
      <c r="C268">
        <v>6.2257000000000002E-4</v>
      </c>
    </row>
    <row r="269" spans="1:3" x14ac:dyDescent="0.25">
      <c r="A269">
        <v>88</v>
      </c>
      <c r="B269">
        <v>104</v>
      </c>
      <c r="C269">
        <v>8.7632100000000004E-3</v>
      </c>
    </row>
    <row r="270" spans="1:3" x14ac:dyDescent="0.25">
      <c r="A270">
        <v>89</v>
      </c>
      <c r="B270">
        <v>104</v>
      </c>
      <c r="C270">
        <v>2.3963559999999998E-2</v>
      </c>
    </row>
    <row r="271" spans="1:3" x14ac:dyDescent="0.25">
      <c r="A271">
        <v>90</v>
      </c>
      <c r="B271">
        <v>104</v>
      </c>
      <c r="C271">
        <v>0.98177404999999995</v>
      </c>
    </row>
    <row r="272" spans="1:3" x14ac:dyDescent="0.25">
      <c r="A272">
        <v>91</v>
      </c>
      <c r="B272">
        <v>104</v>
      </c>
      <c r="C272">
        <v>0.99947918999999996</v>
      </c>
    </row>
    <row r="273" spans="1:3" x14ac:dyDescent="0.25">
      <c r="A273">
        <v>92</v>
      </c>
      <c r="B273">
        <v>104</v>
      </c>
      <c r="C273">
        <v>0.99164153999999993</v>
      </c>
    </row>
    <row r="274" spans="1:3" x14ac:dyDescent="0.25">
      <c r="A274">
        <v>93</v>
      </c>
      <c r="B274">
        <v>104</v>
      </c>
      <c r="C274">
        <v>7.8040000000000005E-5</v>
      </c>
    </row>
    <row r="275" spans="1:3" x14ac:dyDescent="0.25">
      <c r="A275">
        <v>79</v>
      </c>
      <c r="B275">
        <v>107</v>
      </c>
      <c r="C275">
        <v>7.0324999999999999E-4</v>
      </c>
    </row>
    <row r="276" spans="1:3" x14ac:dyDescent="0.25">
      <c r="A276">
        <v>80</v>
      </c>
      <c r="B276">
        <v>107</v>
      </c>
      <c r="C276">
        <v>1.4812000000000001E-4</v>
      </c>
    </row>
    <row r="277" spans="1:3" x14ac:dyDescent="0.25">
      <c r="A277">
        <v>82</v>
      </c>
      <c r="B277">
        <v>107</v>
      </c>
      <c r="C277">
        <v>8.9909000000000007E-4</v>
      </c>
    </row>
    <row r="278" spans="1:3" x14ac:dyDescent="0.25">
      <c r="A278">
        <v>87</v>
      </c>
      <c r="B278">
        <v>107</v>
      </c>
      <c r="C278">
        <v>0.99965620999999993</v>
      </c>
    </row>
    <row r="279" spans="1:3" x14ac:dyDescent="0.25">
      <c r="A279">
        <v>88</v>
      </c>
      <c r="B279">
        <v>107</v>
      </c>
      <c r="C279">
        <v>0.99074845999999994</v>
      </c>
    </row>
    <row r="280" spans="1:3" x14ac:dyDescent="0.25">
      <c r="A280">
        <v>89</v>
      </c>
      <c r="B280">
        <v>107</v>
      </c>
      <c r="C280">
        <v>0.97526512999999992</v>
      </c>
    </row>
    <row r="281" spans="1:3" x14ac:dyDescent="0.25">
      <c r="A281">
        <v>79</v>
      </c>
      <c r="B281">
        <v>110</v>
      </c>
      <c r="C281">
        <v>0.11342437999999999</v>
      </c>
    </row>
    <row r="282" spans="1:3" x14ac:dyDescent="0.25">
      <c r="A282">
        <v>95</v>
      </c>
      <c r="B282">
        <v>110</v>
      </c>
      <c r="C282">
        <v>3.68192E-3</v>
      </c>
    </row>
    <row r="283" spans="1:3" x14ac:dyDescent="0.25">
      <c r="A283">
        <v>79</v>
      </c>
      <c r="B283">
        <v>111</v>
      </c>
      <c r="C283">
        <v>1.6414150000000002E-2</v>
      </c>
    </row>
    <row r="284" spans="1:3" x14ac:dyDescent="0.25">
      <c r="A284">
        <v>95</v>
      </c>
      <c r="B284">
        <v>111</v>
      </c>
      <c r="C284">
        <v>0.98977892999999995</v>
      </c>
    </row>
    <row r="285" spans="1:3" x14ac:dyDescent="0.25">
      <c r="A285">
        <v>79</v>
      </c>
      <c r="B285">
        <v>112</v>
      </c>
      <c r="C285">
        <v>2.2999999999999999E-7</v>
      </c>
    </row>
    <row r="286" spans="1:3" x14ac:dyDescent="0.25">
      <c r="A286">
        <v>87</v>
      </c>
      <c r="B286">
        <v>112</v>
      </c>
      <c r="C286">
        <v>3.4381E-4</v>
      </c>
    </row>
    <row r="287" spans="1:3" x14ac:dyDescent="0.25">
      <c r="A287">
        <v>89</v>
      </c>
      <c r="B287">
        <v>112</v>
      </c>
      <c r="C287">
        <v>7.5342000000000009E-4</v>
      </c>
    </row>
    <row r="288" spans="1:3" x14ac:dyDescent="0.25">
      <c r="A288">
        <v>95</v>
      </c>
      <c r="B288">
        <v>112</v>
      </c>
      <c r="C288">
        <v>5.8305900000000001E-3</v>
      </c>
    </row>
    <row r="289" spans="1:3" x14ac:dyDescent="0.25">
      <c r="A289">
        <v>96</v>
      </c>
      <c r="B289">
        <v>112</v>
      </c>
      <c r="C289">
        <v>0.99971072000000005</v>
      </c>
    </row>
    <row r="290" spans="1:3" x14ac:dyDescent="0.25">
      <c r="A290">
        <v>97</v>
      </c>
      <c r="B290">
        <v>112</v>
      </c>
      <c r="C290">
        <v>0.96253738</v>
      </c>
    </row>
    <row r="291" spans="1:3" x14ac:dyDescent="0.25">
      <c r="A291">
        <v>89</v>
      </c>
      <c r="B291">
        <v>114</v>
      </c>
      <c r="C291">
        <v>1.768E-5</v>
      </c>
    </row>
    <row r="292" spans="1:3" x14ac:dyDescent="0.25">
      <c r="A292">
        <v>91</v>
      </c>
      <c r="B292">
        <v>114</v>
      </c>
      <c r="C292">
        <v>5.2096E-4</v>
      </c>
    </row>
    <row r="293" spans="1:3" x14ac:dyDescent="0.25">
      <c r="A293">
        <v>92</v>
      </c>
      <c r="B293">
        <v>114</v>
      </c>
      <c r="C293">
        <v>4.7141000000000001E-4</v>
      </c>
    </row>
    <row r="294" spans="1:3" x14ac:dyDescent="0.25">
      <c r="A294">
        <v>97</v>
      </c>
      <c r="B294">
        <v>114</v>
      </c>
      <c r="C294">
        <v>3.4076519999999999E-2</v>
      </c>
    </row>
    <row r="295" spans="1:3" x14ac:dyDescent="0.25">
      <c r="A295">
        <v>98</v>
      </c>
      <c r="B295">
        <v>114</v>
      </c>
      <c r="C295">
        <v>0.99983080000000002</v>
      </c>
    </row>
    <row r="296" spans="1:3" x14ac:dyDescent="0.25">
      <c r="A296">
        <v>99</v>
      </c>
      <c r="B296">
        <v>114</v>
      </c>
      <c r="C296">
        <v>0.99381549000000002</v>
      </c>
    </row>
    <row r="297" spans="1:3" x14ac:dyDescent="0.25">
      <c r="A297">
        <v>92</v>
      </c>
      <c r="B297">
        <v>116</v>
      </c>
      <c r="C297">
        <v>4.0400000000000003E-6</v>
      </c>
    </row>
    <row r="298" spans="1:3" x14ac:dyDescent="0.25">
      <c r="A298">
        <v>93</v>
      </c>
      <c r="B298">
        <v>116</v>
      </c>
      <c r="C298">
        <v>5.1895999999999995E-4</v>
      </c>
    </row>
    <row r="299" spans="1:3" x14ac:dyDescent="0.25">
      <c r="A299">
        <v>94</v>
      </c>
      <c r="B299">
        <v>116</v>
      </c>
      <c r="C299">
        <v>1.10026E-3</v>
      </c>
    </row>
    <row r="300" spans="1:3" x14ac:dyDescent="0.25">
      <c r="A300">
        <v>99</v>
      </c>
      <c r="B300">
        <v>116</v>
      </c>
      <c r="C300">
        <v>5.6353799999999997E-3</v>
      </c>
    </row>
    <row r="301" spans="1:3" x14ac:dyDescent="0.25">
      <c r="A301">
        <v>100</v>
      </c>
      <c r="B301">
        <v>116</v>
      </c>
      <c r="C301">
        <v>0.89465774999999992</v>
      </c>
    </row>
    <row r="302" spans="1:3" x14ac:dyDescent="0.25">
      <c r="A302">
        <v>104</v>
      </c>
      <c r="B302">
        <v>116</v>
      </c>
      <c r="C302">
        <v>5.5818999999999997E-4</v>
      </c>
    </row>
    <row r="303" spans="1:3" x14ac:dyDescent="0.25">
      <c r="A303">
        <v>140</v>
      </c>
      <c r="B303">
        <v>116</v>
      </c>
      <c r="C303">
        <v>5.3199999999999999E-6</v>
      </c>
    </row>
    <row r="304" spans="1:3" x14ac:dyDescent="0.25">
      <c r="A304">
        <v>99</v>
      </c>
      <c r="B304">
        <v>117</v>
      </c>
      <c r="C304">
        <v>5.2054E-4</v>
      </c>
    </row>
    <row r="305" spans="1:3" x14ac:dyDescent="0.25">
      <c r="A305">
        <v>100</v>
      </c>
      <c r="B305">
        <v>117</v>
      </c>
      <c r="C305">
        <v>5.9165130000000003E-2</v>
      </c>
    </row>
    <row r="306" spans="1:3" x14ac:dyDescent="0.25">
      <c r="A306">
        <v>103</v>
      </c>
      <c r="B306">
        <v>117</v>
      </c>
      <c r="C306">
        <v>3.7431300000000001E-2</v>
      </c>
    </row>
    <row r="307" spans="1:3" x14ac:dyDescent="0.25">
      <c r="A307">
        <v>104</v>
      </c>
      <c r="B307">
        <v>117</v>
      </c>
      <c r="C307">
        <v>0.98642683000000009</v>
      </c>
    </row>
    <row r="308" spans="1:3" x14ac:dyDescent="0.25">
      <c r="A308">
        <v>109</v>
      </c>
      <c r="B308">
        <v>117</v>
      </c>
      <c r="C308">
        <v>2.4188000000000001E-4</v>
      </c>
    </row>
    <row r="309" spans="1:3" x14ac:dyDescent="0.25">
      <c r="A309">
        <v>97</v>
      </c>
      <c r="B309">
        <v>118</v>
      </c>
      <c r="C309">
        <v>3.0956899999999999E-3</v>
      </c>
    </row>
    <row r="310" spans="1:3" x14ac:dyDescent="0.25">
      <c r="A310">
        <v>98</v>
      </c>
      <c r="B310">
        <v>118</v>
      </c>
      <c r="C310">
        <v>1.6898E-4</v>
      </c>
    </row>
    <row r="311" spans="1:3" x14ac:dyDescent="0.25">
      <c r="A311">
        <v>99</v>
      </c>
      <c r="B311">
        <v>118</v>
      </c>
      <c r="C311">
        <v>2.8670000000000002E-5</v>
      </c>
    </row>
    <row r="312" spans="1:3" x14ac:dyDescent="0.25">
      <c r="A312">
        <v>102</v>
      </c>
      <c r="B312">
        <v>118</v>
      </c>
      <c r="C312">
        <v>4.2221809999999999E-2</v>
      </c>
    </row>
    <row r="313" spans="1:3" x14ac:dyDescent="0.25">
      <c r="A313">
        <v>103</v>
      </c>
      <c r="B313">
        <v>118</v>
      </c>
      <c r="C313">
        <v>0.96249649999999998</v>
      </c>
    </row>
    <row r="314" spans="1:3" x14ac:dyDescent="0.25">
      <c r="A314">
        <v>104</v>
      </c>
      <c r="B314">
        <v>118</v>
      </c>
      <c r="C314">
        <v>1.6105999999999998E-4</v>
      </c>
    </row>
    <row r="315" spans="1:3" x14ac:dyDescent="0.25">
      <c r="A315">
        <v>106</v>
      </c>
      <c r="B315">
        <v>118</v>
      </c>
      <c r="C315">
        <v>3.2250460000000002E-2</v>
      </c>
    </row>
    <row r="316" spans="1:3" x14ac:dyDescent="0.25">
      <c r="A316">
        <v>107</v>
      </c>
      <c r="B316">
        <v>118</v>
      </c>
      <c r="C316">
        <v>0.99687672999999999</v>
      </c>
    </row>
    <row r="317" spans="1:3" x14ac:dyDescent="0.25">
      <c r="A317">
        <v>108</v>
      </c>
      <c r="B317">
        <v>118</v>
      </c>
      <c r="C317">
        <v>0.96818974000000002</v>
      </c>
    </row>
    <row r="318" spans="1:3" x14ac:dyDescent="0.25">
      <c r="A318">
        <v>109</v>
      </c>
      <c r="B318">
        <v>118</v>
      </c>
      <c r="C318">
        <v>3.5219999999999998E-5</v>
      </c>
    </row>
    <row r="319" spans="1:3" x14ac:dyDescent="0.25">
      <c r="A319">
        <v>95</v>
      </c>
      <c r="B319">
        <v>120</v>
      </c>
      <c r="C319">
        <v>2.8331999999999999E-4</v>
      </c>
    </row>
    <row r="320" spans="1:3" x14ac:dyDescent="0.25">
      <c r="A320">
        <v>96</v>
      </c>
      <c r="B320">
        <v>120</v>
      </c>
      <c r="C320">
        <v>2.8931999999999997E-4</v>
      </c>
    </row>
    <row r="321" spans="1:3" x14ac:dyDescent="0.25">
      <c r="A321">
        <v>97</v>
      </c>
      <c r="B321">
        <v>120</v>
      </c>
      <c r="C321">
        <v>2.9017000000000002E-4</v>
      </c>
    </row>
    <row r="322" spans="1:3" x14ac:dyDescent="0.25">
      <c r="A322">
        <v>101</v>
      </c>
      <c r="B322">
        <v>120</v>
      </c>
      <c r="C322">
        <v>0.99999999000000006</v>
      </c>
    </row>
    <row r="323" spans="1:3" x14ac:dyDescent="0.25">
      <c r="A323">
        <v>102</v>
      </c>
      <c r="B323">
        <v>120</v>
      </c>
      <c r="C323">
        <v>0.95777852999999991</v>
      </c>
    </row>
    <row r="324" spans="1:3" x14ac:dyDescent="0.25">
      <c r="A324">
        <v>105</v>
      </c>
      <c r="B324">
        <v>120</v>
      </c>
      <c r="C324">
        <v>0.99953543</v>
      </c>
    </row>
    <row r="325" spans="1:3" x14ac:dyDescent="0.25">
      <c r="A325">
        <v>106</v>
      </c>
      <c r="B325">
        <v>120</v>
      </c>
      <c r="C325">
        <v>0.96528797</v>
      </c>
    </row>
    <row r="326" spans="1:3" x14ac:dyDescent="0.25">
      <c r="A326">
        <v>110</v>
      </c>
      <c r="B326">
        <v>120</v>
      </c>
      <c r="C326">
        <v>1.5424099999999999E-3</v>
      </c>
    </row>
    <row r="327" spans="1:3" x14ac:dyDescent="0.25">
      <c r="A327">
        <v>399</v>
      </c>
      <c r="B327">
        <v>120</v>
      </c>
      <c r="C327">
        <v>3.9649999999999999E-4</v>
      </c>
    </row>
    <row r="328" spans="1:3" x14ac:dyDescent="0.25">
      <c r="A328">
        <v>105</v>
      </c>
      <c r="B328">
        <v>124</v>
      </c>
      <c r="C328">
        <v>4.6464E-4</v>
      </c>
    </row>
    <row r="329" spans="1:3" x14ac:dyDescent="0.25">
      <c r="A329">
        <v>106</v>
      </c>
      <c r="B329">
        <v>124</v>
      </c>
      <c r="C329">
        <v>4.2762000000000003E-4</v>
      </c>
    </row>
    <row r="330" spans="1:3" x14ac:dyDescent="0.25">
      <c r="A330">
        <v>110</v>
      </c>
      <c r="B330">
        <v>124</v>
      </c>
      <c r="C330">
        <v>0.99213751999999999</v>
      </c>
    </row>
    <row r="331" spans="1:3" x14ac:dyDescent="0.25">
      <c r="A331">
        <v>399</v>
      </c>
      <c r="B331">
        <v>124</v>
      </c>
      <c r="C331">
        <v>6.4597999999999999E-4</v>
      </c>
    </row>
    <row r="332" spans="1:3" x14ac:dyDescent="0.25">
      <c r="A332">
        <v>106</v>
      </c>
      <c r="B332">
        <v>125</v>
      </c>
      <c r="C332">
        <v>2.0338700000000001E-3</v>
      </c>
    </row>
    <row r="333" spans="1:3" x14ac:dyDescent="0.25">
      <c r="A333">
        <v>107</v>
      </c>
      <c r="B333">
        <v>125</v>
      </c>
      <c r="C333">
        <v>1.4639099999999999E-3</v>
      </c>
    </row>
    <row r="334" spans="1:3" x14ac:dyDescent="0.25">
      <c r="A334">
        <v>110</v>
      </c>
      <c r="B334">
        <v>125</v>
      </c>
      <c r="C334">
        <v>3.5733799999999997E-3</v>
      </c>
    </row>
    <row r="335" spans="1:3" x14ac:dyDescent="0.25">
      <c r="A335">
        <v>111</v>
      </c>
      <c r="B335">
        <v>125</v>
      </c>
      <c r="C335">
        <v>0.98336833000000001</v>
      </c>
    </row>
    <row r="336" spans="1:3" x14ac:dyDescent="0.25">
      <c r="A336">
        <v>135</v>
      </c>
      <c r="B336">
        <v>125</v>
      </c>
      <c r="C336">
        <v>2.036193E-2</v>
      </c>
    </row>
    <row r="337" spans="1:3" x14ac:dyDescent="0.25">
      <c r="A337">
        <v>107</v>
      </c>
      <c r="B337">
        <v>126</v>
      </c>
      <c r="C337">
        <v>1.6593299999999999E-3</v>
      </c>
    </row>
    <row r="338" spans="1:3" x14ac:dyDescent="0.25">
      <c r="A338">
        <v>108</v>
      </c>
      <c r="B338">
        <v>126</v>
      </c>
      <c r="C338">
        <v>8.4455000000000001E-4</v>
      </c>
    </row>
    <row r="339" spans="1:3" x14ac:dyDescent="0.25">
      <c r="A339">
        <v>109</v>
      </c>
      <c r="B339">
        <v>126</v>
      </c>
      <c r="C339">
        <v>7.9606999999999996E-4</v>
      </c>
    </row>
    <row r="340" spans="1:3" x14ac:dyDescent="0.25">
      <c r="A340">
        <v>111</v>
      </c>
      <c r="B340">
        <v>126</v>
      </c>
      <c r="C340">
        <v>6.80592E-3</v>
      </c>
    </row>
    <row r="341" spans="1:3" x14ac:dyDescent="0.25">
      <c r="A341">
        <v>112</v>
      </c>
      <c r="B341">
        <v>126</v>
      </c>
      <c r="C341">
        <v>0.98519352999999998</v>
      </c>
    </row>
    <row r="342" spans="1:3" x14ac:dyDescent="0.25">
      <c r="A342">
        <v>100</v>
      </c>
      <c r="B342">
        <v>128</v>
      </c>
      <c r="C342">
        <v>3.8401320000000003E-2</v>
      </c>
    </row>
    <row r="343" spans="1:3" x14ac:dyDescent="0.25">
      <c r="A343">
        <v>103</v>
      </c>
      <c r="B343">
        <v>128</v>
      </c>
      <c r="C343">
        <v>7.2249999999999994E-5</v>
      </c>
    </row>
    <row r="344" spans="1:3" x14ac:dyDescent="0.25">
      <c r="A344">
        <v>104</v>
      </c>
      <c r="B344">
        <v>128</v>
      </c>
      <c r="C344">
        <v>1.285386E-2</v>
      </c>
    </row>
    <row r="345" spans="1:3" x14ac:dyDescent="0.25">
      <c r="A345">
        <v>108</v>
      </c>
      <c r="B345">
        <v>128</v>
      </c>
      <c r="C345">
        <v>3.096554E-2</v>
      </c>
    </row>
    <row r="346" spans="1:3" x14ac:dyDescent="0.25">
      <c r="A346">
        <v>109</v>
      </c>
      <c r="B346">
        <v>128</v>
      </c>
      <c r="C346">
        <v>0.99498799999999998</v>
      </c>
    </row>
    <row r="347" spans="1:3" x14ac:dyDescent="0.25">
      <c r="A347">
        <v>112</v>
      </c>
      <c r="B347">
        <v>128</v>
      </c>
      <c r="C347">
        <v>9.5009999999999995E-4</v>
      </c>
    </row>
    <row r="348" spans="1:3" x14ac:dyDescent="0.25">
      <c r="A348">
        <v>113</v>
      </c>
      <c r="B348">
        <v>129</v>
      </c>
      <c r="C348">
        <v>3.6637000000000003E-4</v>
      </c>
    </row>
    <row r="349" spans="1:3" x14ac:dyDescent="0.25">
      <c r="A349">
        <v>116</v>
      </c>
      <c r="B349">
        <v>130</v>
      </c>
      <c r="C349">
        <v>1.075E-5</v>
      </c>
    </row>
    <row r="350" spans="1:3" x14ac:dyDescent="0.25">
      <c r="A350">
        <v>71</v>
      </c>
      <c r="B350">
        <v>131</v>
      </c>
      <c r="C350">
        <v>3.8336799999999999E-3</v>
      </c>
    </row>
    <row r="351" spans="1:3" x14ac:dyDescent="0.25">
      <c r="A351">
        <v>73</v>
      </c>
      <c r="B351">
        <v>131</v>
      </c>
      <c r="C351">
        <v>2.8559600000000003E-3</v>
      </c>
    </row>
    <row r="352" spans="1:3" x14ac:dyDescent="0.25">
      <c r="A352">
        <v>76</v>
      </c>
      <c r="B352">
        <v>131</v>
      </c>
      <c r="C352">
        <v>2.89514E-3</v>
      </c>
    </row>
    <row r="353" spans="1:3" x14ac:dyDescent="0.25">
      <c r="A353">
        <v>86</v>
      </c>
      <c r="B353">
        <v>131</v>
      </c>
      <c r="C353">
        <v>7.6852800000000001E-3</v>
      </c>
    </row>
    <row r="354" spans="1:3" x14ac:dyDescent="0.25">
      <c r="A354">
        <v>94</v>
      </c>
      <c r="B354">
        <v>131</v>
      </c>
      <c r="C354">
        <v>1.95E-6</v>
      </c>
    </row>
    <row r="355" spans="1:3" x14ac:dyDescent="0.25">
      <c r="A355">
        <v>113</v>
      </c>
      <c r="B355">
        <v>131</v>
      </c>
      <c r="C355">
        <v>0.99562226999999992</v>
      </c>
    </row>
    <row r="356" spans="1:3" x14ac:dyDescent="0.25">
      <c r="A356">
        <v>117</v>
      </c>
      <c r="B356">
        <v>131</v>
      </c>
      <c r="C356">
        <v>1.7722000000000001E-4</v>
      </c>
    </row>
    <row r="357" spans="1:3" x14ac:dyDescent="0.25">
      <c r="A357">
        <v>113</v>
      </c>
      <c r="B357">
        <v>132</v>
      </c>
      <c r="C357">
        <v>2.9568200000000002E-3</v>
      </c>
    </row>
    <row r="358" spans="1:3" x14ac:dyDescent="0.25">
      <c r="A358">
        <v>114</v>
      </c>
      <c r="B358">
        <v>132</v>
      </c>
      <c r="C358">
        <v>0.97006084000000004</v>
      </c>
    </row>
    <row r="359" spans="1:3" x14ac:dyDescent="0.25">
      <c r="A359">
        <v>113</v>
      </c>
      <c r="B359">
        <v>133</v>
      </c>
      <c r="C359">
        <v>8.5431000000000005E-4</v>
      </c>
    </row>
    <row r="360" spans="1:3" x14ac:dyDescent="0.25">
      <c r="A360">
        <v>114</v>
      </c>
      <c r="B360">
        <v>133</v>
      </c>
      <c r="C360">
        <v>2.8168900000000003E-3</v>
      </c>
    </row>
    <row r="361" spans="1:3" x14ac:dyDescent="0.25">
      <c r="A361">
        <v>116</v>
      </c>
      <c r="B361">
        <v>133</v>
      </c>
      <c r="C361">
        <v>0.99151212999999994</v>
      </c>
    </row>
    <row r="362" spans="1:3" x14ac:dyDescent="0.25">
      <c r="A362">
        <v>120</v>
      </c>
      <c r="B362">
        <v>133</v>
      </c>
      <c r="C362">
        <v>1.4397999999999999E-4</v>
      </c>
    </row>
    <row r="363" spans="1:3" x14ac:dyDescent="0.25">
      <c r="A363">
        <v>113</v>
      </c>
      <c r="B363">
        <v>134</v>
      </c>
      <c r="C363">
        <v>1.6543999999999999E-4</v>
      </c>
    </row>
    <row r="364" spans="1:3" x14ac:dyDescent="0.25">
      <c r="A364">
        <v>114</v>
      </c>
      <c r="B364">
        <v>134</v>
      </c>
      <c r="C364">
        <v>2.7053050000000002E-2</v>
      </c>
    </row>
    <row r="365" spans="1:3" x14ac:dyDescent="0.25">
      <c r="A365">
        <v>115</v>
      </c>
      <c r="B365">
        <v>134</v>
      </c>
      <c r="C365">
        <v>0.99906735000000002</v>
      </c>
    </row>
    <row r="366" spans="1:3" x14ac:dyDescent="0.25">
      <c r="A366">
        <v>94</v>
      </c>
      <c r="B366">
        <v>135</v>
      </c>
      <c r="C366">
        <v>1.8937300000000002E-3</v>
      </c>
    </row>
    <row r="367" spans="1:3" x14ac:dyDescent="0.25">
      <c r="A367">
        <v>113</v>
      </c>
      <c r="B367">
        <v>135</v>
      </c>
      <c r="C367">
        <v>3.4499999999999998E-5</v>
      </c>
    </row>
    <row r="368" spans="1:3" x14ac:dyDescent="0.25">
      <c r="A368">
        <v>117</v>
      </c>
      <c r="B368">
        <v>135</v>
      </c>
      <c r="C368">
        <v>0.99654839999999989</v>
      </c>
    </row>
    <row r="369" spans="1:3" x14ac:dyDescent="0.25">
      <c r="A369">
        <v>140</v>
      </c>
      <c r="B369">
        <v>135</v>
      </c>
      <c r="C369">
        <v>2.7925299999999997E-3</v>
      </c>
    </row>
    <row r="370" spans="1:3" x14ac:dyDescent="0.25">
      <c r="A370">
        <v>113</v>
      </c>
      <c r="B370">
        <v>136</v>
      </c>
      <c r="C370">
        <v>2.7000000000000001E-7</v>
      </c>
    </row>
    <row r="371" spans="1:3" x14ac:dyDescent="0.25">
      <c r="A371">
        <v>115</v>
      </c>
      <c r="B371">
        <v>136</v>
      </c>
      <c r="C371">
        <v>9.3599000000000004E-4</v>
      </c>
    </row>
    <row r="372" spans="1:3" x14ac:dyDescent="0.25">
      <c r="A372">
        <v>117</v>
      </c>
      <c r="B372">
        <v>136</v>
      </c>
      <c r="C372">
        <v>2.7936200000000001E-3</v>
      </c>
    </row>
    <row r="373" spans="1:3" x14ac:dyDescent="0.25">
      <c r="A373">
        <v>118</v>
      </c>
      <c r="B373">
        <v>136</v>
      </c>
      <c r="C373">
        <v>0.99898195999999995</v>
      </c>
    </row>
    <row r="374" spans="1:3" x14ac:dyDescent="0.25">
      <c r="A374">
        <v>119</v>
      </c>
      <c r="B374">
        <v>136</v>
      </c>
      <c r="C374">
        <v>0.11452743</v>
      </c>
    </row>
    <row r="375" spans="1:3" x14ac:dyDescent="0.25">
      <c r="A375">
        <v>114</v>
      </c>
      <c r="B375">
        <v>137</v>
      </c>
      <c r="C375">
        <v>6.6600000000000006E-5</v>
      </c>
    </row>
    <row r="376" spans="1:3" x14ac:dyDescent="0.25">
      <c r="A376">
        <v>115</v>
      </c>
      <c r="B376">
        <v>137</v>
      </c>
      <c r="C376">
        <v>7.6716000000000002E-4</v>
      </c>
    </row>
    <row r="377" spans="1:3" x14ac:dyDescent="0.25">
      <c r="A377">
        <v>119</v>
      </c>
      <c r="B377">
        <v>137</v>
      </c>
      <c r="C377">
        <v>0.88159694</v>
      </c>
    </row>
    <row r="378" spans="1:3" x14ac:dyDescent="0.25">
      <c r="A378">
        <v>114</v>
      </c>
      <c r="B378">
        <v>138</v>
      </c>
      <c r="C378">
        <v>2.5999999999999997E-6</v>
      </c>
    </row>
    <row r="379" spans="1:3" x14ac:dyDescent="0.25">
      <c r="A379">
        <v>116</v>
      </c>
      <c r="B379">
        <v>138</v>
      </c>
      <c r="C379">
        <v>4.0655999999999998E-4</v>
      </c>
    </row>
    <row r="380" spans="1:3" x14ac:dyDescent="0.25">
      <c r="A380">
        <v>119</v>
      </c>
      <c r="B380">
        <v>138</v>
      </c>
      <c r="C380">
        <v>3.3158700000000003E-3</v>
      </c>
    </row>
    <row r="381" spans="1:3" x14ac:dyDescent="0.25">
      <c r="A381">
        <v>120</v>
      </c>
      <c r="B381">
        <v>138</v>
      </c>
      <c r="C381">
        <v>0.98587867000000007</v>
      </c>
    </row>
    <row r="382" spans="1:3" x14ac:dyDescent="0.25">
      <c r="A382">
        <v>126</v>
      </c>
      <c r="B382">
        <v>138</v>
      </c>
      <c r="C382">
        <v>5.6627999999999995E-4</v>
      </c>
    </row>
    <row r="383" spans="1:3" x14ac:dyDescent="0.25">
      <c r="A383">
        <v>129</v>
      </c>
      <c r="B383">
        <v>138</v>
      </c>
      <c r="C383">
        <v>4.8000000000000006E-7</v>
      </c>
    </row>
    <row r="384" spans="1:3" x14ac:dyDescent="0.25">
      <c r="A384">
        <v>120</v>
      </c>
      <c r="B384">
        <v>139</v>
      </c>
      <c r="C384">
        <v>1.3164100000000001E-3</v>
      </c>
    </row>
    <row r="385" spans="1:3" x14ac:dyDescent="0.25">
      <c r="A385">
        <v>126</v>
      </c>
      <c r="B385">
        <v>139</v>
      </c>
      <c r="C385">
        <v>1.4024800000000002E-3</v>
      </c>
    </row>
    <row r="386" spans="1:3" x14ac:dyDescent="0.25">
      <c r="A386">
        <v>128</v>
      </c>
      <c r="B386">
        <v>139</v>
      </c>
      <c r="C386">
        <v>4.1601399999999997E-3</v>
      </c>
    </row>
    <row r="387" spans="1:3" x14ac:dyDescent="0.25">
      <c r="A387">
        <v>129</v>
      </c>
      <c r="B387">
        <v>139</v>
      </c>
      <c r="C387">
        <v>0.99383544000000001</v>
      </c>
    </row>
    <row r="388" spans="1:3" x14ac:dyDescent="0.25">
      <c r="A388">
        <v>133</v>
      </c>
      <c r="B388">
        <v>139</v>
      </c>
      <c r="C388">
        <v>3.4142400000000002E-3</v>
      </c>
    </row>
    <row r="389" spans="1:3" x14ac:dyDescent="0.25">
      <c r="A389">
        <v>117</v>
      </c>
      <c r="B389">
        <v>140</v>
      </c>
      <c r="C389">
        <v>9.1280000000000007E-5</v>
      </c>
    </row>
    <row r="390" spans="1:3" x14ac:dyDescent="0.25">
      <c r="A390">
        <v>118</v>
      </c>
      <c r="B390">
        <v>140</v>
      </c>
      <c r="C390">
        <v>4.2517999999999999E-4</v>
      </c>
    </row>
    <row r="391" spans="1:3" x14ac:dyDescent="0.25">
      <c r="A391">
        <v>119</v>
      </c>
      <c r="B391">
        <v>140</v>
      </c>
      <c r="C391">
        <v>2.7034999999999998E-4</v>
      </c>
    </row>
    <row r="392" spans="1:3" x14ac:dyDescent="0.25">
      <c r="A392">
        <v>121</v>
      </c>
      <c r="B392">
        <v>140</v>
      </c>
      <c r="C392">
        <v>1.3875199999999999E-3</v>
      </c>
    </row>
    <row r="393" spans="1:3" x14ac:dyDescent="0.25">
      <c r="A393">
        <v>122</v>
      </c>
      <c r="B393">
        <v>140</v>
      </c>
      <c r="C393">
        <v>2.0528E-3</v>
      </c>
    </row>
    <row r="394" spans="1:3" x14ac:dyDescent="0.25">
      <c r="A394">
        <v>124</v>
      </c>
      <c r="B394">
        <v>140</v>
      </c>
      <c r="C394">
        <v>1.223482E-2</v>
      </c>
    </row>
    <row r="395" spans="1:3" x14ac:dyDescent="0.25">
      <c r="A395">
        <v>125</v>
      </c>
      <c r="B395">
        <v>140</v>
      </c>
      <c r="C395">
        <v>1.18366E-3</v>
      </c>
    </row>
    <row r="396" spans="1:3" x14ac:dyDescent="0.25">
      <c r="A396">
        <v>126</v>
      </c>
      <c r="B396">
        <v>140</v>
      </c>
      <c r="C396">
        <v>0.99706506000000006</v>
      </c>
    </row>
    <row r="397" spans="1:3" x14ac:dyDescent="0.25">
      <c r="A397">
        <v>127</v>
      </c>
      <c r="B397">
        <v>140</v>
      </c>
      <c r="C397">
        <v>2.5370000000000003E-5</v>
      </c>
    </row>
    <row r="398" spans="1:3" x14ac:dyDescent="0.25">
      <c r="A398">
        <v>128</v>
      </c>
      <c r="B398">
        <v>140</v>
      </c>
      <c r="C398">
        <v>2.6006E-4</v>
      </c>
    </row>
    <row r="399" spans="1:3" x14ac:dyDescent="0.25">
      <c r="A399">
        <v>121</v>
      </c>
      <c r="B399">
        <v>141</v>
      </c>
      <c r="C399">
        <v>4.27298E-3</v>
      </c>
    </row>
    <row r="400" spans="1:3" x14ac:dyDescent="0.25">
      <c r="A400">
        <v>122</v>
      </c>
      <c r="B400">
        <v>141</v>
      </c>
      <c r="C400">
        <v>0.99555127999999993</v>
      </c>
    </row>
    <row r="401" spans="1:3" x14ac:dyDescent="0.25">
      <c r="A401">
        <v>123</v>
      </c>
      <c r="B401">
        <v>141</v>
      </c>
      <c r="C401">
        <v>0.10328139</v>
      </c>
    </row>
    <row r="402" spans="1:3" x14ac:dyDescent="0.25">
      <c r="A402">
        <v>124</v>
      </c>
      <c r="B402">
        <v>141</v>
      </c>
      <c r="C402">
        <v>0.98776505999999997</v>
      </c>
    </row>
    <row r="403" spans="1:3" x14ac:dyDescent="0.25">
      <c r="A403">
        <v>125</v>
      </c>
      <c r="B403">
        <v>141</v>
      </c>
      <c r="C403">
        <v>0.98858597000000004</v>
      </c>
    </row>
    <row r="404" spans="1:3" x14ac:dyDescent="0.25">
      <c r="A404">
        <v>130</v>
      </c>
      <c r="B404">
        <v>141</v>
      </c>
      <c r="C404">
        <v>1.5552E-4</v>
      </c>
    </row>
    <row r="405" spans="1:3" x14ac:dyDescent="0.25">
      <c r="A405">
        <v>142</v>
      </c>
      <c r="B405">
        <v>141</v>
      </c>
      <c r="C405">
        <v>1.8580000000000002E-5</v>
      </c>
    </row>
    <row r="406" spans="1:3" x14ac:dyDescent="0.25">
      <c r="A406">
        <v>117</v>
      </c>
      <c r="B406">
        <v>143</v>
      </c>
      <c r="C406">
        <v>3.8947000000000005E-4</v>
      </c>
    </row>
    <row r="407" spans="1:3" x14ac:dyDescent="0.25">
      <c r="A407">
        <v>121</v>
      </c>
      <c r="B407">
        <v>143</v>
      </c>
      <c r="C407">
        <v>0.99210198999999999</v>
      </c>
    </row>
    <row r="408" spans="1:3" x14ac:dyDescent="0.25">
      <c r="A408">
        <v>122</v>
      </c>
      <c r="B408">
        <v>143</v>
      </c>
      <c r="C408">
        <v>2.2541499999999999E-3</v>
      </c>
    </row>
    <row r="409" spans="1:3" x14ac:dyDescent="0.25">
      <c r="A409">
        <v>123</v>
      </c>
      <c r="B409">
        <v>143</v>
      </c>
      <c r="C409">
        <v>5.7151029999999998E-2</v>
      </c>
    </row>
    <row r="410" spans="1:3" x14ac:dyDescent="0.25">
      <c r="A410">
        <v>140</v>
      </c>
      <c r="B410">
        <v>143</v>
      </c>
      <c r="C410">
        <v>4.0571100000000001E-3</v>
      </c>
    </row>
    <row r="411" spans="1:3" x14ac:dyDescent="0.25">
      <c r="A411">
        <v>121</v>
      </c>
      <c r="B411">
        <v>144</v>
      </c>
      <c r="C411">
        <v>2.2375099999999998E-3</v>
      </c>
    </row>
    <row r="412" spans="1:3" x14ac:dyDescent="0.25">
      <c r="A412">
        <v>122</v>
      </c>
      <c r="B412">
        <v>144</v>
      </c>
      <c r="C412">
        <v>1.4197999999999999E-4</v>
      </c>
    </row>
    <row r="413" spans="1:3" x14ac:dyDescent="0.25">
      <c r="A413">
        <v>123</v>
      </c>
      <c r="B413">
        <v>144</v>
      </c>
      <c r="C413">
        <v>0.83955872999999992</v>
      </c>
    </row>
    <row r="414" spans="1:3" x14ac:dyDescent="0.25">
      <c r="A414">
        <v>140</v>
      </c>
      <c r="B414">
        <v>144</v>
      </c>
      <c r="C414">
        <v>7.0717000000000002E-4</v>
      </c>
    </row>
    <row r="415" spans="1:3" x14ac:dyDescent="0.25">
      <c r="A415">
        <v>142</v>
      </c>
      <c r="B415">
        <v>144</v>
      </c>
      <c r="C415">
        <v>2.8291599999999998E-3</v>
      </c>
    </row>
    <row r="416" spans="1:3" x14ac:dyDescent="0.25">
      <c r="A416">
        <v>125</v>
      </c>
      <c r="B416">
        <v>146</v>
      </c>
      <c r="C416">
        <v>9.4279199999999994E-3</v>
      </c>
    </row>
    <row r="417" spans="1:3" x14ac:dyDescent="0.25">
      <c r="A417">
        <v>126</v>
      </c>
      <c r="B417">
        <v>146</v>
      </c>
      <c r="C417">
        <v>2.4813999999999999E-4</v>
      </c>
    </row>
    <row r="418" spans="1:3" x14ac:dyDescent="0.25">
      <c r="A418">
        <v>127</v>
      </c>
      <c r="B418">
        <v>146</v>
      </c>
      <c r="C418">
        <v>0.99389778000000006</v>
      </c>
    </row>
    <row r="419" spans="1:3" x14ac:dyDescent="0.25">
      <c r="A419">
        <v>128</v>
      </c>
      <c r="B419">
        <v>146</v>
      </c>
      <c r="C419">
        <v>4.3689999999999997E-5</v>
      </c>
    </row>
    <row r="420" spans="1:3" x14ac:dyDescent="0.25">
      <c r="A420">
        <v>130</v>
      </c>
      <c r="B420">
        <v>146</v>
      </c>
      <c r="C420">
        <v>1.55506E-3</v>
      </c>
    </row>
    <row r="421" spans="1:3" x14ac:dyDescent="0.25">
      <c r="A421">
        <v>126</v>
      </c>
      <c r="B421">
        <v>147</v>
      </c>
      <c r="C421">
        <v>7.1801000000000005E-4</v>
      </c>
    </row>
    <row r="422" spans="1:3" x14ac:dyDescent="0.25">
      <c r="A422">
        <v>127</v>
      </c>
      <c r="B422">
        <v>147</v>
      </c>
      <c r="C422">
        <v>4.8274099999999999E-3</v>
      </c>
    </row>
    <row r="423" spans="1:3" x14ac:dyDescent="0.25">
      <c r="A423">
        <v>128</v>
      </c>
      <c r="B423">
        <v>147</v>
      </c>
      <c r="C423">
        <v>0.99542991999999997</v>
      </c>
    </row>
    <row r="424" spans="1:3" x14ac:dyDescent="0.25">
      <c r="A424">
        <v>132</v>
      </c>
      <c r="B424">
        <v>147</v>
      </c>
      <c r="C424">
        <v>2.5638200000000001E-3</v>
      </c>
    </row>
    <row r="425" spans="1:3" x14ac:dyDescent="0.25">
      <c r="A425">
        <v>128</v>
      </c>
      <c r="B425">
        <v>148</v>
      </c>
      <c r="C425">
        <v>1.0621E-4</v>
      </c>
    </row>
    <row r="426" spans="1:3" x14ac:dyDescent="0.25">
      <c r="A426">
        <v>132</v>
      </c>
      <c r="B426">
        <v>148</v>
      </c>
      <c r="C426">
        <v>3.8094299999999999E-3</v>
      </c>
    </row>
    <row r="427" spans="1:3" x14ac:dyDescent="0.25">
      <c r="A427">
        <v>133</v>
      </c>
      <c r="B427">
        <v>148</v>
      </c>
      <c r="C427">
        <v>0.99552839999999998</v>
      </c>
    </row>
    <row r="428" spans="1:3" x14ac:dyDescent="0.25">
      <c r="A428">
        <v>236</v>
      </c>
      <c r="B428">
        <v>148</v>
      </c>
      <c r="C428">
        <v>1.4319999999999998E-5</v>
      </c>
    </row>
    <row r="429" spans="1:3" x14ac:dyDescent="0.25">
      <c r="A429">
        <v>237</v>
      </c>
      <c r="B429">
        <v>148</v>
      </c>
      <c r="C429">
        <v>2.6990000000000001E-5</v>
      </c>
    </row>
    <row r="430" spans="1:3" x14ac:dyDescent="0.25">
      <c r="A430">
        <v>127</v>
      </c>
      <c r="B430">
        <v>149</v>
      </c>
      <c r="C430">
        <v>1.2494400000000001E-3</v>
      </c>
    </row>
    <row r="431" spans="1:3" x14ac:dyDescent="0.25">
      <c r="A431">
        <v>130</v>
      </c>
      <c r="B431">
        <v>149</v>
      </c>
      <c r="C431">
        <v>6.88406E-3</v>
      </c>
    </row>
    <row r="432" spans="1:3" x14ac:dyDescent="0.25">
      <c r="A432">
        <v>131</v>
      </c>
      <c r="B432">
        <v>149</v>
      </c>
      <c r="C432">
        <v>5.8295899999999999E-3</v>
      </c>
    </row>
    <row r="433" spans="1:3" x14ac:dyDescent="0.25">
      <c r="A433">
        <v>132</v>
      </c>
      <c r="B433">
        <v>149</v>
      </c>
      <c r="C433">
        <v>0.99303835000000007</v>
      </c>
    </row>
    <row r="434" spans="1:3" x14ac:dyDescent="0.25">
      <c r="A434">
        <v>236</v>
      </c>
      <c r="B434">
        <v>149</v>
      </c>
      <c r="C434">
        <v>2.9999999999999999E-7</v>
      </c>
    </row>
    <row r="435" spans="1:3" x14ac:dyDescent="0.25">
      <c r="A435">
        <v>123</v>
      </c>
      <c r="B435">
        <v>150</v>
      </c>
      <c r="C435">
        <v>8.7600000000000008E-6</v>
      </c>
    </row>
    <row r="436" spans="1:3" x14ac:dyDescent="0.25">
      <c r="A436">
        <v>125</v>
      </c>
      <c r="B436">
        <v>150</v>
      </c>
      <c r="C436">
        <v>8.0241999999999998E-4</v>
      </c>
    </row>
    <row r="437" spans="1:3" x14ac:dyDescent="0.25">
      <c r="A437">
        <v>130</v>
      </c>
      <c r="B437">
        <v>150</v>
      </c>
      <c r="C437">
        <v>0.96505843000000002</v>
      </c>
    </row>
    <row r="438" spans="1:3" x14ac:dyDescent="0.25">
      <c r="A438">
        <v>142</v>
      </c>
      <c r="B438">
        <v>150</v>
      </c>
      <c r="C438">
        <v>1.047001E-2</v>
      </c>
    </row>
    <row r="439" spans="1:3" x14ac:dyDescent="0.25">
      <c r="A439">
        <v>145</v>
      </c>
      <c r="B439">
        <v>150</v>
      </c>
      <c r="C439">
        <v>6.6608700000000002E-3</v>
      </c>
    </row>
    <row r="440" spans="1:3" x14ac:dyDescent="0.25">
      <c r="A440">
        <v>130</v>
      </c>
      <c r="B440">
        <v>151</v>
      </c>
      <c r="C440">
        <v>2.6346930000000001E-2</v>
      </c>
    </row>
    <row r="441" spans="1:3" x14ac:dyDescent="0.25">
      <c r="A441">
        <v>131</v>
      </c>
      <c r="B441">
        <v>151</v>
      </c>
      <c r="C441">
        <v>0.98911649000000001</v>
      </c>
    </row>
    <row r="442" spans="1:3" x14ac:dyDescent="0.25">
      <c r="A442">
        <v>145</v>
      </c>
      <c r="B442">
        <v>151</v>
      </c>
      <c r="C442">
        <v>3.8696199999999998E-3</v>
      </c>
    </row>
    <row r="443" spans="1:3" x14ac:dyDescent="0.25">
      <c r="A443">
        <v>150</v>
      </c>
      <c r="B443">
        <v>151</v>
      </c>
      <c r="C443">
        <v>1.3614670000000001E-2</v>
      </c>
    </row>
    <row r="444" spans="1:3" x14ac:dyDescent="0.25">
      <c r="A444">
        <v>129</v>
      </c>
      <c r="B444">
        <v>152</v>
      </c>
      <c r="C444">
        <v>2.2454799999999998E-3</v>
      </c>
    </row>
    <row r="445" spans="1:3" x14ac:dyDescent="0.25">
      <c r="A445">
        <v>238</v>
      </c>
      <c r="B445">
        <v>152</v>
      </c>
      <c r="C445">
        <v>0.96438822000000002</v>
      </c>
    </row>
    <row r="446" spans="1:3" x14ac:dyDescent="0.25">
      <c r="A446">
        <v>239</v>
      </c>
      <c r="B446">
        <v>152</v>
      </c>
      <c r="C446">
        <v>4.4999999999999999E-4</v>
      </c>
    </row>
    <row r="447" spans="1:3" x14ac:dyDescent="0.25">
      <c r="A447">
        <v>129</v>
      </c>
      <c r="B447">
        <v>153</v>
      </c>
      <c r="C447">
        <v>2.4386999999999998E-4</v>
      </c>
    </row>
    <row r="448" spans="1:3" x14ac:dyDescent="0.25">
      <c r="A448">
        <v>133</v>
      </c>
      <c r="B448">
        <v>153</v>
      </c>
      <c r="C448">
        <v>1.628E-5</v>
      </c>
    </row>
    <row r="449" spans="1:3" x14ac:dyDescent="0.25">
      <c r="A449">
        <v>237</v>
      </c>
      <c r="B449">
        <v>153</v>
      </c>
      <c r="C449">
        <v>6.2019599999999994E-3</v>
      </c>
    </row>
    <row r="450" spans="1:3" x14ac:dyDescent="0.25">
      <c r="A450">
        <v>238</v>
      </c>
      <c r="B450">
        <v>153</v>
      </c>
      <c r="C450">
        <v>3.6013000000000001E-4</v>
      </c>
    </row>
    <row r="451" spans="1:3" x14ac:dyDescent="0.25">
      <c r="A451">
        <v>239</v>
      </c>
      <c r="B451">
        <v>153</v>
      </c>
      <c r="C451">
        <v>0.98262578</v>
      </c>
    </row>
    <row r="452" spans="1:3" x14ac:dyDescent="0.25">
      <c r="A452">
        <v>133</v>
      </c>
      <c r="B452">
        <v>154</v>
      </c>
      <c r="C452">
        <v>1.0074400000000001E-3</v>
      </c>
    </row>
    <row r="453" spans="1:3" x14ac:dyDescent="0.25">
      <c r="A453">
        <v>236</v>
      </c>
      <c r="B453">
        <v>154</v>
      </c>
      <c r="C453">
        <v>9.9079900000000002E-3</v>
      </c>
    </row>
    <row r="454" spans="1:3" x14ac:dyDescent="0.25">
      <c r="A454">
        <v>237</v>
      </c>
      <c r="B454">
        <v>154</v>
      </c>
      <c r="C454">
        <v>0.99337249000000005</v>
      </c>
    </row>
    <row r="455" spans="1:3" x14ac:dyDescent="0.25">
      <c r="A455">
        <v>132</v>
      </c>
      <c r="B455">
        <v>155</v>
      </c>
      <c r="C455">
        <v>1.7163000000000001E-4</v>
      </c>
    </row>
    <row r="456" spans="1:3" x14ac:dyDescent="0.25">
      <c r="A456">
        <v>133</v>
      </c>
      <c r="B456">
        <v>155</v>
      </c>
      <c r="C456">
        <v>3.3649999999999998E-5</v>
      </c>
    </row>
    <row r="457" spans="1:3" x14ac:dyDescent="0.25">
      <c r="A457">
        <v>233</v>
      </c>
      <c r="B457">
        <v>155</v>
      </c>
      <c r="C457">
        <v>1.402042E-2</v>
      </c>
    </row>
    <row r="458" spans="1:3" x14ac:dyDescent="0.25">
      <c r="A458">
        <v>234</v>
      </c>
      <c r="B458">
        <v>155</v>
      </c>
      <c r="C458">
        <v>6.92627E-3</v>
      </c>
    </row>
    <row r="459" spans="1:3" x14ac:dyDescent="0.25">
      <c r="A459">
        <v>235</v>
      </c>
      <c r="B459">
        <v>155</v>
      </c>
      <c r="C459">
        <v>1.1032439999999999E-2</v>
      </c>
    </row>
    <row r="460" spans="1:3" x14ac:dyDescent="0.25">
      <c r="A460">
        <v>236</v>
      </c>
      <c r="B460">
        <v>155</v>
      </c>
      <c r="C460">
        <v>0.98957891000000009</v>
      </c>
    </row>
    <row r="461" spans="1:3" x14ac:dyDescent="0.25">
      <c r="A461">
        <v>131</v>
      </c>
      <c r="B461">
        <v>156</v>
      </c>
      <c r="C461">
        <v>3.6470000000000001E-5</v>
      </c>
    </row>
    <row r="462" spans="1:3" x14ac:dyDescent="0.25">
      <c r="A462">
        <v>132</v>
      </c>
      <c r="B462">
        <v>156</v>
      </c>
      <c r="C462">
        <v>4.1677000000000001E-4</v>
      </c>
    </row>
    <row r="463" spans="1:3" x14ac:dyDescent="0.25">
      <c r="A463">
        <v>228</v>
      </c>
      <c r="B463">
        <v>156</v>
      </c>
      <c r="C463">
        <v>1.3746039999999999E-2</v>
      </c>
    </row>
    <row r="464" spans="1:3" x14ac:dyDescent="0.25">
      <c r="A464">
        <v>230</v>
      </c>
      <c r="B464">
        <v>156</v>
      </c>
      <c r="C464">
        <v>7.4199999999999995E-3</v>
      </c>
    </row>
    <row r="465" spans="1:3" x14ac:dyDescent="0.25">
      <c r="A465">
        <v>232</v>
      </c>
      <c r="B465">
        <v>156</v>
      </c>
      <c r="C465">
        <v>1</v>
      </c>
    </row>
    <row r="466" spans="1:3" x14ac:dyDescent="0.25">
      <c r="A466">
        <v>233</v>
      </c>
      <c r="B466">
        <v>156</v>
      </c>
      <c r="C466">
        <v>0.97912977999999995</v>
      </c>
    </row>
    <row r="467" spans="1:3" x14ac:dyDescent="0.25">
      <c r="A467">
        <v>234</v>
      </c>
      <c r="B467">
        <v>156</v>
      </c>
      <c r="C467">
        <v>7.1509099999999999E-3</v>
      </c>
    </row>
    <row r="468" spans="1:3" x14ac:dyDescent="0.25">
      <c r="A468">
        <v>131</v>
      </c>
      <c r="B468">
        <v>158</v>
      </c>
      <c r="C468">
        <v>5.0174E-3</v>
      </c>
    </row>
    <row r="469" spans="1:3" x14ac:dyDescent="0.25">
      <c r="A469">
        <v>150</v>
      </c>
      <c r="B469">
        <v>158</v>
      </c>
      <c r="C469">
        <v>1.762E-4</v>
      </c>
    </row>
    <row r="470" spans="1:3" x14ac:dyDescent="0.25">
      <c r="A470">
        <v>168</v>
      </c>
      <c r="B470">
        <v>158</v>
      </c>
      <c r="C470">
        <v>8.9914499999999998E-3</v>
      </c>
    </row>
    <row r="471" spans="1:3" x14ac:dyDescent="0.25">
      <c r="A471">
        <v>228</v>
      </c>
      <c r="B471">
        <v>158</v>
      </c>
      <c r="C471">
        <v>0.98625388000000003</v>
      </c>
    </row>
    <row r="472" spans="1:3" x14ac:dyDescent="0.25">
      <c r="A472">
        <v>229</v>
      </c>
      <c r="B472">
        <v>158</v>
      </c>
      <c r="C472">
        <v>0.99999984999999991</v>
      </c>
    </row>
    <row r="473" spans="1:3" x14ac:dyDescent="0.25">
      <c r="A473">
        <v>230</v>
      </c>
      <c r="B473">
        <v>158</v>
      </c>
      <c r="C473">
        <v>0.97557519999999998</v>
      </c>
    </row>
    <row r="474" spans="1:3" x14ac:dyDescent="0.25">
      <c r="A474">
        <v>231</v>
      </c>
      <c r="B474">
        <v>158</v>
      </c>
      <c r="C474">
        <v>0.99964755999999999</v>
      </c>
    </row>
    <row r="475" spans="1:3" x14ac:dyDescent="0.25">
      <c r="A475">
        <v>230</v>
      </c>
      <c r="B475">
        <v>162</v>
      </c>
      <c r="C475">
        <v>1.6639259999999999E-2</v>
      </c>
    </row>
    <row r="476" spans="1:3" x14ac:dyDescent="0.25">
      <c r="A476">
        <v>233</v>
      </c>
      <c r="B476">
        <v>162</v>
      </c>
      <c r="C476">
        <v>6.8498199999999995E-3</v>
      </c>
    </row>
    <row r="477" spans="1:3" x14ac:dyDescent="0.25">
      <c r="A477">
        <v>234</v>
      </c>
      <c r="B477">
        <v>162</v>
      </c>
      <c r="C477">
        <v>0.98584411000000005</v>
      </c>
    </row>
    <row r="478" spans="1:3" x14ac:dyDescent="0.25">
      <c r="A478">
        <v>235</v>
      </c>
      <c r="B478">
        <v>162</v>
      </c>
      <c r="C478">
        <v>0.9875506300000001</v>
      </c>
    </row>
    <row r="479" spans="1:3" x14ac:dyDescent="0.25">
      <c r="A479">
        <v>168</v>
      </c>
      <c r="B479">
        <v>164</v>
      </c>
      <c r="C479">
        <v>1.6000000000000001E-6</v>
      </c>
    </row>
    <row r="480" spans="1:3" x14ac:dyDescent="0.25">
      <c r="A480">
        <v>170</v>
      </c>
      <c r="B480">
        <v>164</v>
      </c>
      <c r="C480">
        <v>1.536592E-2</v>
      </c>
    </row>
    <row r="481" spans="1:3" x14ac:dyDescent="0.25">
      <c r="A481">
        <v>230</v>
      </c>
      <c r="B481">
        <v>164</v>
      </c>
      <c r="C481">
        <v>3.6541999999999998E-4</v>
      </c>
    </row>
    <row r="482" spans="1:3" x14ac:dyDescent="0.25">
      <c r="A482">
        <v>231</v>
      </c>
      <c r="B482">
        <v>164</v>
      </c>
      <c r="C482">
        <v>3.5242999999999999E-4</v>
      </c>
    </row>
    <row r="483" spans="1:3" x14ac:dyDescent="0.25">
      <c r="A483">
        <v>234</v>
      </c>
      <c r="B483">
        <v>164</v>
      </c>
      <c r="C483">
        <v>7.8709999999999997E-5</v>
      </c>
    </row>
    <row r="484" spans="1:3" x14ac:dyDescent="0.25">
      <c r="A484">
        <v>235</v>
      </c>
      <c r="B484">
        <v>164</v>
      </c>
      <c r="C484">
        <v>1.41701E-3</v>
      </c>
    </row>
    <row r="485" spans="1:3" x14ac:dyDescent="0.25">
      <c r="A485">
        <v>236</v>
      </c>
      <c r="B485">
        <v>164</v>
      </c>
      <c r="C485">
        <v>1.1391E-4</v>
      </c>
    </row>
    <row r="486" spans="1:3" x14ac:dyDescent="0.25">
      <c r="A486">
        <v>240</v>
      </c>
      <c r="B486">
        <v>164</v>
      </c>
      <c r="C486">
        <v>0.99921351999999997</v>
      </c>
    </row>
    <row r="487" spans="1:3" x14ac:dyDescent="0.25">
      <c r="A487">
        <v>241</v>
      </c>
      <c r="B487">
        <v>164</v>
      </c>
      <c r="C487">
        <v>0.99921589999999993</v>
      </c>
    </row>
    <row r="488" spans="1:3" x14ac:dyDescent="0.25">
      <c r="A488">
        <v>245</v>
      </c>
      <c r="B488">
        <v>164</v>
      </c>
      <c r="C488">
        <v>0.99944073</v>
      </c>
    </row>
    <row r="489" spans="1:3" x14ac:dyDescent="0.25">
      <c r="A489">
        <v>246</v>
      </c>
      <c r="B489">
        <v>164</v>
      </c>
      <c r="C489">
        <v>0.99481675999999997</v>
      </c>
    </row>
    <row r="490" spans="1:3" x14ac:dyDescent="0.25">
      <c r="A490">
        <v>236</v>
      </c>
      <c r="B490">
        <v>168</v>
      </c>
      <c r="C490">
        <v>3.8460000000000002E-4</v>
      </c>
    </row>
    <row r="491" spans="1:3" x14ac:dyDescent="0.25">
      <c r="A491">
        <v>237</v>
      </c>
      <c r="B491">
        <v>168</v>
      </c>
      <c r="C491">
        <v>3.9778000000000003E-4</v>
      </c>
    </row>
    <row r="492" spans="1:3" x14ac:dyDescent="0.25">
      <c r="A492">
        <v>246</v>
      </c>
      <c r="B492">
        <v>168</v>
      </c>
      <c r="C492">
        <v>4.3029299999999999E-3</v>
      </c>
    </row>
    <row r="493" spans="1:3" x14ac:dyDescent="0.25">
      <c r="A493">
        <v>248</v>
      </c>
      <c r="B493">
        <v>168</v>
      </c>
      <c r="C493">
        <v>2.0332700000000002E-3</v>
      </c>
    </row>
    <row r="494" spans="1:3" x14ac:dyDescent="0.25">
      <c r="A494">
        <v>251</v>
      </c>
      <c r="B494">
        <v>168</v>
      </c>
      <c r="C494">
        <v>0.99529860000000003</v>
      </c>
    </row>
    <row r="495" spans="1:3" x14ac:dyDescent="0.25">
      <c r="A495">
        <v>237</v>
      </c>
      <c r="B495">
        <v>169</v>
      </c>
      <c r="C495">
        <v>7.7000000000000004E-7</v>
      </c>
    </row>
    <row r="496" spans="1:3" x14ac:dyDescent="0.25">
      <c r="A496">
        <v>239</v>
      </c>
      <c r="B496">
        <v>169</v>
      </c>
      <c r="C496">
        <v>4.8170000000000001E-5</v>
      </c>
    </row>
    <row r="497" spans="1:3" x14ac:dyDescent="0.25">
      <c r="A497">
        <v>251</v>
      </c>
      <c r="B497">
        <v>169</v>
      </c>
      <c r="C497">
        <v>4.3428299999999998E-3</v>
      </c>
    </row>
    <row r="498" spans="1:3" x14ac:dyDescent="0.25">
      <c r="A498">
        <v>253</v>
      </c>
      <c r="B498">
        <v>169</v>
      </c>
      <c r="C498">
        <v>0.99350289999999997</v>
      </c>
    </row>
    <row r="499" spans="1:3" x14ac:dyDescent="0.25">
      <c r="A499">
        <v>239</v>
      </c>
      <c r="B499">
        <v>170</v>
      </c>
      <c r="C499">
        <v>1.1197E-4</v>
      </c>
    </row>
    <row r="500" spans="1:3" x14ac:dyDescent="0.25">
      <c r="A500">
        <v>253</v>
      </c>
      <c r="B500">
        <v>170</v>
      </c>
      <c r="C500">
        <v>6.0997300000000003E-3</v>
      </c>
    </row>
    <row r="501" spans="1:3" x14ac:dyDescent="0.25">
      <c r="A501">
        <v>254</v>
      </c>
      <c r="B501">
        <v>170</v>
      </c>
      <c r="C501">
        <v>4.6581599999999997E-3</v>
      </c>
    </row>
    <row r="502" spans="1:3" x14ac:dyDescent="0.25">
      <c r="A502">
        <v>255</v>
      </c>
      <c r="B502">
        <v>170</v>
      </c>
      <c r="C502">
        <v>0.99411320000000003</v>
      </c>
    </row>
    <row r="503" spans="1:3" x14ac:dyDescent="0.25">
      <c r="A503">
        <v>251</v>
      </c>
      <c r="B503">
        <v>171</v>
      </c>
      <c r="C503">
        <v>1.5899999999999998E-6</v>
      </c>
    </row>
    <row r="504" spans="1:3" x14ac:dyDescent="0.25">
      <c r="A504">
        <v>252</v>
      </c>
      <c r="B504">
        <v>171</v>
      </c>
      <c r="C504">
        <v>4.17016E-3</v>
      </c>
    </row>
    <row r="505" spans="1:3" x14ac:dyDescent="0.25">
      <c r="A505">
        <v>253</v>
      </c>
      <c r="B505">
        <v>171</v>
      </c>
      <c r="C505">
        <v>3.9734999999999998E-4</v>
      </c>
    </row>
    <row r="506" spans="1:3" x14ac:dyDescent="0.25">
      <c r="A506">
        <v>254</v>
      </c>
      <c r="B506">
        <v>171</v>
      </c>
      <c r="C506">
        <v>0.99420606000000011</v>
      </c>
    </row>
    <row r="507" spans="1:3" x14ac:dyDescent="0.25">
      <c r="A507">
        <v>255</v>
      </c>
      <c r="B507">
        <v>171</v>
      </c>
      <c r="C507">
        <v>4.6950000000000003E-5</v>
      </c>
    </row>
    <row r="508" spans="1:3" x14ac:dyDescent="0.25">
      <c r="A508">
        <v>248</v>
      </c>
      <c r="B508">
        <v>172</v>
      </c>
      <c r="C508">
        <v>5.3564199999999998E-3</v>
      </c>
    </row>
    <row r="509" spans="1:3" x14ac:dyDescent="0.25">
      <c r="A509">
        <v>250</v>
      </c>
      <c r="B509">
        <v>172</v>
      </c>
      <c r="C509">
        <v>8.2030200000000001E-3</v>
      </c>
    </row>
    <row r="510" spans="1:3" x14ac:dyDescent="0.25">
      <c r="A510">
        <v>251</v>
      </c>
      <c r="B510">
        <v>172</v>
      </c>
      <c r="C510">
        <v>3.5700999999999994E-4</v>
      </c>
    </row>
    <row r="511" spans="1:3" x14ac:dyDescent="0.25">
      <c r="A511">
        <v>252</v>
      </c>
      <c r="B511">
        <v>172</v>
      </c>
      <c r="C511">
        <v>0.99557030000000002</v>
      </c>
    </row>
    <row r="512" spans="1:3" x14ac:dyDescent="0.25">
      <c r="A512">
        <v>170</v>
      </c>
      <c r="B512">
        <v>173</v>
      </c>
      <c r="C512">
        <v>1.2260000000000001E-5</v>
      </c>
    </row>
    <row r="513" spans="1:3" x14ac:dyDescent="0.25">
      <c r="A513">
        <v>205</v>
      </c>
      <c r="B513">
        <v>173</v>
      </c>
      <c r="C513">
        <v>1.5682970000000001E-2</v>
      </c>
    </row>
    <row r="514" spans="1:3" x14ac:dyDescent="0.25">
      <c r="A514">
        <v>211</v>
      </c>
      <c r="B514">
        <v>173</v>
      </c>
      <c r="C514">
        <v>4.575195E-2</v>
      </c>
    </row>
    <row r="515" spans="1:3" x14ac:dyDescent="0.25">
      <c r="A515">
        <v>240</v>
      </c>
      <c r="B515">
        <v>173</v>
      </c>
      <c r="C515">
        <v>7.8658000000000005E-4</v>
      </c>
    </row>
    <row r="516" spans="1:3" x14ac:dyDescent="0.25">
      <c r="A516">
        <v>241</v>
      </c>
      <c r="B516">
        <v>173</v>
      </c>
      <c r="C516">
        <v>7.8430999999999998E-4</v>
      </c>
    </row>
    <row r="517" spans="1:3" x14ac:dyDescent="0.25">
      <c r="A517">
        <v>242</v>
      </c>
      <c r="B517">
        <v>173</v>
      </c>
      <c r="C517">
        <v>1</v>
      </c>
    </row>
    <row r="518" spans="1:3" x14ac:dyDescent="0.25">
      <c r="A518">
        <v>243</v>
      </c>
      <c r="B518">
        <v>173</v>
      </c>
      <c r="C518">
        <v>1</v>
      </c>
    </row>
    <row r="519" spans="1:3" x14ac:dyDescent="0.25">
      <c r="A519">
        <v>244</v>
      </c>
      <c r="B519">
        <v>173</v>
      </c>
      <c r="C519">
        <v>0.9994963</v>
      </c>
    </row>
    <row r="520" spans="1:3" x14ac:dyDescent="0.25">
      <c r="A520">
        <v>245</v>
      </c>
      <c r="B520">
        <v>173</v>
      </c>
      <c r="C520">
        <v>5.5913000000000002E-4</v>
      </c>
    </row>
    <row r="521" spans="1:3" x14ac:dyDescent="0.25">
      <c r="A521">
        <v>246</v>
      </c>
      <c r="B521">
        <v>173</v>
      </c>
      <c r="C521">
        <v>8.8036000000000006E-4</v>
      </c>
    </row>
    <row r="522" spans="1:3" x14ac:dyDescent="0.25">
      <c r="A522">
        <v>247</v>
      </c>
      <c r="B522">
        <v>173</v>
      </c>
      <c r="C522">
        <v>1</v>
      </c>
    </row>
    <row r="523" spans="1:3" x14ac:dyDescent="0.25">
      <c r="A523">
        <v>248</v>
      </c>
      <c r="B523">
        <v>173</v>
      </c>
      <c r="C523">
        <v>0.99261021999999999</v>
      </c>
    </row>
    <row r="524" spans="1:3" x14ac:dyDescent="0.25">
      <c r="A524">
        <v>249</v>
      </c>
      <c r="B524">
        <v>173</v>
      </c>
      <c r="C524">
        <v>0.99877927999999994</v>
      </c>
    </row>
    <row r="525" spans="1:3" x14ac:dyDescent="0.25">
      <c r="A525">
        <v>250</v>
      </c>
      <c r="B525">
        <v>173</v>
      </c>
      <c r="C525">
        <v>0.99157740000000005</v>
      </c>
    </row>
    <row r="526" spans="1:3" x14ac:dyDescent="0.25">
      <c r="A526">
        <v>260</v>
      </c>
      <c r="B526">
        <v>173</v>
      </c>
      <c r="C526">
        <v>3.8746000000000001E-4</v>
      </c>
    </row>
    <row r="527" spans="1:3" x14ac:dyDescent="0.25">
      <c r="A527">
        <v>211</v>
      </c>
      <c r="B527">
        <v>180</v>
      </c>
      <c r="C527">
        <v>2.283E-5</v>
      </c>
    </row>
    <row r="528" spans="1:3" x14ac:dyDescent="0.25">
      <c r="A528">
        <v>216</v>
      </c>
      <c r="B528">
        <v>180</v>
      </c>
      <c r="C528">
        <v>1.210725E-2</v>
      </c>
    </row>
    <row r="529" spans="1:3" x14ac:dyDescent="0.25">
      <c r="A529">
        <v>244</v>
      </c>
      <c r="B529">
        <v>180</v>
      </c>
      <c r="C529">
        <v>5.0370999999999999E-4</v>
      </c>
    </row>
    <row r="530" spans="1:3" x14ac:dyDescent="0.25">
      <c r="A530">
        <v>249</v>
      </c>
      <c r="B530">
        <v>180</v>
      </c>
      <c r="C530">
        <v>1.22057E-3</v>
      </c>
    </row>
    <row r="531" spans="1:3" x14ac:dyDescent="0.25">
      <c r="A531">
        <v>250</v>
      </c>
      <c r="B531">
        <v>180</v>
      </c>
      <c r="C531">
        <v>2.1957999999999998E-4</v>
      </c>
    </row>
    <row r="532" spans="1:3" x14ac:dyDescent="0.25">
      <c r="A532">
        <v>252</v>
      </c>
      <c r="B532">
        <v>180</v>
      </c>
      <c r="C532">
        <v>2.5803000000000002E-4</v>
      </c>
    </row>
    <row r="533" spans="1:3" x14ac:dyDescent="0.25">
      <c r="A533">
        <v>256</v>
      </c>
      <c r="B533">
        <v>180</v>
      </c>
      <c r="C533">
        <v>0.99955841000000012</v>
      </c>
    </row>
    <row r="534" spans="1:3" x14ac:dyDescent="0.25">
      <c r="A534">
        <v>257</v>
      </c>
      <c r="B534">
        <v>180</v>
      </c>
      <c r="C534">
        <v>0.99979063000000001</v>
      </c>
    </row>
    <row r="535" spans="1:3" x14ac:dyDescent="0.25">
      <c r="A535">
        <v>259</v>
      </c>
      <c r="B535">
        <v>180</v>
      </c>
      <c r="C535">
        <v>1</v>
      </c>
    </row>
    <row r="536" spans="1:3" x14ac:dyDescent="0.25">
      <c r="A536">
        <v>260</v>
      </c>
      <c r="B536">
        <v>180</v>
      </c>
      <c r="C536">
        <v>0.99961252</v>
      </c>
    </row>
    <row r="537" spans="1:3" x14ac:dyDescent="0.25">
      <c r="A537">
        <v>261</v>
      </c>
      <c r="B537">
        <v>180</v>
      </c>
      <c r="C537">
        <v>0.99501660999999997</v>
      </c>
    </row>
    <row r="538" spans="1:3" x14ac:dyDescent="0.25">
      <c r="A538">
        <v>262</v>
      </c>
      <c r="B538">
        <v>180</v>
      </c>
      <c r="C538">
        <v>0.99939634999999993</v>
      </c>
    </row>
    <row r="539" spans="1:3" x14ac:dyDescent="0.25">
      <c r="A539">
        <v>265</v>
      </c>
      <c r="B539">
        <v>180</v>
      </c>
      <c r="C539">
        <v>0.99462455000000005</v>
      </c>
    </row>
    <row r="540" spans="1:3" x14ac:dyDescent="0.25">
      <c r="A540">
        <v>252</v>
      </c>
      <c r="B540">
        <v>185</v>
      </c>
      <c r="C540">
        <v>1.4899999999999999E-6</v>
      </c>
    </row>
    <row r="541" spans="1:3" x14ac:dyDescent="0.25">
      <c r="A541">
        <v>254</v>
      </c>
      <c r="B541">
        <v>185</v>
      </c>
      <c r="C541">
        <v>1.13579E-3</v>
      </c>
    </row>
    <row r="542" spans="1:3" x14ac:dyDescent="0.25">
      <c r="A542">
        <v>255</v>
      </c>
      <c r="B542">
        <v>185</v>
      </c>
      <c r="C542">
        <v>1.5157000000000001E-4</v>
      </c>
    </row>
    <row r="543" spans="1:3" x14ac:dyDescent="0.25">
      <c r="A543">
        <v>265</v>
      </c>
      <c r="B543">
        <v>185</v>
      </c>
      <c r="C543">
        <v>4.9173300000000001E-3</v>
      </c>
    </row>
    <row r="544" spans="1:3" x14ac:dyDescent="0.25">
      <c r="A544">
        <v>266</v>
      </c>
      <c r="B544">
        <v>185</v>
      </c>
      <c r="C544">
        <v>7.8420399999999998E-3</v>
      </c>
    </row>
    <row r="545" spans="1:3" x14ac:dyDescent="0.25">
      <c r="A545">
        <v>268</v>
      </c>
      <c r="B545">
        <v>185</v>
      </c>
      <c r="C545">
        <v>0.99267042999999999</v>
      </c>
    </row>
    <row r="546" spans="1:3" x14ac:dyDescent="0.25">
      <c r="A546">
        <v>261</v>
      </c>
      <c r="B546">
        <v>186</v>
      </c>
      <c r="C546">
        <v>4.5059700000000006E-3</v>
      </c>
    </row>
    <row r="547" spans="1:3" x14ac:dyDescent="0.25">
      <c r="A547">
        <v>265</v>
      </c>
      <c r="B547">
        <v>186</v>
      </c>
      <c r="C547">
        <v>4.5817999999999998E-4</v>
      </c>
    </row>
    <row r="548" spans="1:3" x14ac:dyDescent="0.25">
      <c r="A548">
        <v>266</v>
      </c>
      <c r="B548">
        <v>186</v>
      </c>
      <c r="C548">
        <v>0.99161750999999998</v>
      </c>
    </row>
    <row r="549" spans="1:3" x14ac:dyDescent="0.25">
      <c r="A549">
        <v>216</v>
      </c>
      <c r="B549">
        <v>189</v>
      </c>
      <c r="C549">
        <v>5.7684599999999996E-3</v>
      </c>
    </row>
    <row r="550" spans="1:3" x14ac:dyDescent="0.25">
      <c r="A550">
        <v>256</v>
      </c>
      <c r="B550">
        <v>189</v>
      </c>
      <c r="C550">
        <v>4.4168000000000001E-4</v>
      </c>
    </row>
    <row r="551" spans="1:3" x14ac:dyDescent="0.25">
      <c r="A551">
        <v>257</v>
      </c>
      <c r="B551">
        <v>189</v>
      </c>
      <c r="C551">
        <v>2.0931999999999998E-4</v>
      </c>
    </row>
    <row r="552" spans="1:3" x14ac:dyDescent="0.25">
      <c r="A552">
        <v>258</v>
      </c>
      <c r="B552">
        <v>189</v>
      </c>
      <c r="C552">
        <v>0.99922149000000005</v>
      </c>
    </row>
    <row r="553" spans="1:3" x14ac:dyDescent="0.25">
      <c r="A553">
        <v>261</v>
      </c>
      <c r="B553">
        <v>189</v>
      </c>
      <c r="C553">
        <v>4.7738000000000001E-4</v>
      </c>
    </row>
    <row r="554" spans="1:3" x14ac:dyDescent="0.25">
      <c r="A554">
        <v>262</v>
      </c>
      <c r="B554">
        <v>189</v>
      </c>
      <c r="C554">
        <v>6.0349000000000004E-4</v>
      </c>
    </row>
    <row r="555" spans="1:3" x14ac:dyDescent="0.25">
      <c r="A555">
        <v>263</v>
      </c>
      <c r="B555">
        <v>189</v>
      </c>
      <c r="C555">
        <v>0.99868630999999997</v>
      </c>
    </row>
    <row r="556" spans="1:3" x14ac:dyDescent="0.25">
      <c r="A556">
        <v>264</v>
      </c>
      <c r="B556">
        <v>189</v>
      </c>
      <c r="C556">
        <v>0.9993962500000001</v>
      </c>
    </row>
    <row r="557" spans="1:3" x14ac:dyDescent="0.25">
      <c r="A557">
        <v>266</v>
      </c>
      <c r="B557">
        <v>189</v>
      </c>
      <c r="C557">
        <v>5.3631000000000002E-4</v>
      </c>
    </row>
    <row r="558" spans="1:3" x14ac:dyDescent="0.25">
      <c r="A558">
        <v>267</v>
      </c>
      <c r="B558">
        <v>189</v>
      </c>
      <c r="C558">
        <v>0.98964786999999999</v>
      </c>
    </row>
    <row r="559" spans="1:3" x14ac:dyDescent="0.25">
      <c r="A559">
        <v>266</v>
      </c>
      <c r="B559">
        <v>193</v>
      </c>
      <c r="C559">
        <v>4.0200000000000005E-6</v>
      </c>
    </row>
    <row r="560" spans="1:3" x14ac:dyDescent="0.25">
      <c r="A560">
        <v>267</v>
      </c>
      <c r="B560">
        <v>193</v>
      </c>
      <c r="C560">
        <v>9.5150700000000005E-3</v>
      </c>
    </row>
    <row r="561" spans="1:3" x14ac:dyDescent="0.25">
      <c r="A561">
        <v>268</v>
      </c>
      <c r="B561">
        <v>193</v>
      </c>
      <c r="C561">
        <v>2.6237999999999999E-4</v>
      </c>
    </row>
    <row r="562" spans="1:3" x14ac:dyDescent="0.25">
      <c r="A562">
        <v>269</v>
      </c>
      <c r="B562">
        <v>193</v>
      </c>
      <c r="C562">
        <v>0.98975515999999997</v>
      </c>
    </row>
    <row r="563" spans="1:3" x14ac:dyDescent="0.25">
      <c r="A563">
        <v>280</v>
      </c>
      <c r="B563">
        <v>193</v>
      </c>
      <c r="C563">
        <v>1.5110999999999998E-4</v>
      </c>
    </row>
    <row r="564" spans="1:3" x14ac:dyDescent="0.25">
      <c r="A564">
        <v>216</v>
      </c>
      <c r="B564">
        <v>194</v>
      </c>
      <c r="C564">
        <v>4.34E-6</v>
      </c>
    </row>
    <row r="565" spans="1:3" x14ac:dyDescent="0.25">
      <c r="A565">
        <v>227</v>
      </c>
      <c r="B565">
        <v>194</v>
      </c>
      <c r="C565">
        <v>8.9359000000000001E-3</v>
      </c>
    </row>
    <row r="566" spans="1:3" x14ac:dyDescent="0.25">
      <c r="A566">
        <v>258</v>
      </c>
      <c r="B566">
        <v>194</v>
      </c>
      <c r="C566">
        <v>7.7205999999999998E-4</v>
      </c>
    </row>
    <row r="567" spans="1:3" x14ac:dyDescent="0.25">
      <c r="A567">
        <v>270</v>
      </c>
      <c r="B567">
        <v>194</v>
      </c>
      <c r="C567">
        <v>0.98925118000000001</v>
      </c>
    </row>
    <row r="568" spans="1:3" x14ac:dyDescent="0.25">
      <c r="A568">
        <v>271</v>
      </c>
      <c r="B568">
        <v>194</v>
      </c>
      <c r="C568">
        <v>0.99234179</v>
      </c>
    </row>
    <row r="569" spans="1:3" x14ac:dyDescent="0.25">
      <c r="A569">
        <v>353</v>
      </c>
      <c r="B569">
        <v>194</v>
      </c>
      <c r="C569">
        <v>6.6600000000000006E-6</v>
      </c>
    </row>
    <row r="570" spans="1:3" x14ac:dyDescent="0.25">
      <c r="A570">
        <v>393</v>
      </c>
      <c r="B570">
        <v>194</v>
      </c>
      <c r="C570">
        <v>5.5909999999999998E-4</v>
      </c>
    </row>
    <row r="571" spans="1:3" x14ac:dyDescent="0.25">
      <c r="A571">
        <v>258</v>
      </c>
      <c r="B571">
        <v>196</v>
      </c>
      <c r="C571">
        <v>6.4499999999999992E-6</v>
      </c>
    </row>
    <row r="572" spans="1:3" x14ac:dyDescent="0.25">
      <c r="A572">
        <v>263</v>
      </c>
      <c r="B572">
        <v>196</v>
      </c>
      <c r="C572">
        <v>1.3137299999999999E-3</v>
      </c>
    </row>
    <row r="573" spans="1:3" x14ac:dyDescent="0.25">
      <c r="A573">
        <v>264</v>
      </c>
      <c r="B573">
        <v>196</v>
      </c>
      <c r="C573">
        <v>6.0380000000000004E-4</v>
      </c>
    </row>
    <row r="574" spans="1:3" x14ac:dyDescent="0.25">
      <c r="A574">
        <v>267</v>
      </c>
      <c r="B574">
        <v>196</v>
      </c>
      <c r="C574">
        <v>8.3085999999999989E-4</v>
      </c>
    </row>
    <row r="575" spans="1:3" x14ac:dyDescent="0.25">
      <c r="A575">
        <v>270</v>
      </c>
      <c r="B575">
        <v>196</v>
      </c>
      <c r="C575">
        <v>1.0748850000000001E-2</v>
      </c>
    </row>
    <row r="576" spans="1:3" x14ac:dyDescent="0.25">
      <c r="A576">
        <v>271</v>
      </c>
      <c r="B576">
        <v>196</v>
      </c>
      <c r="C576">
        <v>5.78197E-3</v>
      </c>
    </row>
    <row r="577" spans="1:3" x14ac:dyDescent="0.25">
      <c r="A577">
        <v>272</v>
      </c>
      <c r="B577">
        <v>196</v>
      </c>
      <c r="C577">
        <v>0.99999981000000004</v>
      </c>
    </row>
    <row r="578" spans="1:3" x14ac:dyDescent="0.25">
      <c r="A578">
        <v>273</v>
      </c>
      <c r="B578">
        <v>196</v>
      </c>
      <c r="C578">
        <v>0.99999994000000003</v>
      </c>
    </row>
    <row r="579" spans="1:3" x14ac:dyDescent="0.25">
      <c r="A579">
        <v>274</v>
      </c>
      <c r="B579">
        <v>196</v>
      </c>
      <c r="C579">
        <v>1</v>
      </c>
    </row>
    <row r="580" spans="1:3" x14ac:dyDescent="0.25">
      <c r="A580">
        <v>275</v>
      </c>
      <c r="B580">
        <v>196</v>
      </c>
      <c r="C580">
        <v>0.99820830999999999</v>
      </c>
    </row>
    <row r="581" spans="1:3" x14ac:dyDescent="0.25">
      <c r="A581">
        <v>276</v>
      </c>
      <c r="B581">
        <v>196</v>
      </c>
      <c r="C581">
        <v>9.4591099999999997E-3</v>
      </c>
    </row>
    <row r="582" spans="1:3" x14ac:dyDescent="0.25">
      <c r="A582">
        <v>277</v>
      </c>
      <c r="B582">
        <v>196</v>
      </c>
      <c r="C582">
        <v>0.99616658000000002</v>
      </c>
    </row>
    <row r="583" spans="1:3" x14ac:dyDescent="0.25">
      <c r="A583">
        <v>278</v>
      </c>
      <c r="B583">
        <v>196</v>
      </c>
      <c r="C583">
        <v>0.99339492000000007</v>
      </c>
    </row>
    <row r="584" spans="1:3" x14ac:dyDescent="0.25">
      <c r="A584">
        <v>279</v>
      </c>
      <c r="B584">
        <v>196</v>
      </c>
      <c r="C584">
        <v>0.99651331999999992</v>
      </c>
    </row>
    <row r="585" spans="1:3" x14ac:dyDescent="0.25">
      <c r="A585">
        <v>360</v>
      </c>
      <c r="B585">
        <v>196</v>
      </c>
      <c r="C585">
        <v>1.33209E-3</v>
      </c>
    </row>
    <row r="586" spans="1:3" x14ac:dyDescent="0.25">
      <c r="A586">
        <v>271</v>
      </c>
      <c r="B586">
        <v>200</v>
      </c>
      <c r="C586">
        <v>1.8762899999999999E-3</v>
      </c>
    </row>
    <row r="587" spans="1:3" x14ac:dyDescent="0.25">
      <c r="A587">
        <v>275</v>
      </c>
      <c r="B587">
        <v>200</v>
      </c>
      <c r="C587">
        <v>1.79177E-3</v>
      </c>
    </row>
    <row r="588" spans="1:3" x14ac:dyDescent="0.25">
      <c r="A588">
        <v>276</v>
      </c>
      <c r="B588">
        <v>200</v>
      </c>
      <c r="C588">
        <v>0.99054083999999998</v>
      </c>
    </row>
    <row r="589" spans="1:3" x14ac:dyDescent="0.25">
      <c r="A589">
        <v>360</v>
      </c>
      <c r="B589">
        <v>200</v>
      </c>
      <c r="C589">
        <v>1.6541800000000001E-3</v>
      </c>
    </row>
    <row r="590" spans="1:3" x14ac:dyDescent="0.25">
      <c r="A590">
        <v>393</v>
      </c>
      <c r="B590">
        <v>200</v>
      </c>
      <c r="C590">
        <v>4.33E-6</v>
      </c>
    </row>
    <row r="591" spans="1:3" x14ac:dyDescent="0.25">
      <c r="A591">
        <v>279</v>
      </c>
      <c r="B591">
        <v>204</v>
      </c>
      <c r="C591">
        <v>2.3783400000000001E-3</v>
      </c>
    </row>
    <row r="592" spans="1:3" x14ac:dyDescent="0.25">
      <c r="A592">
        <v>282</v>
      </c>
      <c r="B592">
        <v>204</v>
      </c>
      <c r="C592">
        <v>0.98676620000000004</v>
      </c>
    </row>
    <row r="593" spans="1:3" x14ac:dyDescent="0.25">
      <c r="A593">
        <v>360</v>
      </c>
      <c r="B593">
        <v>204</v>
      </c>
      <c r="C593">
        <v>8.3299999999999999E-6</v>
      </c>
    </row>
    <row r="594" spans="1:3" x14ac:dyDescent="0.25">
      <c r="A594">
        <v>361</v>
      </c>
      <c r="B594">
        <v>204</v>
      </c>
      <c r="C594">
        <v>1.16855E-3</v>
      </c>
    </row>
    <row r="595" spans="1:3" x14ac:dyDescent="0.25">
      <c r="A595">
        <v>278</v>
      </c>
      <c r="B595">
        <v>205</v>
      </c>
      <c r="C595">
        <v>5.9721999999999998E-4</v>
      </c>
    </row>
    <row r="596" spans="1:3" x14ac:dyDescent="0.25">
      <c r="A596">
        <v>279</v>
      </c>
      <c r="B596">
        <v>205</v>
      </c>
      <c r="C596">
        <v>1.1083500000000001E-3</v>
      </c>
    </row>
    <row r="597" spans="1:3" x14ac:dyDescent="0.25">
      <c r="A597">
        <v>280</v>
      </c>
      <c r="B597">
        <v>205</v>
      </c>
      <c r="C597">
        <v>1.2506E-4</v>
      </c>
    </row>
    <row r="598" spans="1:3" x14ac:dyDescent="0.25">
      <c r="A598">
        <v>281</v>
      </c>
      <c r="B598">
        <v>205</v>
      </c>
      <c r="C598">
        <v>0.99134181999999993</v>
      </c>
    </row>
    <row r="599" spans="1:3" x14ac:dyDescent="0.25">
      <c r="A599">
        <v>282</v>
      </c>
      <c r="B599">
        <v>205</v>
      </c>
      <c r="C599">
        <v>1.2411220000000001E-2</v>
      </c>
    </row>
    <row r="600" spans="1:3" x14ac:dyDescent="0.25">
      <c r="A600">
        <v>267</v>
      </c>
      <c r="B600">
        <v>206</v>
      </c>
      <c r="C600">
        <v>6.3799999999999999E-6</v>
      </c>
    </row>
    <row r="601" spans="1:3" x14ac:dyDescent="0.25">
      <c r="A601">
        <v>269</v>
      </c>
      <c r="B601">
        <v>206</v>
      </c>
      <c r="C601">
        <v>5.0923000000000006E-4</v>
      </c>
    </row>
    <row r="602" spans="1:3" x14ac:dyDescent="0.25">
      <c r="A602">
        <v>277</v>
      </c>
      <c r="B602">
        <v>206</v>
      </c>
      <c r="C602">
        <v>3.8333899999999999E-3</v>
      </c>
    </row>
    <row r="603" spans="1:3" x14ac:dyDescent="0.25">
      <c r="A603">
        <v>278</v>
      </c>
      <c r="B603">
        <v>206</v>
      </c>
      <c r="C603">
        <v>6.0078099999999997E-3</v>
      </c>
    </row>
    <row r="604" spans="1:3" x14ac:dyDescent="0.25">
      <c r="A604">
        <v>280</v>
      </c>
      <c r="B604">
        <v>206</v>
      </c>
      <c r="C604">
        <v>0.98485938000000006</v>
      </c>
    </row>
    <row r="605" spans="1:3" x14ac:dyDescent="0.25">
      <c r="A605">
        <v>281</v>
      </c>
      <c r="B605">
        <v>206</v>
      </c>
      <c r="C605">
        <v>9.1690999999999995E-4</v>
      </c>
    </row>
    <row r="606" spans="1:3" x14ac:dyDescent="0.25">
      <c r="A606">
        <v>283</v>
      </c>
      <c r="B606">
        <v>206</v>
      </c>
      <c r="C606">
        <v>6.6000000000000003E-7</v>
      </c>
    </row>
    <row r="607" spans="1:3" x14ac:dyDescent="0.25">
      <c r="A607">
        <v>280</v>
      </c>
      <c r="B607">
        <v>207</v>
      </c>
      <c r="C607">
        <v>1.486006E-2</v>
      </c>
    </row>
    <row r="608" spans="1:3" x14ac:dyDescent="0.25">
      <c r="A608">
        <v>281</v>
      </c>
      <c r="B608">
        <v>207</v>
      </c>
      <c r="C608">
        <v>7.7412599999999998E-3</v>
      </c>
    </row>
    <row r="609" spans="1:3" x14ac:dyDescent="0.25">
      <c r="A609">
        <v>282</v>
      </c>
      <c r="B609">
        <v>207</v>
      </c>
      <c r="C609">
        <v>8.2266000000000001E-4</v>
      </c>
    </row>
    <row r="610" spans="1:3" x14ac:dyDescent="0.25">
      <c r="A610">
        <v>283</v>
      </c>
      <c r="B610">
        <v>207</v>
      </c>
      <c r="C610">
        <v>0.99790769000000001</v>
      </c>
    </row>
    <row r="611" spans="1:3" x14ac:dyDescent="0.25">
      <c r="A611">
        <v>361</v>
      </c>
      <c r="B611">
        <v>207</v>
      </c>
      <c r="C611">
        <v>5.9180000000000007E-4</v>
      </c>
    </row>
    <row r="612" spans="1:3" x14ac:dyDescent="0.25">
      <c r="A612">
        <v>365</v>
      </c>
      <c r="B612">
        <v>207</v>
      </c>
      <c r="C612">
        <v>2.7680600000000001E-3</v>
      </c>
    </row>
    <row r="613" spans="1:3" x14ac:dyDescent="0.25">
      <c r="A613">
        <v>408</v>
      </c>
      <c r="B613">
        <v>207</v>
      </c>
      <c r="C613">
        <v>0.99659609000000005</v>
      </c>
    </row>
    <row r="614" spans="1:3" x14ac:dyDescent="0.25">
      <c r="A614">
        <v>94</v>
      </c>
      <c r="B614">
        <v>211</v>
      </c>
      <c r="C614">
        <v>5.0043199999999996E-3</v>
      </c>
    </row>
    <row r="615" spans="1:3" x14ac:dyDescent="0.25">
      <c r="A615">
        <v>100</v>
      </c>
      <c r="B615">
        <v>211</v>
      </c>
      <c r="C615">
        <v>6.9814200000000003E-3</v>
      </c>
    </row>
    <row r="616" spans="1:3" x14ac:dyDescent="0.25">
      <c r="A616">
        <v>138</v>
      </c>
      <c r="B616">
        <v>211</v>
      </c>
      <c r="C616">
        <v>1.4227E-3</v>
      </c>
    </row>
    <row r="617" spans="1:3" x14ac:dyDescent="0.25">
      <c r="A617">
        <v>140</v>
      </c>
      <c r="B617">
        <v>211</v>
      </c>
      <c r="C617">
        <v>0.66932362000000001</v>
      </c>
    </row>
    <row r="618" spans="1:3" x14ac:dyDescent="0.25">
      <c r="A618">
        <v>138</v>
      </c>
      <c r="B618">
        <v>212</v>
      </c>
      <c r="C618">
        <v>8.7999999999999994E-7</v>
      </c>
    </row>
    <row r="619" spans="1:3" x14ac:dyDescent="0.25">
      <c r="A619">
        <v>140</v>
      </c>
      <c r="B619">
        <v>212</v>
      </c>
      <c r="C619">
        <v>0.32054747</v>
      </c>
    </row>
    <row r="620" spans="1:3" x14ac:dyDescent="0.25">
      <c r="A620">
        <v>141</v>
      </c>
      <c r="B620">
        <v>212</v>
      </c>
      <c r="C620">
        <v>1.30327E-3</v>
      </c>
    </row>
    <row r="621" spans="1:3" x14ac:dyDescent="0.25">
      <c r="A621">
        <v>140</v>
      </c>
      <c r="B621">
        <v>213</v>
      </c>
      <c r="C621">
        <v>2.5499300000000002E-3</v>
      </c>
    </row>
    <row r="622" spans="1:3" x14ac:dyDescent="0.25">
      <c r="A622">
        <v>141</v>
      </c>
      <c r="B622">
        <v>213</v>
      </c>
      <c r="C622">
        <v>5.8862300000000001E-3</v>
      </c>
    </row>
    <row r="623" spans="1:3" x14ac:dyDescent="0.25">
      <c r="A623">
        <v>142</v>
      </c>
      <c r="B623">
        <v>213</v>
      </c>
      <c r="C623">
        <v>0.98586335000000003</v>
      </c>
    </row>
    <row r="624" spans="1:3" x14ac:dyDescent="0.25">
      <c r="A624">
        <v>141</v>
      </c>
      <c r="B624">
        <v>214</v>
      </c>
      <c r="C624">
        <v>3.9175E-3</v>
      </c>
    </row>
    <row r="625" spans="1:3" x14ac:dyDescent="0.25">
      <c r="A625">
        <v>142</v>
      </c>
      <c r="B625">
        <v>214</v>
      </c>
      <c r="C625">
        <v>8.1890000000000001E-4</v>
      </c>
    </row>
    <row r="626" spans="1:3" x14ac:dyDescent="0.25">
      <c r="A626">
        <v>143</v>
      </c>
      <c r="B626">
        <v>214</v>
      </c>
      <c r="C626">
        <v>0.99999948000000005</v>
      </c>
    </row>
    <row r="627" spans="1:3" x14ac:dyDescent="0.25">
      <c r="A627">
        <v>144</v>
      </c>
      <c r="B627">
        <v>214</v>
      </c>
      <c r="C627">
        <v>0.99957731999999988</v>
      </c>
    </row>
    <row r="628" spans="1:3" x14ac:dyDescent="0.25">
      <c r="A628">
        <v>145</v>
      </c>
      <c r="B628">
        <v>214</v>
      </c>
      <c r="C628">
        <v>0.98946959000000012</v>
      </c>
    </row>
    <row r="629" spans="1:3" x14ac:dyDescent="0.25">
      <c r="A629">
        <v>147</v>
      </c>
      <c r="B629">
        <v>214</v>
      </c>
      <c r="C629">
        <v>1.069812E-2</v>
      </c>
    </row>
    <row r="630" spans="1:3" x14ac:dyDescent="0.25">
      <c r="A630">
        <v>148</v>
      </c>
      <c r="B630">
        <v>214</v>
      </c>
      <c r="C630">
        <v>0.99958020000000003</v>
      </c>
    </row>
    <row r="631" spans="1:3" x14ac:dyDescent="0.25">
      <c r="A631">
        <v>149</v>
      </c>
      <c r="B631">
        <v>214</v>
      </c>
      <c r="C631">
        <v>0.98603027999999993</v>
      </c>
    </row>
    <row r="632" spans="1:3" x14ac:dyDescent="0.25">
      <c r="A632">
        <v>150</v>
      </c>
      <c r="B632">
        <v>214</v>
      </c>
      <c r="C632">
        <v>0.97130393999999998</v>
      </c>
    </row>
    <row r="633" spans="1:3" x14ac:dyDescent="0.25">
      <c r="A633">
        <v>138</v>
      </c>
      <c r="B633">
        <v>220</v>
      </c>
      <c r="C633">
        <v>5.2272899999999999E-3</v>
      </c>
    </row>
    <row r="634" spans="1:3" x14ac:dyDescent="0.25">
      <c r="A634">
        <v>139</v>
      </c>
      <c r="B634">
        <v>220</v>
      </c>
      <c r="C634">
        <v>7.1949800000000001E-3</v>
      </c>
    </row>
    <row r="635" spans="1:3" x14ac:dyDescent="0.25">
      <c r="A635">
        <v>140</v>
      </c>
      <c r="B635">
        <v>220</v>
      </c>
      <c r="C635">
        <v>1.6880000000000001E-5</v>
      </c>
    </row>
    <row r="636" spans="1:3" x14ac:dyDescent="0.25">
      <c r="A636">
        <v>141</v>
      </c>
      <c r="B636">
        <v>220</v>
      </c>
      <c r="C636">
        <v>0.97916150999999996</v>
      </c>
    </row>
    <row r="637" spans="1:3" x14ac:dyDescent="0.25">
      <c r="A637">
        <v>138</v>
      </c>
      <c r="B637">
        <v>221</v>
      </c>
      <c r="C637">
        <v>0.57145672999999997</v>
      </c>
    </row>
    <row r="638" spans="1:3" x14ac:dyDescent="0.25">
      <c r="A638">
        <v>100</v>
      </c>
      <c r="B638">
        <v>222</v>
      </c>
      <c r="C638">
        <v>1.6846300000000001E-3</v>
      </c>
    </row>
    <row r="639" spans="1:3" x14ac:dyDescent="0.25">
      <c r="A639">
        <v>109</v>
      </c>
      <c r="B639">
        <v>222</v>
      </c>
      <c r="C639">
        <v>3.9388499999999998E-3</v>
      </c>
    </row>
    <row r="640" spans="1:3" x14ac:dyDescent="0.25">
      <c r="A640">
        <v>112</v>
      </c>
      <c r="B640">
        <v>222</v>
      </c>
      <c r="C640">
        <v>3.55128E-3</v>
      </c>
    </row>
    <row r="641" spans="1:3" x14ac:dyDescent="0.25">
      <c r="A641">
        <v>138</v>
      </c>
      <c r="B641">
        <v>222</v>
      </c>
      <c r="C641">
        <v>0.11468127</v>
      </c>
    </row>
    <row r="642" spans="1:3" x14ac:dyDescent="0.25">
      <c r="A642">
        <v>111</v>
      </c>
      <c r="B642">
        <v>223</v>
      </c>
      <c r="C642">
        <v>6.5430000000000002E-5</v>
      </c>
    </row>
    <row r="643" spans="1:3" x14ac:dyDescent="0.25">
      <c r="A643">
        <v>112</v>
      </c>
      <c r="B643">
        <v>223</v>
      </c>
      <c r="C643">
        <v>1.0305079999999999E-2</v>
      </c>
    </row>
    <row r="644" spans="1:3" x14ac:dyDescent="0.25">
      <c r="A644">
        <v>137</v>
      </c>
      <c r="B644">
        <v>223</v>
      </c>
      <c r="C644">
        <v>4.8178600000000002E-3</v>
      </c>
    </row>
    <row r="645" spans="1:3" x14ac:dyDescent="0.25">
      <c r="A645">
        <v>138</v>
      </c>
      <c r="B645">
        <v>223</v>
      </c>
      <c r="C645">
        <v>0.3068959</v>
      </c>
    </row>
    <row r="646" spans="1:3" x14ac:dyDescent="0.25">
      <c r="A646">
        <v>111</v>
      </c>
      <c r="B646">
        <v>224</v>
      </c>
      <c r="C646">
        <v>9.7602899999999996E-3</v>
      </c>
    </row>
    <row r="647" spans="1:3" x14ac:dyDescent="0.25">
      <c r="A647">
        <v>135</v>
      </c>
      <c r="B647">
        <v>224</v>
      </c>
      <c r="C647">
        <v>1.4675000000000002E-4</v>
      </c>
    </row>
    <row r="648" spans="1:3" x14ac:dyDescent="0.25">
      <c r="A648">
        <v>136</v>
      </c>
      <c r="B648">
        <v>224</v>
      </c>
      <c r="C648">
        <v>4.1953999999999998E-4</v>
      </c>
    </row>
    <row r="649" spans="1:3" x14ac:dyDescent="0.25">
      <c r="A649">
        <v>137</v>
      </c>
      <c r="B649">
        <v>224</v>
      </c>
      <c r="C649">
        <v>0.49382679000000002</v>
      </c>
    </row>
    <row r="650" spans="1:3" x14ac:dyDescent="0.25">
      <c r="A650">
        <v>110</v>
      </c>
      <c r="B650">
        <v>225</v>
      </c>
      <c r="C650">
        <v>2.4194199999999998E-3</v>
      </c>
    </row>
    <row r="651" spans="1:3" x14ac:dyDescent="0.25">
      <c r="A651">
        <v>134</v>
      </c>
      <c r="B651">
        <v>225</v>
      </c>
      <c r="C651">
        <v>7.50375E-3</v>
      </c>
    </row>
    <row r="652" spans="1:3" x14ac:dyDescent="0.25">
      <c r="A652">
        <v>135</v>
      </c>
      <c r="B652">
        <v>225</v>
      </c>
      <c r="C652">
        <v>0.97073158000000004</v>
      </c>
    </row>
    <row r="653" spans="1:3" x14ac:dyDescent="0.25">
      <c r="A653">
        <v>110</v>
      </c>
      <c r="B653">
        <v>226</v>
      </c>
      <c r="C653">
        <v>3.2728E-4</v>
      </c>
    </row>
    <row r="654" spans="1:3" x14ac:dyDescent="0.25">
      <c r="A654">
        <v>134</v>
      </c>
      <c r="B654">
        <v>226</v>
      </c>
      <c r="C654">
        <v>0.98745248000000008</v>
      </c>
    </row>
    <row r="655" spans="1:3" x14ac:dyDescent="0.25">
      <c r="A655">
        <v>399</v>
      </c>
      <c r="B655">
        <v>226</v>
      </c>
      <c r="C655">
        <v>1.5186E-4</v>
      </c>
    </row>
    <row r="656" spans="1:3" x14ac:dyDescent="0.25">
      <c r="A656">
        <v>68</v>
      </c>
      <c r="B656">
        <v>227</v>
      </c>
      <c r="C656">
        <v>8.5590000000000004E-4</v>
      </c>
    </row>
    <row r="657" spans="1:3" x14ac:dyDescent="0.25">
      <c r="A657">
        <v>134</v>
      </c>
      <c r="B657">
        <v>227</v>
      </c>
      <c r="C657">
        <v>2.8146999999999997E-4</v>
      </c>
    </row>
    <row r="658" spans="1:3" x14ac:dyDescent="0.25">
      <c r="A658">
        <v>136</v>
      </c>
      <c r="B658">
        <v>227</v>
      </c>
      <c r="C658">
        <v>6.0427000000000007E-4</v>
      </c>
    </row>
    <row r="659" spans="1:3" x14ac:dyDescent="0.25">
      <c r="A659">
        <v>151</v>
      </c>
      <c r="B659">
        <v>227</v>
      </c>
      <c r="C659">
        <v>0.99911843</v>
      </c>
    </row>
    <row r="660" spans="1:3" x14ac:dyDescent="0.25">
      <c r="A660">
        <v>152</v>
      </c>
      <c r="B660">
        <v>227</v>
      </c>
      <c r="C660">
        <v>7.0175799999999998E-3</v>
      </c>
    </row>
    <row r="661" spans="1:3" x14ac:dyDescent="0.25">
      <c r="A661">
        <v>153</v>
      </c>
      <c r="B661">
        <v>227</v>
      </c>
      <c r="C661">
        <v>0.98516464000000004</v>
      </c>
    </row>
    <row r="662" spans="1:3" x14ac:dyDescent="0.25">
      <c r="A662">
        <v>154</v>
      </c>
      <c r="B662">
        <v>227</v>
      </c>
      <c r="C662">
        <v>0.98269707999999989</v>
      </c>
    </row>
    <row r="663" spans="1:3" x14ac:dyDescent="0.25">
      <c r="A663">
        <v>171</v>
      </c>
      <c r="B663">
        <v>227</v>
      </c>
      <c r="C663">
        <v>2.4684300000000002E-3</v>
      </c>
    </row>
    <row r="664" spans="1:3" x14ac:dyDescent="0.25">
      <c r="A664">
        <v>399</v>
      </c>
      <c r="B664">
        <v>227</v>
      </c>
      <c r="C664">
        <v>5.0889999999999996E-5</v>
      </c>
    </row>
    <row r="665" spans="1:3" x14ac:dyDescent="0.25">
      <c r="A665">
        <v>134</v>
      </c>
      <c r="B665">
        <v>229</v>
      </c>
      <c r="C665">
        <v>4.7622200000000002E-3</v>
      </c>
    </row>
    <row r="666" spans="1:3" x14ac:dyDescent="0.25">
      <c r="A666">
        <v>135</v>
      </c>
      <c r="B666">
        <v>229</v>
      </c>
      <c r="C666">
        <v>8.7595799999999995E-3</v>
      </c>
    </row>
    <row r="667" spans="1:3" x14ac:dyDescent="0.25">
      <c r="A667">
        <v>136</v>
      </c>
      <c r="B667">
        <v>229</v>
      </c>
      <c r="C667">
        <v>0.98142505999999996</v>
      </c>
    </row>
    <row r="668" spans="1:3" x14ac:dyDescent="0.25">
      <c r="A668">
        <v>136</v>
      </c>
      <c r="B668">
        <v>230</v>
      </c>
      <c r="C668">
        <v>1.754205E-2</v>
      </c>
    </row>
    <row r="669" spans="1:3" x14ac:dyDescent="0.25">
      <c r="A669">
        <v>137</v>
      </c>
      <c r="B669">
        <v>230</v>
      </c>
      <c r="C669">
        <v>0.49740482000000003</v>
      </c>
    </row>
    <row r="670" spans="1:3" x14ac:dyDescent="0.25">
      <c r="A670">
        <v>136</v>
      </c>
      <c r="B670">
        <v>231</v>
      </c>
      <c r="C670">
        <v>9.0599999999999997E-6</v>
      </c>
    </row>
    <row r="671" spans="1:3" x14ac:dyDescent="0.25">
      <c r="A671">
        <v>137</v>
      </c>
      <c r="B671">
        <v>231</v>
      </c>
      <c r="C671">
        <v>2.0371000000000001E-4</v>
      </c>
    </row>
    <row r="672" spans="1:3" x14ac:dyDescent="0.25">
      <c r="A672">
        <v>153</v>
      </c>
      <c r="B672">
        <v>231</v>
      </c>
      <c r="C672">
        <v>4.3046500000000001E-3</v>
      </c>
    </row>
    <row r="673" spans="1:3" x14ac:dyDescent="0.25">
      <c r="A673">
        <v>155</v>
      </c>
      <c r="B673">
        <v>231</v>
      </c>
      <c r="C673">
        <v>0.98859830999999998</v>
      </c>
    </row>
    <row r="674" spans="1:3" x14ac:dyDescent="0.25">
      <c r="A674">
        <v>156</v>
      </c>
      <c r="B674">
        <v>231</v>
      </c>
      <c r="C674">
        <v>3.1281099999999999E-3</v>
      </c>
    </row>
    <row r="675" spans="1:3" x14ac:dyDescent="0.25">
      <c r="A675">
        <v>153</v>
      </c>
      <c r="B675">
        <v>232</v>
      </c>
      <c r="C675">
        <v>1.0530640000000001E-2</v>
      </c>
    </row>
    <row r="676" spans="1:3" x14ac:dyDescent="0.25">
      <c r="A676">
        <v>154</v>
      </c>
      <c r="B676">
        <v>232</v>
      </c>
      <c r="C676">
        <v>1.7302930000000001E-2</v>
      </c>
    </row>
    <row r="677" spans="1:3" x14ac:dyDescent="0.25">
      <c r="A677">
        <v>155</v>
      </c>
      <c r="B677">
        <v>232</v>
      </c>
      <c r="C677">
        <v>1.7352000000000001E-4</v>
      </c>
    </row>
    <row r="678" spans="1:3" x14ac:dyDescent="0.25">
      <c r="A678">
        <v>156</v>
      </c>
      <c r="B678">
        <v>232</v>
      </c>
      <c r="C678">
        <v>0.98529285999999994</v>
      </c>
    </row>
    <row r="679" spans="1:3" x14ac:dyDescent="0.25">
      <c r="A679">
        <v>157</v>
      </c>
      <c r="B679">
        <v>232</v>
      </c>
      <c r="C679">
        <v>0.99931095999999997</v>
      </c>
    </row>
    <row r="680" spans="1:3" x14ac:dyDescent="0.25">
      <c r="A680">
        <v>158</v>
      </c>
      <c r="B680">
        <v>232</v>
      </c>
      <c r="C680">
        <v>0.98263029999999996</v>
      </c>
    </row>
    <row r="681" spans="1:3" x14ac:dyDescent="0.25">
      <c r="A681">
        <v>160</v>
      </c>
      <c r="B681">
        <v>232</v>
      </c>
      <c r="C681">
        <v>1.6797000000000001E-3</v>
      </c>
    </row>
    <row r="682" spans="1:3" x14ac:dyDescent="0.25">
      <c r="A682">
        <v>171</v>
      </c>
      <c r="B682">
        <v>232</v>
      </c>
      <c r="C682">
        <v>4.0720000000000003E-5</v>
      </c>
    </row>
    <row r="683" spans="1:3" x14ac:dyDescent="0.25">
      <c r="A683">
        <v>172</v>
      </c>
      <c r="B683">
        <v>232</v>
      </c>
      <c r="C683">
        <v>3.1139299999999996E-3</v>
      </c>
    </row>
    <row r="684" spans="1:3" x14ac:dyDescent="0.25">
      <c r="A684">
        <v>173</v>
      </c>
      <c r="B684">
        <v>232</v>
      </c>
      <c r="C684">
        <v>1.0748000000000001E-3</v>
      </c>
    </row>
    <row r="685" spans="1:3" x14ac:dyDescent="0.25">
      <c r="A685">
        <v>155</v>
      </c>
      <c r="B685">
        <v>233</v>
      </c>
      <c r="C685">
        <v>3.4173399999999996E-3</v>
      </c>
    </row>
    <row r="686" spans="1:3" x14ac:dyDescent="0.25">
      <c r="A686">
        <v>156</v>
      </c>
      <c r="B686">
        <v>233</v>
      </c>
      <c r="C686">
        <v>1.157915E-2</v>
      </c>
    </row>
    <row r="687" spans="1:3" x14ac:dyDescent="0.25">
      <c r="A687">
        <v>157</v>
      </c>
      <c r="B687">
        <v>233</v>
      </c>
      <c r="C687">
        <v>6.8902000000000004E-4</v>
      </c>
    </row>
    <row r="688" spans="1:3" x14ac:dyDescent="0.25">
      <c r="A688">
        <v>159</v>
      </c>
      <c r="B688">
        <v>233</v>
      </c>
      <c r="C688">
        <v>6.8190000000000004E-4</v>
      </c>
    </row>
    <row r="689" spans="1:3" x14ac:dyDescent="0.25">
      <c r="A689">
        <v>160</v>
      </c>
      <c r="B689">
        <v>233</v>
      </c>
      <c r="C689">
        <v>0.98348157000000003</v>
      </c>
    </row>
    <row r="690" spans="1:3" x14ac:dyDescent="0.25">
      <c r="A690">
        <v>137</v>
      </c>
      <c r="B690">
        <v>234</v>
      </c>
      <c r="C690">
        <v>1.1422E-4</v>
      </c>
    </row>
    <row r="691" spans="1:3" x14ac:dyDescent="0.25">
      <c r="A691">
        <v>139</v>
      </c>
      <c r="B691">
        <v>234</v>
      </c>
      <c r="C691">
        <v>1.6699E-4</v>
      </c>
    </row>
    <row r="692" spans="1:3" x14ac:dyDescent="0.25">
      <c r="A692">
        <v>155</v>
      </c>
      <c r="B692">
        <v>234</v>
      </c>
      <c r="C692">
        <v>7.8108500000000003E-3</v>
      </c>
    </row>
    <row r="693" spans="1:3" x14ac:dyDescent="0.25">
      <c r="A693">
        <v>159</v>
      </c>
      <c r="B693">
        <v>234</v>
      </c>
      <c r="C693">
        <v>0.68697734999999993</v>
      </c>
    </row>
    <row r="694" spans="1:3" x14ac:dyDescent="0.25">
      <c r="A694">
        <v>160</v>
      </c>
      <c r="B694">
        <v>234</v>
      </c>
      <c r="C694">
        <v>5.5449999999999993E-5</v>
      </c>
    </row>
    <row r="695" spans="1:3" x14ac:dyDescent="0.25">
      <c r="A695">
        <v>137</v>
      </c>
      <c r="B695">
        <v>235</v>
      </c>
      <c r="C695">
        <v>3.63255E-3</v>
      </c>
    </row>
    <row r="696" spans="1:3" x14ac:dyDescent="0.25">
      <c r="A696">
        <v>138</v>
      </c>
      <c r="B696">
        <v>235</v>
      </c>
      <c r="C696">
        <v>3.1521000000000001E-4</v>
      </c>
    </row>
    <row r="697" spans="1:3" x14ac:dyDescent="0.25">
      <c r="A697">
        <v>139</v>
      </c>
      <c r="B697">
        <v>235</v>
      </c>
      <c r="C697">
        <v>0.99079492000000002</v>
      </c>
    </row>
    <row r="698" spans="1:3" x14ac:dyDescent="0.25">
      <c r="A698">
        <v>159</v>
      </c>
      <c r="B698">
        <v>235</v>
      </c>
      <c r="C698">
        <v>2.0538000000000002E-4</v>
      </c>
    </row>
    <row r="699" spans="1:3" x14ac:dyDescent="0.25">
      <c r="A699">
        <v>139</v>
      </c>
      <c r="B699">
        <v>236</v>
      </c>
      <c r="C699">
        <v>5.4315000000000006E-4</v>
      </c>
    </row>
    <row r="700" spans="1:3" x14ac:dyDescent="0.25">
      <c r="A700">
        <v>141</v>
      </c>
      <c r="B700">
        <v>236</v>
      </c>
      <c r="C700">
        <v>5.1337100000000005E-3</v>
      </c>
    </row>
    <row r="701" spans="1:3" x14ac:dyDescent="0.25">
      <c r="A701">
        <v>146</v>
      </c>
      <c r="B701">
        <v>236</v>
      </c>
      <c r="C701">
        <v>0.98309206999999998</v>
      </c>
    </row>
    <row r="702" spans="1:3" x14ac:dyDescent="0.25">
      <c r="A702">
        <v>159</v>
      </c>
      <c r="B702">
        <v>236</v>
      </c>
      <c r="C702">
        <v>6.6040100000000004E-3</v>
      </c>
    </row>
    <row r="703" spans="1:3" x14ac:dyDescent="0.25">
      <c r="A703">
        <v>141</v>
      </c>
      <c r="B703">
        <v>237</v>
      </c>
      <c r="C703">
        <v>4.5977099999999996E-3</v>
      </c>
    </row>
    <row r="704" spans="1:3" x14ac:dyDescent="0.25">
      <c r="A704">
        <v>144</v>
      </c>
      <c r="B704">
        <v>237</v>
      </c>
      <c r="C704">
        <v>4.2278000000000004E-4</v>
      </c>
    </row>
    <row r="705" spans="1:3" x14ac:dyDescent="0.25">
      <c r="A705">
        <v>146</v>
      </c>
      <c r="B705">
        <v>237</v>
      </c>
      <c r="C705">
        <v>5.70296E-3</v>
      </c>
    </row>
    <row r="706" spans="1:3" x14ac:dyDescent="0.25">
      <c r="A706">
        <v>147</v>
      </c>
      <c r="B706">
        <v>237</v>
      </c>
      <c r="C706">
        <v>0.98705206000000001</v>
      </c>
    </row>
    <row r="707" spans="1:3" x14ac:dyDescent="0.25">
      <c r="A707">
        <v>68</v>
      </c>
      <c r="B707">
        <v>238</v>
      </c>
      <c r="C707">
        <v>5.8867700000000004E-3</v>
      </c>
    </row>
    <row r="708" spans="1:3" x14ac:dyDescent="0.25">
      <c r="A708">
        <v>151</v>
      </c>
      <c r="B708">
        <v>238</v>
      </c>
      <c r="C708">
        <v>8.8150000000000001E-4</v>
      </c>
    </row>
    <row r="709" spans="1:3" x14ac:dyDescent="0.25">
      <c r="A709">
        <v>152</v>
      </c>
      <c r="B709">
        <v>238</v>
      </c>
      <c r="C709">
        <v>0.99283394000000003</v>
      </c>
    </row>
    <row r="710" spans="1:3" x14ac:dyDescent="0.25">
      <c r="A710">
        <v>171</v>
      </c>
      <c r="B710">
        <v>238</v>
      </c>
      <c r="C710">
        <v>0.99083737999999999</v>
      </c>
    </row>
    <row r="711" spans="1:3" x14ac:dyDescent="0.25">
      <c r="A711">
        <v>172</v>
      </c>
      <c r="B711">
        <v>238</v>
      </c>
      <c r="C711">
        <v>0.98449828999999989</v>
      </c>
    </row>
    <row r="712" spans="1:3" x14ac:dyDescent="0.25">
      <c r="A712">
        <v>176</v>
      </c>
      <c r="B712">
        <v>238</v>
      </c>
      <c r="C712">
        <v>1.056962E-2</v>
      </c>
    </row>
    <row r="713" spans="1:3" x14ac:dyDescent="0.25">
      <c r="A713">
        <v>177</v>
      </c>
      <c r="B713">
        <v>238</v>
      </c>
      <c r="C713">
        <v>6.2812900000000001E-3</v>
      </c>
    </row>
    <row r="714" spans="1:3" x14ac:dyDescent="0.25">
      <c r="A714">
        <v>180</v>
      </c>
      <c r="B714">
        <v>238</v>
      </c>
      <c r="C714">
        <v>1.39769E-3</v>
      </c>
    </row>
    <row r="715" spans="1:3" x14ac:dyDescent="0.25">
      <c r="A715">
        <v>158</v>
      </c>
      <c r="B715">
        <v>242</v>
      </c>
      <c r="C715">
        <v>1.7369639999999999E-2</v>
      </c>
    </row>
    <row r="716" spans="1:3" x14ac:dyDescent="0.25">
      <c r="A716">
        <v>159</v>
      </c>
      <c r="B716">
        <v>242</v>
      </c>
      <c r="C716">
        <v>2.2624300000000002E-3</v>
      </c>
    </row>
    <row r="717" spans="1:3" x14ac:dyDescent="0.25">
      <c r="A717">
        <v>160</v>
      </c>
      <c r="B717">
        <v>242</v>
      </c>
      <c r="C717">
        <v>1.448142E-2</v>
      </c>
    </row>
    <row r="718" spans="1:3" x14ac:dyDescent="0.25">
      <c r="A718">
        <v>161</v>
      </c>
      <c r="B718">
        <v>242</v>
      </c>
      <c r="C718">
        <v>0.9830721</v>
      </c>
    </row>
    <row r="719" spans="1:3" x14ac:dyDescent="0.25">
      <c r="A719">
        <v>173</v>
      </c>
      <c r="B719">
        <v>242</v>
      </c>
      <c r="C719">
        <v>1.30641E-3</v>
      </c>
    </row>
    <row r="720" spans="1:3" x14ac:dyDescent="0.25">
      <c r="A720">
        <v>146</v>
      </c>
      <c r="B720">
        <v>243</v>
      </c>
      <c r="C720">
        <v>2.5768700000000002E-3</v>
      </c>
    </row>
    <row r="721" spans="1:3" x14ac:dyDescent="0.25">
      <c r="A721">
        <v>159</v>
      </c>
      <c r="B721">
        <v>243</v>
      </c>
      <c r="C721">
        <v>1.1664000000000001E-4</v>
      </c>
    </row>
    <row r="722" spans="1:3" x14ac:dyDescent="0.25">
      <c r="A722">
        <v>161</v>
      </c>
      <c r="B722">
        <v>243</v>
      </c>
      <c r="C722">
        <v>1.0423119999999999E-2</v>
      </c>
    </row>
    <row r="723" spans="1:3" x14ac:dyDescent="0.25">
      <c r="A723">
        <v>162</v>
      </c>
      <c r="B723">
        <v>243</v>
      </c>
      <c r="C723">
        <v>0.98244078000000001</v>
      </c>
    </row>
    <row r="724" spans="1:3" x14ac:dyDescent="0.25">
      <c r="A724">
        <v>163</v>
      </c>
      <c r="B724">
        <v>243</v>
      </c>
      <c r="C724">
        <v>1.72533E-3</v>
      </c>
    </row>
    <row r="725" spans="1:3" x14ac:dyDescent="0.25">
      <c r="A725">
        <v>161</v>
      </c>
      <c r="B725">
        <v>244</v>
      </c>
      <c r="C725">
        <v>6.3918399999999993E-3</v>
      </c>
    </row>
    <row r="726" spans="1:3" x14ac:dyDescent="0.25">
      <c r="A726">
        <v>162</v>
      </c>
      <c r="B726">
        <v>244</v>
      </c>
      <c r="C726">
        <v>7.3546500000000008E-3</v>
      </c>
    </row>
    <row r="727" spans="1:3" x14ac:dyDescent="0.25">
      <c r="A727">
        <v>163</v>
      </c>
      <c r="B727">
        <v>244</v>
      </c>
      <c r="C727">
        <v>0.98446969999999989</v>
      </c>
    </row>
    <row r="728" spans="1:3" x14ac:dyDescent="0.25">
      <c r="A728">
        <v>201</v>
      </c>
      <c r="B728">
        <v>244</v>
      </c>
      <c r="C728">
        <v>1.0164E-4</v>
      </c>
    </row>
    <row r="729" spans="1:3" x14ac:dyDescent="0.25">
      <c r="A729">
        <v>161</v>
      </c>
      <c r="B729">
        <v>245</v>
      </c>
      <c r="C729">
        <v>8.5000000000000001E-7</v>
      </c>
    </row>
    <row r="730" spans="1:3" x14ac:dyDescent="0.25">
      <c r="A730">
        <v>163</v>
      </c>
      <c r="B730">
        <v>245</v>
      </c>
      <c r="C730">
        <v>1.8154E-4</v>
      </c>
    </row>
    <row r="731" spans="1:3" x14ac:dyDescent="0.25">
      <c r="A731">
        <v>173</v>
      </c>
      <c r="B731">
        <v>245</v>
      </c>
      <c r="C731">
        <v>1.2336679999999999E-2</v>
      </c>
    </row>
    <row r="732" spans="1:3" x14ac:dyDescent="0.25">
      <c r="A732">
        <v>175</v>
      </c>
      <c r="B732">
        <v>245</v>
      </c>
      <c r="C732">
        <v>1.0142E-4</v>
      </c>
    </row>
    <row r="733" spans="1:3" x14ac:dyDescent="0.25">
      <c r="A733">
        <v>201</v>
      </c>
      <c r="B733">
        <v>245</v>
      </c>
      <c r="C733">
        <v>0.99000354999999995</v>
      </c>
    </row>
    <row r="734" spans="1:3" x14ac:dyDescent="0.25">
      <c r="A734">
        <v>206</v>
      </c>
      <c r="B734">
        <v>245</v>
      </c>
      <c r="C734">
        <v>3.0574499999999998E-3</v>
      </c>
    </row>
    <row r="735" spans="1:3" x14ac:dyDescent="0.25">
      <c r="A735">
        <v>207</v>
      </c>
      <c r="B735">
        <v>245</v>
      </c>
      <c r="C735">
        <v>1.71703E-3</v>
      </c>
    </row>
    <row r="736" spans="1:3" x14ac:dyDescent="0.25">
      <c r="A736">
        <v>161</v>
      </c>
      <c r="B736">
        <v>246</v>
      </c>
      <c r="C736">
        <v>1.1211000000000001E-4</v>
      </c>
    </row>
    <row r="737" spans="1:3" x14ac:dyDescent="0.25">
      <c r="A737">
        <v>172</v>
      </c>
      <c r="B737">
        <v>246</v>
      </c>
      <c r="C737">
        <v>1.0863980000000001E-2</v>
      </c>
    </row>
    <row r="738" spans="1:3" x14ac:dyDescent="0.25">
      <c r="A738">
        <v>173</v>
      </c>
      <c r="B738">
        <v>246</v>
      </c>
      <c r="C738">
        <v>0.98528216000000002</v>
      </c>
    </row>
    <row r="739" spans="1:3" x14ac:dyDescent="0.25">
      <c r="A739">
        <v>174</v>
      </c>
      <c r="B739">
        <v>246</v>
      </c>
      <c r="C739">
        <v>0.99563531999999999</v>
      </c>
    </row>
    <row r="740" spans="1:3" x14ac:dyDescent="0.25">
      <c r="A740">
        <v>175</v>
      </c>
      <c r="B740">
        <v>246</v>
      </c>
      <c r="C740">
        <v>0.96470052999999989</v>
      </c>
    </row>
    <row r="741" spans="1:3" x14ac:dyDescent="0.25">
      <c r="A741">
        <v>176</v>
      </c>
      <c r="B741">
        <v>246</v>
      </c>
      <c r="C741">
        <v>1.155599E-2</v>
      </c>
    </row>
    <row r="742" spans="1:3" x14ac:dyDescent="0.25">
      <c r="A742">
        <v>179</v>
      </c>
      <c r="B742">
        <v>246</v>
      </c>
      <c r="C742">
        <v>1.7366340000000001E-2</v>
      </c>
    </row>
    <row r="743" spans="1:3" x14ac:dyDescent="0.25">
      <c r="A743">
        <v>188</v>
      </c>
      <c r="B743">
        <v>246</v>
      </c>
      <c r="C743">
        <v>6.0209100000000008E-3</v>
      </c>
    </row>
    <row r="744" spans="1:3" x14ac:dyDescent="0.25">
      <c r="A744">
        <v>189</v>
      </c>
      <c r="B744">
        <v>246</v>
      </c>
      <c r="C744">
        <v>2.6096100000000001E-3</v>
      </c>
    </row>
    <row r="745" spans="1:3" x14ac:dyDescent="0.25">
      <c r="A745">
        <v>190</v>
      </c>
      <c r="B745">
        <v>246</v>
      </c>
      <c r="C745">
        <v>4.8436199999999999E-3</v>
      </c>
    </row>
    <row r="746" spans="1:3" x14ac:dyDescent="0.25">
      <c r="A746">
        <v>67</v>
      </c>
      <c r="B746">
        <v>249</v>
      </c>
      <c r="C746">
        <v>3.9947200000000002E-3</v>
      </c>
    </row>
    <row r="747" spans="1:3" x14ac:dyDescent="0.25">
      <c r="A747">
        <v>68</v>
      </c>
      <c r="B747">
        <v>249</v>
      </c>
      <c r="C747">
        <v>1.54996E-3</v>
      </c>
    </row>
    <row r="748" spans="1:3" x14ac:dyDescent="0.25">
      <c r="A748">
        <v>152</v>
      </c>
      <c r="B748">
        <v>249</v>
      </c>
      <c r="C748">
        <v>1.4848999999999998E-4</v>
      </c>
    </row>
    <row r="749" spans="1:3" x14ac:dyDescent="0.25">
      <c r="A749">
        <v>171</v>
      </c>
      <c r="B749">
        <v>249</v>
      </c>
      <c r="C749">
        <v>6.6534000000000003E-3</v>
      </c>
    </row>
    <row r="750" spans="1:3" x14ac:dyDescent="0.25">
      <c r="A750">
        <v>172</v>
      </c>
      <c r="B750">
        <v>249</v>
      </c>
      <c r="C750">
        <v>1.5237999999999999E-3</v>
      </c>
    </row>
    <row r="751" spans="1:3" x14ac:dyDescent="0.25">
      <c r="A751">
        <v>176</v>
      </c>
      <c r="B751">
        <v>249</v>
      </c>
      <c r="C751">
        <v>0.97787426999999993</v>
      </c>
    </row>
    <row r="752" spans="1:3" x14ac:dyDescent="0.25">
      <c r="A752">
        <v>177</v>
      </c>
      <c r="B752">
        <v>249</v>
      </c>
      <c r="C752">
        <v>0.99371889999999996</v>
      </c>
    </row>
    <row r="753" spans="1:3" x14ac:dyDescent="0.25">
      <c r="A753">
        <v>178</v>
      </c>
      <c r="B753">
        <v>249</v>
      </c>
      <c r="C753">
        <v>0.99999989</v>
      </c>
    </row>
    <row r="754" spans="1:3" x14ac:dyDescent="0.25">
      <c r="A754">
        <v>179</v>
      </c>
      <c r="B754">
        <v>249</v>
      </c>
      <c r="C754">
        <v>0.98263372999999998</v>
      </c>
    </row>
    <row r="755" spans="1:3" x14ac:dyDescent="0.25">
      <c r="A755">
        <v>180</v>
      </c>
      <c r="B755">
        <v>249</v>
      </c>
      <c r="C755">
        <v>0.99587497000000003</v>
      </c>
    </row>
    <row r="756" spans="1:3" x14ac:dyDescent="0.25">
      <c r="A756">
        <v>181</v>
      </c>
      <c r="B756">
        <v>249</v>
      </c>
      <c r="C756">
        <v>0.99665406000000001</v>
      </c>
    </row>
    <row r="757" spans="1:3" x14ac:dyDescent="0.25">
      <c r="A757">
        <v>182</v>
      </c>
      <c r="B757">
        <v>249</v>
      </c>
      <c r="C757">
        <v>0.99999972000000004</v>
      </c>
    </row>
    <row r="758" spans="1:3" x14ac:dyDescent="0.25">
      <c r="A758">
        <v>183</v>
      </c>
      <c r="B758">
        <v>249</v>
      </c>
      <c r="C758">
        <v>0.99999992999999998</v>
      </c>
    </row>
    <row r="759" spans="1:3" x14ac:dyDescent="0.25">
      <c r="A759">
        <v>184</v>
      </c>
      <c r="B759">
        <v>249</v>
      </c>
      <c r="C759">
        <v>1</v>
      </c>
    </row>
    <row r="760" spans="1:3" x14ac:dyDescent="0.25">
      <c r="A760">
        <v>185</v>
      </c>
      <c r="B760">
        <v>249</v>
      </c>
      <c r="C760">
        <v>0.99999998000000001</v>
      </c>
    </row>
    <row r="761" spans="1:3" x14ac:dyDescent="0.25">
      <c r="A761">
        <v>186</v>
      </c>
      <c r="B761">
        <v>249</v>
      </c>
      <c r="C761">
        <v>0.96610308</v>
      </c>
    </row>
    <row r="762" spans="1:3" x14ac:dyDescent="0.25">
      <c r="A762">
        <v>187</v>
      </c>
      <c r="B762">
        <v>249</v>
      </c>
      <c r="C762">
        <v>0.96556928999999991</v>
      </c>
    </row>
    <row r="763" spans="1:3" x14ac:dyDescent="0.25">
      <c r="A763">
        <v>188</v>
      </c>
      <c r="B763">
        <v>249</v>
      </c>
      <c r="C763">
        <v>0.98235828000000003</v>
      </c>
    </row>
    <row r="764" spans="1:3" x14ac:dyDescent="0.25">
      <c r="A764">
        <v>189</v>
      </c>
      <c r="B764">
        <v>249</v>
      </c>
      <c r="C764">
        <v>1.2171E-3</v>
      </c>
    </row>
    <row r="765" spans="1:3" x14ac:dyDescent="0.25">
      <c r="A765">
        <v>191</v>
      </c>
      <c r="B765">
        <v>249</v>
      </c>
      <c r="C765">
        <v>1.2032210000000002E-2</v>
      </c>
    </row>
    <row r="766" spans="1:3" x14ac:dyDescent="0.25">
      <c r="A766">
        <v>192</v>
      </c>
      <c r="B766">
        <v>249</v>
      </c>
      <c r="C766">
        <v>2.8480599999999999E-3</v>
      </c>
    </row>
    <row r="767" spans="1:3" x14ac:dyDescent="0.25">
      <c r="A767">
        <v>194</v>
      </c>
      <c r="B767">
        <v>249</v>
      </c>
      <c r="C767">
        <v>2.8182400000000001E-3</v>
      </c>
    </row>
    <row r="768" spans="1:3" x14ac:dyDescent="0.25">
      <c r="A768">
        <v>199</v>
      </c>
      <c r="B768">
        <v>249</v>
      </c>
      <c r="C768">
        <v>7.0899999999999999E-6</v>
      </c>
    </row>
    <row r="769" spans="1:3" x14ac:dyDescent="0.25">
      <c r="A769">
        <v>290</v>
      </c>
      <c r="B769">
        <v>249</v>
      </c>
      <c r="C769">
        <v>7.8187999999999999E-4</v>
      </c>
    </row>
    <row r="770" spans="1:3" x14ac:dyDescent="0.25">
      <c r="A770">
        <v>174</v>
      </c>
      <c r="B770">
        <v>254</v>
      </c>
      <c r="C770">
        <v>4.3647099999999999E-3</v>
      </c>
    </row>
    <row r="771" spans="1:3" x14ac:dyDescent="0.25">
      <c r="A771">
        <v>175</v>
      </c>
      <c r="B771">
        <v>254</v>
      </c>
      <c r="C771">
        <v>3.5198090000000001E-2</v>
      </c>
    </row>
    <row r="772" spans="1:3" x14ac:dyDescent="0.25">
      <c r="A772">
        <v>190</v>
      </c>
      <c r="B772">
        <v>254</v>
      </c>
      <c r="C772">
        <v>1.6939E-4</v>
      </c>
    </row>
    <row r="773" spans="1:3" x14ac:dyDescent="0.25">
      <c r="A773">
        <v>202</v>
      </c>
      <c r="B773">
        <v>254</v>
      </c>
      <c r="C773">
        <v>3.8311999999999998E-4</v>
      </c>
    </row>
    <row r="774" spans="1:3" x14ac:dyDescent="0.25">
      <c r="A774">
        <v>206</v>
      </c>
      <c r="B774">
        <v>254</v>
      </c>
      <c r="C774">
        <v>0.99694271000000001</v>
      </c>
    </row>
    <row r="775" spans="1:3" x14ac:dyDescent="0.25">
      <c r="A775">
        <v>207</v>
      </c>
      <c r="B775">
        <v>254</v>
      </c>
      <c r="C775">
        <v>0.99770667000000002</v>
      </c>
    </row>
    <row r="776" spans="1:3" x14ac:dyDescent="0.25">
      <c r="A776">
        <v>208</v>
      </c>
      <c r="B776">
        <v>254</v>
      </c>
      <c r="C776">
        <v>0.99225365999999993</v>
      </c>
    </row>
    <row r="777" spans="1:3" x14ac:dyDescent="0.25">
      <c r="A777">
        <v>212</v>
      </c>
      <c r="B777">
        <v>254</v>
      </c>
      <c r="C777">
        <v>2.32125E-3</v>
      </c>
    </row>
    <row r="778" spans="1:3" x14ac:dyDescent="0.25">
      <c r="A778">
        <v>189</v>
      </c>
      <c r="B778">
        <v>256</v>
      </c>
      <c r="C778">
        <v>4.4461800000000001E-3</v>
      </c>
    </row>
    <row r="779" spans="1:3" x14ac:dyDescent="0.25">
      <c r="A779">
        <v>190</v>
      </c>
      <c r="B779">
        <v>256</v>
      </c>
      <c r="C779">
        <v>3.3110390000000003E-2</v>
      </c>
    </row>
    <row r="780" spans="1:3" x14ac:dyDescent="0.25">
      <c r="A780">
        <v>193</v>
      </c>
      <c r="B780">
        <v>256</v>
      </c>
      <c r="C780">
        <v>3.3590000000000002E-5</v>
      </c>
    </row>
    <row r="781" spans="1:3" x14ac:dyDescent="0.25">
      <c r="A781">
        <v>207</v>
      </c>
      <c r="B781">
        <v>256</v>
      </c>
      <c r="C781">
        <v>5.5331999999999994E-4</v>
      </c>
    </row>
    <row r="782" spans="1:3" x14ac:dyDescent="0.25">
      <c r="A782">
        <v>208</v>
      </c>
      <c r="B782">
        <v>256</v>
      </c>
      <c r="C782">
        <v>9.8177000000000008E-4</v>
      </c>
    </row>
    <row r="783" spans="1:3" x14ac:dyDescent="0.25">
      <c r="A783">
        <v>212</v>
      </c>
      <c r="B783">
        <v>256</v>
      </c>
      <c r="C783">
        <v>0.99767875000000006</v>
      </c>
    </row>
    <row r="784" spans="1:3" x14ac:dyDescent="0.25">
      <c r="A784">
        <v>213</v>
      </c>
      <c r="B784">
        <v>256</v>
      </c>
      <c r="C784">
        <v>0.98647090999999998</v>
      </c>
    </row>
    <row r="785" spans="1:3" x14ac:dyDescent="0.25">
      <c r="A785">
        <v>217</v>
      </c>
      <c r="B785">
        <v>256</v>
      </c>
      <c r="C785">
        <v>1.8554000000000001E-3</v>
      </c>
    </row>
    <row r="786" spans="1:3" x14ac:dyDescent="0.25">
      <c r="A786">
        <v>218</v>
      </c>
      <c r="B786">
        <v>256</v>
      </c>
      <c r="C786">
        <v>2.3420400000000001E-3</v>
      </c>
    </row>
    <row r="787" spans="1:3" x14ac:dyDescent="0.25">
      <c r="A787">
        <v>220</v>
      </c>
      <c r="B787">
        <v>256</v>
      </c>
      <c r="C787">
        <v>1.28476E-3</v>
      </c>
    </row>
    <row r="788" spans="1:3" x14ac:dyDescent="0.25">
      <c r="A788">
        <v>217</v>
      </c>
      <c r="B788">
        <v>257</v>
      </c>
      <c r="C788">
        <v>1.433507E-2</v>
      </c>
    </row>
    <row r="789" spans="1:3" x14ac:dyDescent="0.25">
      <c r="A789">
        <v>218</v>
      </c>
      <c r="B789">
        <v>257</v>
      </c>
      <c r="C789">
        <v>0.98417505999999999</v>
      </c>
    </row>
    <row r="790" spans="1:3" x14ac:dyDescent="0.25">
      <c r="A790">
        <v>219</v>
      </c>
      <c r="B790">
        <v>257</v>
      </c>
      <c r="C790">
        <v>4.9315100000000001E-3</v>
      </c>
    </row>
    <row r="791" spans="1:3" x14ac:dyDescent="0.25">
      <c r="A791">
        <v>217</v>
      </c>
      <c r="B791">
        <v>258</v>
      </c>
      <c r="C791">
        <v>6.17177E-3</v>
      </c>
    </row>
    <row r="792" spans="1:3" x14ac:dyDescent="0.25">
      <c r="A792">
        <v>219</v>
      </c>
      <c r="B792">
        <v>258</v>
      </c>
      <c r="C792">
        <v>0.97810261999999992</v>
      </c>
    </row>
    <row r="793" spans="1:3" x14ac:dyDescent="0.25">
      <c r="A793">
        <v>298</v>
      </c>
      <c r="B793">
        <v>258</v>
      </c>
      <c r="C793">
        <v>2.2840000000000002E-5</v>
      </c>
    </row>
    <row r="794" spans="1:3" x14ac:dyDescent="0.25">
      <c r="A794">
        <v>346</v>
      </c>
      <c r="B794">
        <v>258</v>
      </c>
      <c r="C794">
        <v>4.8635900000000001E-3</v>
      </c>
    </row>
    <row r="795" spans="1:3" x14ac:dyDescent="0.25">
      <c r="A795">
        <v>193</v>
      </c>
      <c r="B795">
        <v>259</v>
      </c>
      <c r="C795">
        <v>1.1268879999999998E-2</v>
      </c>
    </row>
    <row r="796" spans="1:3" x14ac:dyDescent="0.25">
      <c r="A796">
        <v>200</v>
      </c>
      <c r="B796">
        <v>259</v>
      </c>
      <c r="C796">
        <v>4.8023699999999996E-2</v>
      </c>
    </row>
    <row r="797" spans="1:3" x14ac:dyDescent="0.25">
      <c r="A797">
        <v>217</v>
      </c>
      <c r="B797">
        <v>259</v>
      </c>
      <c r="C797">
        <v>0.97763762999999992</v>
      </c>
    </row>
    <row r="798" spans="1:3" x14ac:dyDescent="0.25">
      <c r="A798">
        <v>219</v>
      </c>
      <c r="B798">
        <v>259</v>
      </c>
      <c r="C798">
        <v>3.7668000000000001E-4</v>
      </c>
    </row>
    <row r="799" spans="1:3" x14ac:dyDescent="0.25">
      <c r="A799">
        <v>294</v>
      </c>
      <c r="B799">
        <v>259</v>
      </c>
      <c r="C799">
        <v>1.437E-5</v>
      </c>
    </row>
    <row r="800" spans="1:3" x14ac:dyDescent="0.25">
      <c r="A800">
        <v>298</v>
      </c>
      <c r="B800">
        <v>259</v>
      </c>
      <c r="C800">
        <v>9.7376000000000006E-4</v>
      </c>
    </row>
    <row r="801" spans="1:3" x14ac:dyDescent="0.25">
      <c r="A801">
        <v>186</v>
      </c>
      <c r="B801">
        <v>260</v>
      </c>
      <c r="C801">
        <v>4.4066E-4</v>
      </c>
    </row>
    <row r="802" spans="1:3" x14ac:dyDescent="0.25">
      <c r="A802">
        <v>187</v>
      </c>
      <c r="B802">
        <v>260</v>
      </c>
      <c r="C802">
        <v>3.4430820000000001E-2</v>
      </c>
    </row>
    <row r="803" spans="1:3" x14ac:dyDescent="0.25">
      <c r="A803">
        <v>188</v>
      </c>
      <c r="B803">
        <v>260</v>
      </c>
      <c r="C803">
        <v>1.162089E-2</v>
      </c>
    </row>
    <row r="804" spans="1:3" x14ac:dyDescent="0.25">
      <c r="A804">
        <v>189</v>
      </c>
      <c r="B804">
        <v>260</v>
      </c>
      <c r="C804">
        <v>0.99172707000000004</v>
      </c>
    </row>
    <row r="805" spans="1:3" x14ac:dyDescent="0.25">
      <c r="A805">
        <v>190</v>
      </c>
      <c r="B805">
        <v>260</v>
      </c>
      <c r="C805">
        <v>0.9618766700000001</v>
      </c>
    </row>
    <row r="806" spans="1:3" x14ac:dyDescent="0.25">
      <c r="A806">
        <v>192</v>
      </c>
      <c r="B806">
        <v>260</v>
      </c>
      <c r="C806">
        <v>4.188915E-2</v>
      </c>
    </row>
    <row r="807" spans="1:3" x14ac:dyDescent="0.25">
      <c r="A807">
        <v>193</v>
      </c>
      <c r="B807">
        <v>260</v>
      </c>
      <c r="C807">
        <v>0.98869757000000003</v>
      </c>
    </row>
    <row r="808" spans="1:3" x14ac:dyDescent="0.25">
      <c r="A808">
        <v>199</v>
      </c>
      <c r="B808">
        <v>260</v>
      </c>
      <c r="C808">
        <v>8.2653299999999996E-3</v>
      </c>
    </row>
    <row r="809" spans="1:3" x14ac:dyDescent="0.25">
      <c r="A809">
        <v>200</v>
      </c>
      <c r="B809">
        <v>260</v>
      </c>
      <c r="C809">
        <v>0.95197618000000006</v>
      </c>
    </row>
    <row r="810" spans="1:3" x14ac:dyDescent="0.25">
      <c r="A810">
        <v>294</v>
      </c>
      <c r="B810">
        <v>260</v>
      </c>
      <c r="C810">
        <v>3.0381000000000001E-4</v>
      </c>
    </row>
    <row r="811" spans="1:3" x14ac:dyDescent="0.25">
      <c r="A811">
        <v>180</v>
      </c>
      <c r="B811">
        <v>261</v>
      </c>
      <c r="C811">
        <v>2.2780000000000002E-5</v>
      </c>
    </row>
    <row r="812" spans="1:3" x14ac:dyDescent="0.25">
      <c r="A812">
        <v>181</v>
      </c>
      <c r="B812">
        <v>261</v>
      </c>
      <c r="C812">
        <v>3.3458100000000003E-3</v>
      </c>
    </row>
    <row r="813" spans="1:3" x14ac:dyDescent="0.25">
      <c r="A813">
        <v>186</v>
      </c>
      <c r="B813">
        <v>261</v>
      </c>
      <c r="C813">
        <v>3.3456180000000002E-2</v>
      </c>
    </row>
    <row r="814" spans="1:3" x14ac:dyDescent="0.25">
      <c r="A814">
        <v>191</v>
      </c>
      <c r="B814">
        <v>261</v>
      </c>
      <c r="C814">
        <v>0.98796789000000007</v>
      </c>
    </row>
    <row r="815" spans="1:3" x14ac:dyDescent="0.25">
      <c r="A815">
        <v>192</v>
      </c>
      <c r="B815">
        <v>261</v>
      </c>
      <c r="C815">
        <v>0.95526270000000002</v>
      </c>
    </row>
    <row r="816" spans="1:3" x14ac:dyDescent="0.25">
      <c r="A816">
        <v>195</v>
      </c>
      <c r="B816">
        <v>261</v>
      </c>
      <c r="C816">
        <v>4.0345060000000002E-2</v>
      </c>
    </row>
    <row r="817" spans="1:3" x14ac:dyDescent="0.25">
      <c r="A817">
        <v>196</v>
      </c>
      <c r="B817">
        <v>261</v>
      </c>
      <c r="C817">
        <v>3.323367E-2</v>
      </c>
    </row>
    <row r="818" spans="1:3" x14ac:dyDescent="0.25">
      <c r="A818">
        <v>197</v>
      </c>
      <c r="B818">
        <v>261</v>
      </c>
      <c r="C818">
        <v>0.99999979999999988</v>
      </c>
    </row>
    <row r="819" spans="1:3" x14ac:dyDescent="0.25">
      <c r="A819">
        <v>198</v>
      </c>
      <c r="B819">
        <v>261</v>
      </c>
      <c r="C819">
        <v>0.99999992999999998</v>
      </c>
    </row>
    <row r="820" spans="1:3" x14ac:dyDescent="0.25">
      <c r="A820">
        <v>199</v>
      </c>
      <c r="B820">
        <v>261</v>
      </c>
      <c r="C820">
        <v>0.99172760999999998</v>
      </c>
    </row>
    <row r="821" spans="1:3" x14ac:dyDescent="0.25">
      <c r="A821">
        <v>293</v>
      </c>
      <c r="B821">
        <v>261</v>
      </c>
      <c r="C821">
        <v>6.2031999999999994E-4</v>
      </c>
    </row>
    <row r="822" spans="1:3" x14ac:dyDescent="0.25">
      <c r="A822">
        <v>294</v>
      </c>
      <c r="B822">
        <v>261</v>
      </c>
      <c r="C822">
        <v>2.2142400000000001E-3</v>
      </c>
    </row>
    <row r="823" spans="1:3" x14ac:dyDescent="0.25">
      <c r="A823">
        <v>180</v>
      </c>
      <c r="B823">
        <v>279</v>
      </c>
      <c r="C823">
        <v>2.7046500000000003E-3</v>
      </c>
    </row>
    <row r="824" spans="1:3" x14ac:dyDescent="0.25">
      <c r="A824">
        <v>194</v>
      </c>
      <c r="B824">
        <v>279</v>
      </c>
      <c r="C824">
        <v>1.2021E-4</v>
      </c>
    </row>
    <row r="825" spans="1:3" x14ac:dyDescent="0.25">
      <c r="A825">
        <v>195</v>
      </c>
      <c r="B825">
        <v>279</v>
      </c>
      <c r="C825">
        <v>0.95965523000000008</v>
      </c>
    </row>
    <row r="826" spans="1:3" x14ac:dyDescent="0.25">
      <c r="A826">
        <v>196</v>
      </c>
      <c r="B826">
        <v>279</v>
      </c>
      <c r="C826">
        <v>4.4549100000000003E-3</v>
      </c>
    </row>
    <row r="827" spans="1:3" x14ac:dyDescent="0.25">
      <c r="A827">
        <v>194</v>
      </c>
      <c r="B827">
        <v>280</v>
      </c>
      <c r="C827">
        <v>2.8482569999999999E-2</v>
      </c>
    </row>
    <row r="828" spans="1:3" x14ac:dyDescent="0.25">
      <c r="A828">
        <v>196</v>
      </c>
      <c r="B828">
        <v>280</v>
      </c>
      <c r="C828">
        <v>0.96230874999999994</v>
      </c>
    </row>
    <row r="829" spans="1:3" x14ac:dyDescent="0.25">
      <c r="A829">
        <v>293</v>
      </c>
      <c r="B829">
        <v>280</v>
      </c>
      <c r="C829">
        <v>1.4236000000000001E-4</v>
      </c>
    </row>
    <row r="830" spans="1:3" x14ac:dyDescent="0.25">
      <c r="A830">
        <v>194</v>
      </c>
      <c r="B830">
        <v>281</v>
      </c>
      <c r="C830">
        <v>0.96853027000000003</v>
      </c>
    </row>
    <row r="831" spans="1:3" x14ac:dyDescent="0.25">
      <c r="A831">
        <v>290</v>
      </c>
      <c r="B831">
        <v>281</v>
      </c>
      <c r="C831">
        <v>3.97E-4</v>
      </c>
    </row>
    <row r="832" spans="1:3" x14ac:dyDescent="0.25">
      <c r="A832">
        <v>146</v>
      </c>
      <c r="B832">
        <v>282</v>
      </c>
      <c r="C832">
        <v>8.6281799999999992E-3</v>
      </c>
    </row>
    <row r="833" spans="1:3" x14ac:dyDescent="0.25">
      <c r="A833">
        <v>147</v>
      </c>
      <c r="B833">
        <v>282</v>
      </c>
      <c r="C833">
        <v>1.2034999999999999E-3</v>
      </c>
    </row>
    <row r="834" spans="1:3" x14ac:dyDescent="0.25">
      <c r="A834">
        <v>162</v>
      </c>
      <c r="B834">
        <v>282</v>
      </c>
      <c r="C834">
        <v>1.020445E-2</v>
      </c>
    </row>
    <row r="835" spans="1:3" x14ac:dyDescent="0.25">
      <c r="A835">
        <v>163</v>
      </c>
      <c r="B835">
        <v>282</v>
      </c>
      <c r="C835">
        <v>1.9748499999999998E-3</v>
      </c>
    </row>
    <row r="836" spans="1:3" x14ac:dyDescent="0.25">
      <c r="A836">
        <v>164</v>
      </c>
      <c r="B836">
        <v>282</v>
      </c>
      <c r="C836">
        <v>0.99134422999999994</v>
      </c>
    </row>
    <row r="837" spans="1:3" x14ac:dyDescent="0.25">
      <c r="A837">
        <v>165</v>
      </c>
      <c r="B837">
        <v>282</v>
      </c>
      <c r="C837">
        <v>1.9627099999999999E-3</v>
      </c>
    </row>
    <row r="838" spans="1:3" x14ac:dyDescent="0.25">
      <c r="A838">
        <v>167</v>
      </c>
      <c r="B838">
        <v>282</v>
      </c>
      <c r="C838">
        <v>3.5899999999999999E-6</v>
      </c>
    </row>
    <row r="839" spans="1:3" x14ac:dyDescent="0.25">
      <c r="A839">
        <v>147</v>
      </c>
      <c r="B839">
        <v>283</v>
      </c>
      <c r="C839">
        <v>1.0463500000000001E-3</v>
      </c>
    </row>
    <row r="840" spans="1:3" x14ac:dyDescent="0.25">
      <c r="A840">
        <v>148</v>
      </c>
      <c r="B840">
        <v>283</v>
      </c>
      <c r="C840">
        <v>4.1985000000000004E-4</v>
      </c>
    </row>
    <row r="841" spans="1:3" x14ac:dyDescent="0.25">
      <c r="A841">
        <v>149</v>
      </c>
      <c r="B841">
        <v>283</v>
      </c>
      <c r="C841">
        <v>8.7597000000000005E-3</v>
      </c>
    </row>
    <row r="842" spans="1:3" x14ac:dyDescent="0.25">
      <c r="A842">
        <v>164</v>
      </c>
      <c r="B842">
        <v>283</v>
      </c>
      <c r="C842">
        <v>8.4533200000000003E-3</v>
      </c>
    </row>
    <row r="843" spans="1:3" x14ac:dyDescent="0.25">
      <c r="A843">
        <v>166</v>
      </c>
      <c r="B843">
        <v>283</v>
      </c>
      <c r="C843">
        <v>0.98581231999999996</v>
      </c>
    </row>
    <row r="844" spans="1:3" x14ac:dyDescent="0.25">
      <c r="A844">
        <v>149</v>
      </c>
      <c r="B844">
        <v>284</v>
      </c>
      <c r="C844">
        <v>5.2101299999999994E-3</v>
      </c>
    </row>
    <row r="845" spans="1:3" x14ac:dyDescent="0.25">
      <c r="A845">
        <v>150</v>
      </c>
      <c r="B845">
        <v>284</v>
      </c>
      <c r="C845">
        <v>1.4905150000000001E-2</v>
      </c>
    </row>
    <row r="846" spans="1:3" x14ac:dyDescent="0.25">
      <c r="A846">
        <v>166</v>
      </c>
      <c r="B846">
        <v>284</v>
      </c>
      <c r="C846">
        <v>1.398218E-2</v>
      </c>
    </row>
    <row r="847" spans="1:3" x14ac:dyDescent="0.25">
      <c r="A847">
        <v>168</v>
      </c>
      <c r="B847">
        <v>284</v>
      </c>
      <c r="C847">
        <v>0.99081333000000005</v>
      </c>
    </row>
    <row r="848" spans="1:3" x14ac:dyDescent="0.25">
      <c r="A848">
        <v>163</v>
      </c>
      <c r="B848">
        <v>285</v>
      </c>
      <c r="C848">
        <v>1.1644090000000001E-2</v>
      </c>
    </row>
    <row r="849" spans="1:3" x14ac:dyDescent="0.25">
      <c r="A849">
        <v>164</v>
      </c>
      <c r="B849">
        <v>285</v>
      </c>
      <c r="C849">
        <v>9.5379999999999998E-5</v>
      </c>
    </row>
    <row r="850" spans="1:3" x14ac:dyDescent="0.25">
      <c r="A850">
        <v>165</v>
      </c>
      <c r="B850">
        <v>285</v>
      </c>
      <c r="C850">
        <v>0.98724380999999994</v>
      </c>
    </row>
    <row r="851" spans="1:3" x14ac:dyDescent="0.25">
      <c r="A851">
        <v>164</v>
      </c>
      <c r="B851">
        <v>286</v>
      </c>
      <c r="C851">
        <v>1.0704999999999999E-4</v>
      </c>
    </row>
    <row r="852" spans="1:3" x14ac:dyDescent="0.25">
      <c r="A852">
        <v>165</v>
      </c>
      <c r="B852">
        <v>286</v>
      </c>
      <c r="C852">
        <v>8.9640600000000011E-3</v>
      </c>
    </row>
    <row r="853" spans="1:3" x14ac:dyDescent="0.25">
      <c r="A853">
        <v>166</v>
      </c>
      <c r="B853">
        <v>286</v>
      </c>
      <c r="C853">
        <v>2.0552E-4</v>
      </c>
    </row>
    <row r="854" spans="1:3" x14ac:dyDescent="0.25">
      <c r="A854">
        <v>167</v>
      </c>
      <c r="B854">
        <v>286</v>
      </c>
      <c r="C854">
        <v>0.99865585999999995</v>
      </c>
    </row>
    <row r="855" spans="1:3" x14ac:dyDescent="0.25">
      <c r="A855">
        <v>168</v>
      </c>
      <c r="B855">
        <v>286</v>
      </c>
      <c r="C855">
        <v>1.9362999999999997E-4</v>
      </c>
    </row>
    <row r="856" spans="1:3" x14ac:dyDescent="0.25">
      <c r="A856">
        <v>169</v>
      </c>
      <c r="B856">
        <v>286</v>
      </c>
      <c r="C856">
        <v>1</v>
      </c>
    </row>
    <row r="857" spans="1:3" x14ac:dyDescent="0.25">
      <c r="A857">
        <v>170</v>
      </c>
      <c r="B857">
        <v>286</v>
      </c>
      <c r="C857">
        <v>0.98462168999999999</v>
      </c>
    </row>
    <row r="858" spans="1:3" x14ac:dyDescent="0.25">
      <c r="A858">
        <v>203</v>
      </c>
      <c r="B858">
        <v>286</v>
      </c>
      <c r="C858">
        <v>1.1207400000000001E-2</v>
      </c>
    </row>
    <row r="859" spans="1:3" x14ac:dyDescent="0.25">
      <c r="A859">
        <v>204</v>
      </c>
      <c r="B859">
        <v>286</v>
      </c>
      <c r="C859">
        <v>0.99954189000000004</v>
      </c>
    </row>
    <row r="860" spans="1:3" x14ac:dyDescent="0.25">
      <c r="A860">
        <v>205</v>
      </c>
      <c r="B860">
        <v>286</v>
      </c>
      <c r="C860">
        <v>0.98407359999999999</v>
      </c>
    </row>
    <row r="861" spans="1:3" x14ac:dyDescent="0.25">
      <c r="A861">
        <v>163</v>
      </c>
      <c r="B861">
        <v>289</v>
      </c>
      <c r="C861">
        <v>4.33E-6</v>
      </c>
    </row>
    <row r="862" spans="1:3" x14ac:dyDescent="0.25">
      <c r="A862">
        <v>165</v>
      </c>
      <c r="B862">
        <v>289</v>
      </c>
      <c r="C862">
        <v>1.6996800000000001E-3</v>
      </c>
    </row>
    <row r="863" spans="1:3" x14ac:dyDescent="0.25">
      <c r="A863">
        <v>201</v>
      </c>
      <c r="B863">
        <v>289</v>
      </c>
      <c r="C863">
        <v>9.8951000000000004E-3</v>
      </c>
    </row>
    <row r="864" spans="1:3" x14ac:dyDescent="0.25">
      <c r="A864">
        <v>202</v>
      </c>
      <c r="B864">
        <v>289</v>
      </c>
      <c r="C864">
        <v>0.99177862000000006</v>
      </c>
    </row>
    <row r="865" spans="1:3" x14ac:dyDescent="0.25">
      <c r="A865">
        <v>207</v>
      </c>
      <c r="B865">
        <v>289</v>
      </c>
      <c r="C865">
        <v>2.2940000000000001E-5</v>
      </c>
    </row>
    <row r="866" spans="1:3" x14ac:dyDescent="0.25">
      <c r="A866">
        <v>208</v>
      </c>
      <c r="B866">
        <v>289</v>
      </c>
      <c r="C866">
        <v>6.1189999999999997E-4</v>
      </c>
    </row>
    <row r="867" spans="1:3" x14ac:dyDescent="0.25">
      <c r="A867">
        <v>165</v>
      </c>
      <c r="B867">
        <v>290</v>
      </c>
      <c r="C867">
        <v>1.2966E-4</v>
      </c>
    </row>
    <row r="868" spans="1:3" x14ac:dyDescent="0.25">
      <c r="A868">
        <v>167</v>
      </c>
      <c r="B868">
        <v>290</v>
      </c>
      <c r="C868">
        <v>1.3405700000000001E-3</v>
      </c>
    </row>
    <row r="869" spans="1:3" x14ac:dyDescent="0.25">
      <c r="A869">
        <v>202</v>
      </c>
      <c r="B869">
        <v>290</v>
      </c>
      <c r="C869">
        <v>7.83528E-3</v>
      </c>
    </row>
    <row r="870" spans="1:3" x14ac:dyDescent="0.25">
      <c r="A870">
        <v>203</v>
      </c>
      <c r="B870">
        <v>290</v>
      </c>
      <c r="C870">
        <v>0.98836268999999999</v>
      </c>
    </row>
    <row r="871" spans="1:3" x14ac:dyDescent="0.25">
      <c r="A871">
        <v>204</v>
      </c>
      <c r="B871">
        <v>290</v>
      </c>
      <c r="C871">
        <v>5.8650000000000003E-5</v>
      </c>
    </row>
    <row r="872" spans="1:3" x14ac:dyDescent="0.25">
      <c r="A872">
        <v>202</v>
      </c>
      <c r="B872">
        <v>294</v>
      </c>
      <c r="C872">
        <v>3.0200000000000003E-6</v>
      </c>
    </row>
    <row r="873" spans="1:3" x14ac:dyDescent="0.25">
      <c r="A873">
        <v>203</v>
      </c>
      <c r="B873">
        <v>294</v>
      </c>
      <c r="C873">
        <v>4.2546000000000001E-4</v>
      </c>
    </row>
    <row r="874" spans="1:3" x14ac:dyDescent="0.25">
      <c r="A874">
        <v>208</v>
      </c>
      <c r="B874">
        <v>294</v>
      </c>
      <c r="C874">
        <v>5.3226899999999997E-3</v>
      </c>
    </row>
    <row r="875" spans="1:3" x14ac:dyDescent="0.25">
      <c r="A875">
        <v>209</v>
      </c>
      <c r="B875">
        <v>294</v>
      </c>
      <c r="C875">
        <v>0.98964066000000006</v>
      </c>
    </row>
    <row r="876" spans="1:3" x14ac:dyDescent="0.25">
      <c r="A876">
        <v>203</v>
      </c>
      <c r="B876">
        <v>295</v>
      </c>
      <c r="C876">
        <v>4.3800000000000004E-6</v>
      </c>
    </row>
    <row r="877" spans="1:3" x14ac:dyDescent="0.25">
      <c r="A877">
        <v>204</v>
      </c>
      <c r="B877">
        <v>295</v>
      </c>
      <c r="C877">
        <v>3.9947999999999996E-4</v>
      </c>
    </row>
    <row r="878" spans="1:3" x14ac:dyDescent="0.25">
      <c r="A878">
        <v>205</v>
      </c>
      <c r="B878">
        <v>295</v>
      </c>
      <c r="C878">
        <v>1.1686E-4</v>
      </c>
    </row>
    <row r="879" spans="1:3" x14ac:dyDescent="0.25">
      <c r="A879">
        <v>209</v>
      </c>
      <c r="B879">
        <v>295</v>
      </c>
      <c r="C879">
        <v>9.8342199999999994E-3</v>
      </c>
    </row>
    <row r="880" spans="1:3" x14ac:dyDescent="0.25">
      <c r="A880">
        <v>210</v>
      </c>
      <c r="B880">
        <v>295</v>
      </c>
      <c r="C880">
        <v>0.99178703999999995</v>
      </c>
    </row>
    <row r="881" spans="1:3" x14ac:dyDescent="0.25">
      <c r="A881">
        <v>205</v>
      </c>
      <c r="B881">
        <v>296</v>
      </c>
      <c r="C881">
        <v>1.2649000000000002E-4</v>
      </c>
    </row>
    <row r="882" spans="1:3" x14ac:dyDescent="0.25">
      <c r="A882">
        <v>210</v>
      </c>
      <c r="B882">
        <v>296</v>
      </c>
      <c r="C882">
        <v>7.7014900000000001E-3</v>
      </c>
    </row>
    <row r="883" spans="1:3" x14ac:dyDescent="0.25">
      <c r="A883">
        <v>211</v>
      </c>
      <c r="B883">
        <v>296</v>
      </c>
      <c r="C883">
        <v>0.95377150999999993</v>
      </c>
    </row>
    <row r="884" spans="1:3" x14ac:dyDescent="0.25">
      <c r="A884">
        <v>208</v>
      </c>
      <c r="B884">
        <v>298</v>
      </c>
      <c r="C884">
        <v>6.8032999999999993E-4</v>
      </c>
    </row>
    <row r="885" spans="1:3" x14ac:dyDescent="0.25">
      <c r="A885">
        <v>213</v>
      </c>
      <c r="B885">
        <v>298</v>
      </c>
      <c r="C885">
        <v>1.3529089999999999E-2</v>
      </c>
    </row>
    <row r="886" spans="1:3" x14ac:dyDescent="0.25">
      <c r="A886">
        <v>214</v>
      </c>
      <c r="B886">
        <v>298</v>
      </c>
      <c r="C886">
        <v>0.98601110000000003</v>
      </c>
    </row>
    <row r="887" spans="1:3" x14ac:dyDescent="0.25">
      <c r="A887">
        <v>220</v>
      </c>
      <c r="B887">
        <v>298</v>
      </c>
      <c r="C887">
        <v>2.6634E-4</v>
      </c>
    </row>
    <row r="888" spans="1:3" x14ac:dyDescent="0.25">
      <c r="A888">
        <v>221</v>
      </c>
      <c r="B888">
        <v>298</v>
      </c>
      <c r="C888">
        <v>3.8459900000000001E-3</v>
      </c>
    </row>
    <row r="889" spans="1:3" x14ac:dyDescent="0.25">
      <c r="A889">
        <v>223</v>
      </c>
      <c r="B889">
        <v>298</v>
      </c>
      <c r="C889">
        <v>2.341E-4</v>
      </c>
    </row>
    <row r="890" spans="1:3" x14ac:dyDescent="0.25">
      <c r="A890">
        <v>208</v>
      </c>
      <c r="B890">
        <v>299</v>
      </c>
      <c r="C890">
        <v>1.4967E-4</v>
      </c>
    </row>
    <row r="891" spans="1:3" x14ac:dyDescent="0.25">
      <c r="A891">
        <v>209</v>
      </c>
      <c r="B891">
        <v>299</v>
      </c>
      <c r="C891">
        <v>5.2495999999999999E-4</v>
      </c>
    </row>
    <row r="892" spans="1:3" x14ac:dyDescent="0.25">
      <c r="A892">
        <v>210</v>
      </c>
      <c r="B892">
        <v>299</v>
      </c>
      <c r="C892">
        <v>2.6700999999999998E-4</v>
      </c>
    </row>
    <row r="893" spans="1:3" x14ac:dyDescent="0.25">
      <c r="A893">
        <v>214</v>
      </c>
      <c r="B893">
        <v>299</v>
      </c>
      <c r="C893">
        <v>1.398893E-2</v>
      </c>
    </row>
    <row r="894" spans="1:3" x14ac:dyDescent="0.25">
      <c r="A894">
        <v>215</v>
      </c>
      <c r="B894">
        <v>299</v>
      </c>
      <c r="C894">
        <v>0.99528424000000004</v>
      </c>
    </row>
    <row r="895" spans="1:3" x14ac:dyDescent="0.25">
      <c r="A895">
        <v>216</v>
      </c>
      <c r="B895">
        <v>299</v>
      </c>
      <c r="C895">
        <v>1.7056999999999999E-4</v>
      </c>
    </row>
    <row r="896" spans="1:3" x14ac:dyDescent="0.25">
      <c r="A896">
        <v>223</v>
      </c>
      <c r="B896">
        <v>299</v>
      </c>
      <c r="C896">
        <v>5.5689500000000005E-3</v>
      </c>
    </row>
    <row r="897" spans="1:3" x14ac:dyDescent="0.25">
      <c r="A897">
        <v>225</v>
      </c>
      <c r="B897">
        <v>299</v>
      </c>
      <c r="C897">
        <v>2.86784E-3</v>
      </c>
    </row>
    <row r="898" spans="1:3" x14ac:dyDescent="0.25">
      <c r="A898">
        <v>227</v>
      </c>
      <c r="B898">
        <v>299</v>
      </c>
      <c r="C898">
        <v>3.1912000000000005E-4</v>
      </c>
    </row>
    <row r="899" spans="1:3" x14ac:dyDescent="0.25">
      <c r="A899">
        <v>210</v>
      </c>
      <c r="B899">
        <v>300</v>
      </c>
      <c r="C899">
        <v>2.4459999999999998E-4</v>
      </c>
    </row>
    <row r="900" spans="1:3" x14ac:dyDescent="0.25">
      <c r="A900">
        <v>211</v>
      </c>
      <c r="B900">
        <v>300</v>
      </c>
      <c r="C900">
        <v>4.5344000000000005E-4</v>
      </c>
    </row>
    <row r="901" spans="1:3" x14ac:dyDescent="0.25">
      <c r="A901">
        <v>215</v>
      </c>
      <c r="B901">
        <v>300</v>
      </c>
      <c r="C901">
        <v>4.6361800000000002E-3</v>
      </c>
    </row>
    <row r="902" spans="1:3" x14ac:dyDescent="0.25">
      <c r="A902">
        <v>216</v>
      </c>
      <c r="B902">
        <v>300</v>
      </c>
      <c r="C902">
        <v>0.98173897999999993</v>
      </c>
    </row>
    <row r="903" spans="1:3" x14ac:dyDescent="0.25">
      <c r="A903">
        <v>218</v>
      </c>
      <c r="B903">
        <v>301</v>
      </c>
      <c r="C903">
        <v>1.348298E-2</v>
      </c>
    </row>
    <row r="904" spans="1:3" x14ac:dyDescent="0.25">
      <c r="A904">
        <v>219</v>
      </c>
      <c r="B904">
        <v>301</v>
      </c>
      <c r="C904">
        <v>1.594653E-2</v>
      </c>
    </row>
    <row r="905" spans="1:3" x14ac:dyDescent="0.25">
      <c r="A905">
        <v>220</v>
      </c>
      <c r="B905">
        <v>301</v>
      </c>
      <c r="C905">
        <v>0.98797330999999999</v>
      </c>
    </row>
    <row r="906" spans="1:3" x14ac:dyDescent="0.25">
      <c r="A906">
        <v>222</v>
      </c>
      <c r="B906">
        <v>301</v>
      </c>
      <c r="C906">
        <v>1.202E-5</v>
      </c>
    </row>
    <row r="907" spans="1:3" x14ac:dyDescent="0.25">
      <c r="A907">
        <v>346</v>
      </c>
      <c r="B907">
        <v>301</v>
      </c>
      <c r="C907">
        <v>1.1624000000000001E-4</v>
      </c>
    </row>
    <row r="908" spans="1:3" x14ac:dyDescent="0.25">
      <c r="A908">
        <v>347</v>
      </c>
      <c r="B908">
        <v>301</v>
      </c>
      <c r="C908">
        <v>3.9746999999999997E-4</v>
      </c>
    </row>
    <row r="909" spans="1:3" x14ac:dyDescent="0.25">
      <c r="A909">
        <v>348</v>
      </c>
      <c r="B909">
        <v>301</v>
      </c>
      <c r="C909">
        <v>4.9588799999999997E-3</v>
      </c>
    </row>
    <row r="910" spans="1:3" x14ac:dyDescent="0.25">
      <c r="A910">
        <v>220</v>
      </c>
      <c r="B910">
        <v>302</v>
      </c>
      <c r="C910">
        <v>3.74143E-3</v>
      </c>
    </row>
    <row r="911" spans="1:3" x14ac:dyDescent="0.25">
      <c r="A911">
        <v>221</v>
      </c>
      <c r="B911">
        <v>302</v>
      </c>
      <c r="C911">
        <v>0.98540662999999995</v>
      </c>
    </row>
    <row r="912" spans="1:3" x14ac:dyDescent="0.25">
      <c r="A912">
        <v>222</v>
      </c>
      <c r="B912">
        <v>302</v>
      </c>
      <c r="C912">
        <v>2.8834999999999998E-3</v>
      </c>
    </row>
    <row r="913" spans="1:3" x14ac:dyDescent="0.25">
      <c r="A913">
        <v>220</v>
      </c>
      <c r="B913">
        <v>303</v>
      </c>
      <c r="C913">
        <v>6.7342100000000009E-3</v>
      </c>
    </row>
    <row r="914" spans="1:3" x14ac:dyDescent="0.25">
      <c r="A914">
        <v>221</v>
      </c>
      <c r="B914">
        <v>303</v>
      </c>
      <c r="C914">
        <v>2.4140300000000002E-3</v>
      </c>
    </row>
    <row r="915" spans="1:3" x14ac:dyDescent="0.25">
      <c r="A915">
        <v>222</v>
      </c>
      <c r="B915">
        <v>303</v>
      </c>
      <c r="C915">
        <v>0.98485218000000008</v>
      </c>
    </row>
    <row r="916" spans="1:3" x14ac:dyDescent="0.25">
      <c r="A916">
        <v>348</v>
      </c>
      <c r="B916">
        <v>303</v>
      </c>
      <c r="C916">
        <v>8.5220000000000001E-5</v>
      </c>
    </row>
    <row r="917" spans="1:3" x14ac:dyDescent="0.25">
      <c r="A917">
        <v>349</v>
      </c>
      <c r="B917">
        <v>303</v>
      </c>
      <c r="C917">
        <v>1.0036650000000001E-2</v>
      </c>
    </row>
    <row r="918" spans="1:3" x14ac:dyDescent="0.25">
      <c r="A918">
        <v>215</v>
      </c>
      <c r="B918">
        <v>304</v>
      </c>
      <c r="C918">
        <v>7.9590000000000002E-5</v>
      </c>
    </row>
    <row r="919" spans="1:3" x14ac:dyDescent="0.25">
      <c r="A919">
        <v>216</v>
      </c>
      <c r="B919">
        <v>304</v>
      </c>
      <c r="C919">
        <v>2.1039999999999999E-4</v>
      </c>
    </row>
    <row r="920" spans="1:3" x14ac:dyDescent="0.25">
      <c r="A920">
        <v>221</v>
      </c>
      <c r="B920">
        <v>304</v>
      </c>
      <c r="C920">
        <v>8.3333499999999998E-3</v>
      </c>
    </row>
    <row r="921" spans="1:3" x14ac:dyDescent="0.25">
      <c r="A921">
        <v>222</v>
      </c>
      <c r="B921">
        <v>304</v>
      </c>
      <c r="C921">
        <v>1.22522E-2</v>
      </c>
    </row>
    <row r="922" spans="1:3" x14ac:dyDescent="0.25">
      <c r="A922">
        <v>223</v>
      </c>
      <c r="B922">
        <v>304</v>
      </c>
      <c r="C922">
        <v>0.99419692999999998</v>
      </c>
    </row>
    <row r="923" spans="1:3" x14ac:dyDescent="0.25">
      <c r="A923">
        <v>224</v>
      </c>
      <c r="B923">
        <v>304</v>
      </c>
      <c r="C923">
        <v>1</v>
      </c>
    </row>
    <row r="924" spans="1:3" x14ac:dyDescent="0.25">
      <c r="A924">
        <v>225</v>
      </c>
      <c r="B924">
        <v>304</v>
      </c>
      <c r="C924">
        <v>0.99713229999999997</v>
      </c>
    </row>
    <row r="925" spans="1:3" x14ac:dyDescent="0.25">
      <c r="A925">
        <v>226</v>
      </c>
      <c r="B925">
        <v>304</v>
      </c>
      <c r="C925">
        <v>0.99999995999999991</v>
      </c>
    </row>
    <row r="926" spans="1:3" x14ac:dyDescent="0.25">
      <c r="A926">
        <v>227</v>
      </c>
      <c r="B926">
        <v>304</v>
      </c>
      <c r="C926">
        <v>0.99074496999999995</v>
      </c>
    </row>
    <row r="927" spans="1:3" x14ac:dyDescent="0.25">
      <c r="A927">
        <v>349</v>
      </c>
      <c r="B927">
        <v>304</v>
      </c>
      <c r="C927">
        <v>1.228E-4</v>
      </c>
    </row>
    <row r="928" spans="1:3" x14ac:dyDescent="0.25">
      <c r="A928">
        <v>352</v>
      </c>
      <c r="B928">
        <v>304</v>
      </c>
      <c r="C928">
        <v>2.8789000000000001E-4</v>
      </c>
    </row>
    <row r="929" spans="1:3" x14ac:dyDescent="0.25">
      <c r="A929">
        <v>353</v>
      </c>
      <c r="B929">
        <v>304</v>
      </c>
      <c r="C929">
        <v>1.7269200000000001E-3</v>
      </c>
    </row>
    <row r="930" spans="1:3" x14ac:dyDescent="0.25">
      <c r="A930">
        <v>194</v>
      </c>
      <c r="B930">
        <v>309</v>
      </c>
      <c r="C930">
        <v>4.8279999999999999E-5</v>
      </c>
    </row>
    <row r="931" spans="1:3" x14ac:dyDescent="0.25">
      <c r="A931">
        <v>290</v>
      </c>
      <c r="B931">
        <v>309</v>
      </c>
      <c r="C931">
        <v>3.9778000000000003E-4</v>
      </c>
    </row>
    <row r="932" spans="1:3" x14ac:dyDescent="0.25">
      <c r="A932">
        <v>291</v>
      </c>
      <c r="B932">
        <v>309</v>
      </c>
      <c r="C932">
        <v>0.98122058999999995</v>
      </c>
    </row>
    <row r="933" spans="1:3" x14ac:dyDescent="0.25">
      <c r="A933">
        <v>292</v>
      </c>
      <c r="B933">
        <v>309</v>
      </c>
      <c r="C933">
        <v>4.0000000000000003E-7</v>
      </c>
    </row>
    <row r="934" spans="1:3" x14ac:dyDescent="0.25">
      <c r="A934">
        <v>194</v>
      </c>
      <c r="B934">
        <v>310</v>
      </c>
      <c r="C934">
        <v>6.9999999999999997E-7</v>
      </c>
    </row>
    <row r="935" spans="1:3" x14ac:dyDescent="0.25">
      <c r="A935">
        <v>196</v>
      </c>
      <c r="B935">
        <v>310</v>
      </c>
      <c r="C935">
        <v>2.5399999999999998E-6</v>
      </c>
    </row>
    <row r="936" spans="1:3" x14ac:dyDescent="0.25">
      <c r="A936">
        <v>291</v>
      </c>
      <c r="B936">
        <v>310</v>
      </c>
      <c r="C936">
        <v>1.7116489999999998E-2</v>
      </c>
    </row>
    <row r="937" spans="1:3" x14ac:dyDescent="0.25">
      <c r="A937">
        <v>292</v>
      </c>
      <c r="B937">
        <v>310</v>
      </c>
      <c r="C937">
        <v>7.8681700000000007E-3</v>
      </c>
    </row>
    <row r="938" spans="1:3" x14ac:dyDescent="0.25">
      <c r="A938">
        <v>293</v>
      </c>
      <c r="B938">
        <v>310</v>
      </c>
      <c r="C938">
        <v>0.99868515000000002</v>
      </c>
    </row>
    <row r="939" spans="1:3" x14ac:dyDescent="0.25">
      <c r="A939">
        <v>294</v>
      </c>
      <c r="B939">
        <v>310</v>
      </c>
      <c r="C939">
        <v>0.99266586000000001</v>
      </c>
    </row>
    <row r="940" spans="1:3" x14ac:dyDescent="0.25">
      <c r="A940">
        <v>295</v>
      </c>
      <c r="B940">
        <v>310</v>
      </c>
      <c r="C940">
        <v>1</v>
      </c>
    </row>
    <row r="941" spans="1:3" x14ac:dyDescent="0.25">
      <c r="A941">
        <v>296</v>
      </c>
      <c r="B941">
        <v>310</v>
      </c>
      <c r="C941">
        <v>0.98782653999999992</v>
      </c>
    </row>
    <row r="942" spans="1:3" x14ac:dyDescent="0.25">
      <c r="A942">
        <v>297</v>
      </c>
      <c r="B942">
        <v>310</v>
      </c>
      <c r="C942">
        <v>0.99770150000000002</v>
      </c>
    </row>
    <row r="943" spans="1:3" x14ac:dyDescent="0.25">
      <c r="A943">
        <v>294</v>
      </c>
      <c r="B943">
        <v>312</v>
      </c>
      <c r="C943">
        <v>4.80169E-3</v>
      </c>
    </row>
    <row r="944" spans="1:3" x14ac:dyDescent="0.25">
      <c r="A944">
        <v>296</v>
      </c>
      <c r="B944">
        <v>312</v>
      </c>
      <c r="C944">
        <v>1.1853389999999998E-2</v>
      </c>
    </row>
    <row r="945" spans="1:3" x14ac:dyDescent="0.25">
      <c r="A945">
        <v>298</v>
      </c>
      <c r="B945">
        <v>312</v>
      </c>
      <c r="C945">
        <v>0.97880661000000002</v>
      </c>
    </row>
    <row r="946" spans="1:3" x14ac:dyDescent="0.25">
      <c r="A946">
        <v>305</v>
      </c>
      <c r="B946">
        <v>312</v>
      </c>
      <c r="C946">
        <v>5.9520099999999998E-3</v>
      </c>
    </row>
    <row r="947" spans="1:3" x14ac:dyDescent="0.25">
      <c r="A947">
        <v>333</v>
      </c>
      <c r="B947">
        <v>312</v>
      </c>
      <c r="C947">
        <v>2.2651E-4</v>
      </c>
    </row>
    <row r="948" spans="1:3" x14ac:dyDescent="0.25">
      <c r="A948">
        <v>219</v>
      </c>
      <c r="B948">
        <v>313</v>
      </c>
      <c r="C948">
        <v>6.4257999999999991E-4</v>
      </c>
    </row>
    <row r="949" spans="1:3" x14ac:dyDescent="0.25">
      <c r="A949">
        <v>298</v>
      </c>
      <c r="B949">
        <v>313</v>
      </c>
      <c r="C949">
        <v>2.0171969999999997E-2</v>
      </c>
    </row>
    <row r="950" spans="1:3" x14ac:dyDescent="0.25">
      <c r="A950">
        <v>346</v>
      </c>
      <c r="B950">
        <v>313</v>
      </c>
      <c r="C950">
        <v>0.99502020000000002</v>
      </c>
    </row>
    <row r="951" spans="1:3" x14ac:dyDescent="0.25">
      <c r="A951">
        <v>347</v>
      </c>
      <c r="B951">
        <v>313</v>
      </c>
      <c r="C951">
        <v>0.99939379000000006</v>
      </c>
    </row>
    <row r="952" spans="1:3" x14ac:dyDescent="0.25">
      <c r="A952">
        <v>348</v>
      </c>
      <c r="B952">
        <v>313</v>
      </c>
      <c r="C952">
        <v>0.99495586999999996</v>
      </c>
    </row>
    <row r="953" spans="1:3" x14ac:dyDescent="0.25">
      <c r="A953">
        <v>349</v>
      </c>
      <c r="B953">
        <v>313</v>
      </c>
      <c r="C953">
        <v>0.98138056000000007</v>
      </c>
    </row>
    <row r="954" spans="1:3" x14ac:dyDescent="0.25">
      <c r="A954">
        <v>350</v>
      </c>
      <c r="B954">
        <v>313</v>
      </c>
      <c r="C954">
        <v>0.99199969999999993</v>
      </c>
    </row>
    <row r="955" spans="1:3" x14ac:dyDescent="0.25">
      <c r="A955">
        <v>290</v>
      </c>
      <c r="B955">
        <v>314</v>
      </c>
      <c r="C955">
        <v>1.2472099999999999E-3</v>
      </c>
    </row>
    <row r="956" spans="1:3" x14ac:dyDescent="0.25">
      <c r="A956">
        <v>291</v>
      </c>
      <c r="B956">
        <v>314</v>
      </c>
      <c r="C956">
        <v>1.6628000000000001E-3</v>
      </c>
    </row>
    <row r="957" spans="1:3" x14ac:dyDescent="0.25">
      <c r="A957">
        <v>292</v>
      </c>
      <c r="B957">
        <v>314</v>
      </c>
      <c r="C957">
        <v>0.99213026000000004</v>
      </c>
    </row>
    <row r="958" spans="1:3" x14ac:dyDescent="0.25">
      <c r="A958">
        <v>300</v>
      </c>
      <c r="B958">
        <v>314</v>
      </c>
      <c r="C958">
        <v>8.921053000000001E-2</v>
      </c>
    </row>
    <row r="959" spans="1:3" x14ac:dyDescent="0.25">
      <c r="A959">
        <v>290</v>
      </c>
      <c r="B959">
        <v>322</v>
      </c>
      <c r="C959">
        <v>1.9321E-4</v>
      </c>
    </row>
    <row r="960" spans="1:3" x14ac:dyDescent="0.25">
      <c r="A960">
        <v>299</v>
      </c>
      <c r="B960">
        <v>322</v>
      </c>
      <c r="C960">
        <v>8.2915100000000002E-3</v>
      </c>
    </row>
    <row r="961" spans="1:3" x14ac:dyDescent="0.25">
      <c r="A961">
        <v>300</v>
      </c>
      <c r="B961">
        <v>322</v>
      </c>
      <c r="C961">
        <v>0.69065341999999996</v>
      </c>
    </row>
    <row r="962" spans="1:3" x14ac:dyDescent="0.25">
      <c r="A962">
        <v>301</v>
      </c>
      <c r="B962">
        <v>322</v>
      </c>
      <c r="C962">
        <v>7.8917000000000006E-4</v>
      </c>
    </row>
    <row r="963" spans="1:3" x14ac:dyDescent="0.25">
      <c r="A963">
        <v>309</v>
      </c>
      <c r="B963">
        <v>322</v>
      </c>
      <c r="C963">
        <v>4.9899999999999997E-6</v>
      </c>
    </row>
    <row r="964" spans="1:3" x14ac:dyDescent="0.25">
      <c r="A964">
        <v>300</v>
      </c>
      <c r="B964">
        <v>323</v>
      </c>
      <c r="C964">
        <v>3.23508E-3</v>
      </c>
    </row>
    <row r="965" spans="1:3" x14ac:dyDescent="0.25">
      <c r="A965">
        <v>301</v>
      </c>
      <c r="B965">
        <v>323</v>
      </c>
      <c r="C965">
        <v>0.94827954000000003</v>
      </c>
    </row>
    <row r="966" spans="1:3" x14ac:dyDescent="0.25">
      <c r="A966">
        <v>292</v>
      </c>
      <c r="B966">
        <v>324</v>
      </c>
      <c r="C966">
        <v>1.1400000000000001E-6</v>
      </c>
    </row>
    <row r="967" spans="1:3" x14ac:dyDescent="0.25">
      <c r="A967">
        <v>293</v>
      </c>
      <c r="B967">
        <v>324</v>
      </c>
      <c r="C967">
        <v>5.5234000000000001E-4</v>
      </c>
    </row>
    <row r="968" spans="1:3" x14ac:dyDescent="0.25">
      <c r="A968">
        <v>296</v>
      </c>
      <c r="B968">
        <v>324</v>
      </c>
      <c r="C968">
        <v>3.2001000000000002E-4</v>
      </c>
    </row>
    <row r="969" spans="1:3" x14ac:dyDescent="0.25">
      <c r="A969">
        <v>297</v>
      </c>
      <c r="B969">
        <v>324</v>
      </c>
      <c r="C969">
        <v>2.29853E-3</v>
      </c>
    </row>
    <row r="970" spans="1:3" x14ac:dyDescent="0.25">
      <c r="A970">
        <v>300</v>
      </c>
      <c r="B970">
        <v>324</v>
      </c>
      <c r="C970">
        <v>1.01352E-3</v>
      </c>
    </row>
    <row r="971" spans="1:3" x14ac:dyDescent="0.25">
      <c r="A971">
        <v>301</v>
      </c>
      <c r="B971">
        <v>324</v>
      </c>
      <c r="C971">
        <v>4.2778280000000002E-2</v>
      </c>
    </row>
    <row r="972" spans="1:3" x14ac:dyDescent="0.25">
      <c r="A972">
        <v>302</v>
      </c>
      <c r="B972">
        <v>324</v>
      </c>
      <c r="C972">
        <v>0.99999978</v>
      </c>
    </row>
    <row r="973" spans="1:3" x14ac:dyDescent="0.25">
      <c r="A973">
        <v>303</v>
      </c>
      <c r="B973">
        <v>324</v>
      </c>
      <c r="C973">
        <v>1</v>
      </c>
    </row>
    <row r="974" spans="1:3" x14ac:dyDescent="0.25">
      <c r="A974">
        <v>304</v>
      </c>
      <c r="B974">
        <v>324</v>
      </c>
      <c r="C974">
        <v>1</v>
      </c>
    </row>
    <row r="975" spans="1:3" x14ac:dyDescent="0.25">
      <c r="A975">
        <v>305</v>
      </c>
      <c r="B975">
        <v>324</v>
      </c>
      <c r="C975">
        <v>0.98977367000000005</v>
      </c>
    </row>
    <row r="976" spans="1:3" x14ac:dyDescent="0.25">
      <c r="A976">
        <v>306</v>
      </c>
      <c r="B976">
        <v>324</v>
      </c>
      <c r="C976">
        <v>0.99981593000000002</v>
      </c>
    </row>
    <row r="977" spans="1:3" x14ac:dyDescent="0.25">
      <c r="A977">
        <v>307</v>
      </c>
      <c r="B977">
        <v>324</v>
      </c>
      <c r="C977">
        <v>0.99925307000000008</v>
      </c>
    </row>
    <row r="978" spans="1:3" x14ac:dyDescent="0.25">
      <c r="A978">
        <v>327</v>
      </c>
      <c r="B978">
        <v>324</v>
      </c>
      <c r="C978">
        <v>2.2673099999999998E-3</v>
      </c>
    </row>
    <row r="979" spans="1:3" x14ac:dyDescent="0.25">
      <c r="A979">
        <v>298</v>
      </c>
      <c r="B979">
        <v>330</v>
      </c>
      <c r="C979">
        <v>2.1549999999999999E-5</v>
      </c>
    </row>
    <row r="980" spans="1:3" x14ac:dyDescent="0.25">
      <c r="A980">
        <v>332</v>
      </c>
      <c r="B980">
        <v>330</v>
      </c>
      <c r="C980">
        <v>1.254507E-2</v>
      </c>
    </row>
    <row r="981" spans="1:3" x14ac:dyDescent="0.25">
      <c r="A981">
        <v>333</v>
      </c>
      <c r="B981">
        <v>330</v>
      </c>
      <c r="C981">
        <v>0.77176212000000011</v>
      </c>
    </row>
    <row r="982" spans="1:3" x14ac:dyDescent="0.25">
      <c r="A982">
        <v>334</v>
      </c>
      <c r="B982">
        <v>330</v>
      </c>
      <c r="C982">
        <v>0.99965040999999999</v>
      </c>
    </row>
    <row r="983" spans="1:3" x14ac:dyDescent="0.25">
      <c r="A983">
        <v>335</v>
      </c>
      <c r="B983">
        <v>330</v>
      </c>
      <c r="C983">
        <v>7.3438000000000008E-4</v>
      </c>
    </row>
    <row r="984" spans="1:3" x14ac:dyDescent="0.25">
      <c r="A984">
        <v>347</v>
      </c>
      <c r="B984">
        <v>330</v>
      </c>
      <c r="C984">
        <v>2.0874000000000001E-4</v>
      </c>
    </row>
    <row r="985" spans="1:3" x14ac:dyDescent="0.25">
      <c r="A985">
        <v>350</v>
      </c>
      <c r="B985">
        <v>330</v>
      </c>
      <c r="C985">
        <v>6.2368000000000005E-4</v>
      </c>
    </row>
    <row r="986" spans="1:3" x14ac:dyDescent="0.25">
      <c r="A986">
        <v>351</v>
      </c>
      <c r="B986">
        <v>330</v>
      </c>
      <c r="C986">
        <v>0.9941637900000001</v>
      </c>
    </row>
    <row r="987" spans="1:3" x14ac:dyDescent="0.25">
      <c r="A987">
        <v>354</v>
      </c>
      <c r="B987">
        <v>330</v>
      </c>
      <c r="C987">
        <v>0.98642697000000001</v>
      </c>
    </row>
    <row r="988" spans="1:3" x14ac:dyDescent="0.25">
      <c r="A988">
        <v>286</v>
      </c>
      <c r="B988">
        <v>332</v>
      </c>
      <c r="C988">
        <v>1.8900000000000001E-6</v>
      </c>
    </row>
    <row r="989" spans="1:3" x14ac:dyDescent="0.25">
      <c r="A989">
        <v>290</v>
      </c>
      <c r="B989">
        <v>332</v>
      </c>
      <c r="C989">
        <v>8.0110000000000001E-4</v>
      </c>
    </row>
    <row r="990" spans="1:3" x14ac:dyDescent="0.25">
      <c r="A990">
        <v>299</v>
      </c>
      <c r="B990">
        <v>332</v>
      </c>
      <c r="C990">
        <v>0.98847213999999994</v>
      </c>
    </row>
    <row r="991" spans="1:3" x14ac:dyDescent="0.25">
      <c r="A991">
        <v>300</v>
      </c>
      <c r="B991">
        <v>332</v>
      </c>
      <c r="C991">
        <v>3.9290000000000005E-5</v>
      </c>
    </row>
    <row r="992" spans="1:3" x14ac:dyDescent="0.25">
      <c r="A992">
        <v>308</v>
      </c>
      <c r="B992">
        <v>332</v>
      </c>
      <c r="C992">
        <v>1.3892199999999998E-3</v>
      </c>
    </row>
    <row r="993" spans="1:3" x14ac:dyDescent="0.25">
      <c r="A993">
        <v>309</v>
      </c>
      <c r="B993">
        <v>332</v>
      </c>
      <c r="C993">
        <v>4.7540000000000002E-5</v>
      </c>
    </row>
    <row r="994" spans="1:3" x14ac:dyDescent="0.25">
      <c r="A994">
        <v>286</v>
      </c>
      <c r="B994">
        <v>333</v>
      </c>
      <c r="C994">
        <v>1.7882E-4</v>
      </c>
    </row>
    <row r="995" spans="1:3" x14ac:dyDescent="0.25">
      <c r="A995">
        <v>289</v>
      </c>
      <c r="B995">
        <v>333</v>
      </c>
      <c r="C995">
        <v>1.1116099999999999E-3</v>
      </c>
    </row>
    <row r="996" spans="1:3" x14ac:dyDescent="0.25">
      <c r="A996">
        <v>299</v>
      </c>
      <c r="B996">
        <v>333</v>
      </c>
      <c r="C996">
        <v>3.2363199999999996E-3</v>
      </c>
    </row>
    <row r="997" spans="1:3" x14ac:dyDescent="0.25">
      <c r="A997">
        <v>308</v>
      </c>
      <c r="B997">
        <v>333</v>
      </c>
      <c r="C997">
        <v>0.99065341000000007</v>
      </c>
    </row>
    <row r="998" spans="1:3" x14ac:dyDescent="0.25">
      <c r="A998">
        <v>311</v>
      </c>
      <c r="B998">
        <v>333</v>
      </c>
      <c r="C998">
        <v>3.2138000000000002E-4</v>
      </c>
    </row>
    <row r="999" spans="1:3" x14ac:dyDescent="0.25">
      <c r="A999">
        <v>300</v>
      </c>
      <c r="B999">
        <v>334</v>
      </c>
      <c r="C999">
        <v>5.8451E-4</v>
      </c>
    </row>
    <row r="1000" spans="1:3" x14ac:dyDescent="0.25">
      <c r="A1000">
        <v>301</v>
      </c>
      <c r="B1000">
        <v>334</v>
      </c>
      <c r="C1000">
        <v>1.9934E-4</v>
      </c>
    </row>
    <row r="1001" spans="1:3" x14ac:dyDescent="0.25">
      <c r="A1001">
        <v>308</v>
      </c>
      <c r="B1001">
        <v>334</v>
      </c>
      <c r="C1001">
        <v>7.1011500000000005E-3</v>
      </c>
    </row>
    <row r="1002" spans="1:3" x14ac:dyDescent="0.25">
      <c r="A1002">
        <v>309</v>
      </c>
      <c r="B1002">
        <v>334</v>
      </c>
      <c r="C1002">
        <v>0.9919518100000001</v>
      </c>
    </row>
    <row r="1003" spans="1:3" x14ac:dyDescent="0.25">
      <c r="A1003">
        <v>311</v>
      </c>
      <c r="B1003">
        <v>334</v>
      </c>
      <c r="C1003">
        <v>6.1956999999999995E-4</v>
      </c>
    </row>
    <row r="1004" spans="1:3" x14ac:dyDescent="0.25">
      <c r="A1004">
        <v>301</v>
      </c>
      <c r="B1004">
        <v>335</v>
      </c>
      <c r="C1004">
        <v>4.1799100000000002E-3</v>
      </c>
    </row>
    <row r="1005" spans="1:3" x14ac:dyDescent="0.25">
      <c r="A1005">
        <v>309</v>
      </c>
      <c r="B1005">
        <v>335</v>
      </c>
      <c r="C1005">
        <v>7.7110900000000003E-3</v>
      </c>
    </row>
    <row r="1006" spans="1:3" x14ac:dyDescent="0.25">
      <c r="A1006">
        <v>311</v>
      </c>
      <c r="B1006">
        <v>335</v>
      </c>
      <c r="C1006">
        <v>5.0002400000000004E-3</v>
      </c>
    </row>
    <row r="1007" spans="1:3" x14ac:dyDescent="0.25">
      <c r="A1007">
        <v>312</v>
      </c>
      <c r="B1007">
        <v>335</v>
      </c>
      <c r="C1007">
        <v>1.10695E-3</v>
      </c>
    </row>
    <row r="1008" spans="1:3" x14ac:dyDescent="0.25">
      <c r="A1008">
        <v>317</v>
      </c>
      <c r="B1008">
        <v>335</v>
      </c>
      <c r="C1008">
        <v>1</v>
      </c>
    </row>
    <row r="1009" spans="1:3" x14ac:dyDescent="0.25">
      <c r="A1009">
        <v>318</v>
      </c>
      <c r="B1009">
        <v>335</v>
      </c>
      <c r="C1009">
        <v>0.96452421999999993</v>
      </c>
    </row>
    <row r="1010" spans="1:3" x14ac:dyDescent="0.25">
      <c r="A1010">
        <v>319</v>
      </c>
      <c r="B1010">
        <v>335</v>
      </c>
      <c r="C1010">
        <v>0.99876096000000003</v>
      </c>
    </row>
    <row r="1011" spans="1:3" x14ac:dyDescent="0.25">
      <c r="A1011">
        <v>320</v>
      </c>
      <c r="B1011">
        <v>335</v>
      </c>
      <c r="C1011">
        <v>0.95060946999999996</v>
      </c>
    </row>
    <row r="1012" spans="1:3" x14ac:dyDescent="0.25">
      <c r="A1012">
        <v>322</v>
      </c>
      <c r="B1012">
        <v>335</v>
      </c>
      <c r="C1012">
        <v>1.9490000000000001E-5</v>
      </c>
    </row>
    <row r="1013" spans="1:3" x14ac:dyDescent="0.25">
      <c r="A1013">
        <v>301</v>
      </c>
      <c r="B1013">
        <v>336</v>
      </c>
      <c r="C1013">
        <v>3.7738799999999999E-3</v>
      </c>
    </row>
    <row r="1014" spans="1:3" x14ac:dyDescent="0.25">
      <c r="A1014">
        <v>305</v>
      </c>
      <c r="B1014">
        <v>336</v>
      </c>
      <c r="C1014">
        <v>3.8106000000000001E-4</v>
      </c>
    </row>
    <row r="1015" spans="1:3" x14ac:dyDescent="0.25">
      <c r="A1015">
        <v>306</v>
      </c>
      <c r="B1015">
        <v>336</v>
      </c>
      <c r="C1015">
        <v>1.8393000000000001E-4</v>
      </c>
    </row>
    <row r="1016" spans="1:3" x14ac:dyDescent="0.25">
      <c r="A1016">
        <v>307</v>
      </c>
      <c r="B1016">
        <v>336</v>
      </c>
      <c r="C1016">
        <v>7.4700999999999999E-4</v>
      </c>
    </row>
    <row r="1017" spans="1:3" x14ac:dyDescent="0.25">
      <c r="A1017">
        <v>318</v>
      </c>
      <c r="B1017">
        <v>336</v>
      </c>
      <c r="C1017">
        <v>3.5463649999999999E-2</v>
      </c>
    </row>
    <row r="1018" spans="1:3" x14ac:dyDescent="0.25">
      <c r="A1018">
        <v>327</v>
      </c>
      <c r="B1018">
        <v>336</v>
      </c>
      <c r="C1018">
        <v>0.99773269999999992</v>
      </c>
    </row>
    <row r="1019" spans="1:3" x14ac:dyDescent="0.25">
      <c r="A1019">
        <v>328</v>
      </c>
      <c r="B1019">
        <v>336</v>
      </c>
      <c r="C1019">
        <v>0.99515277999999996</v>
      </c>
    </row>
    <row r="1020" spans="1:3" x14ac:dyDescent="0.25">
      <c r="A1020">
        <v>329</v>
      </c>
      <c r="B1020">
        <v>336</v>
      </c>
      <c r="C1020">
        <v>0.99650941999999998</v>
      </c>
    </row>
    <row r="1021" spans="1:3" x14ac:dyDescent="0.25">
      <c r="A1021">
        <v>330</v>
      </c>
      <c r="B1021">
        <v>336</v>
      </c>
      <c r="C1021">
        <v>0.98693118000000002</v>
      </c>
    </row>
    <row r="1022" spans="1:3" x14ac:dyDescent="0.25">
      <c r="A1022">
        <v>298</v>
      </c>
      <c r="B1022">
        <v>338</v>
      </c>
      <c r="C1022">
        <v>3.32E-6</v>
      </c>
    </row>
    <row r="1023" spans="1:3" x14ac:dyDescent="0.25">
      <c r="A1023">
        <v>305</v>
      </c>
      <c r="B1023">
        <v>338</v>
      </c>
      <c r="C1023">
        <v>3.8932400000000001E-3</v>
      </c>
    </row>
    <row r="1024" spans="1:3" x14ac:dyDescent="0.25">
      <c r="A1024">
        <v>328</v>
      </c>
      <c r="B1024">
        <v>338</v>
      </c>
      <c r="C1024">
        <v>4.84725E-3</v>
      </c>
    </row>
    <row r="1025" spans="1:3" x14ac:dyDescent="0.25">
      <c r="A1025">
        <v>330</v>
      </c>
      <c r="B1025">
        <v>338</v>
      </c>
      <c r="C1025">
        <v>1.2598359999999999E-2</v>
      </c>
    </row>
    <row r="1026" spans="1:3" x14ac:dyDescent="0.25">
      <c r="A1026">
        <v>331</v>
      </c>
      <c r="B1026">
        <v>338</v>
      </c>
      <c r="C1026">
        <v>0.99960819000000001</v>
      </c>
    </row>
    <row r="1027" spans="1:3" x14ac:dyDescent="0.25">
      <c r="A1027">
        <v>332</v>
      </c>
      <c r="B1027">
        <v>338</v>
      </c>
      <c r="C1027">
        <v>0.98539925999999989</v>
      </c>
    </row>
    <row r="1028" spans="1:3" x14ac:dyDescent="0.25">
      <c r="A1028">
        <v>333</v>
      </c>
      <c r="B1028">
        <v>338</v>
      </c>
      <c r="C1028">
        <v>0.22762022000000001</v>
      </c>
    </row>
    <row r="1029" spans="1:3" x14ac:dyDescent="0.25">
      <c r="A1029">
        <v>339</v>
      </c>
      <c r="B1029">
        <v>338</v>
      </c>
      <c r="C1029">
        <v>3.9107000000000004E-4</v>
      </c>
    </row>
    <row r="1030" spans="1:3" x14ac:dyDescent="0.25">
      <c r="A1030">
        <v>286</v>
      </c>
      <c r="B1030">
        <v>345</v>
      </c>
      <c r="C1030">
        <v>3.1144000000000001E-4</v>
      </c>
    </row>
    <row r="1031" spans="1:3" x14ac:dyDescent="0.25">
      <c r="A1031">
        <v>288</v>
      </c>
      <c r="B1031">
        <v>345</v>
      </c>
      <c r="C1031">
        <v>7.75437E-3</v>
      </c>
    </row>
    <row r="1032" spans="1:3" x14ac:dyDescent="0.25">
      <c r="A1032">
        <v>289</v>
      </c>
      <c r="B1032">
        <v>345</v>
      </c>
      <c r="C1032">
        <v>0.99225819999999998</v>
      </c>
    </row>
    <row r="1033" spans="1:3" x14ac:dyDescent="0.25">
      <c r="A1033">
        <v>289</v>
      </c>
      <c r="B1033">
        <v>346</v>
      </c>
      <c r="C1033">
        <v>2.1164500000000002E-3</v>
      </c>
    </row>
    <row r="1034" spans="1:3" x14ac:dyDescent="0.25">
      <c r="A1034">
        <v>308</v>
      </c>
      <c r="B1034">
        <v>346</v>
      </c>
      <c r="C1034">
        <v>2.9257999999999997E-4</v>
      </c>
    </row>
    <row r="1035" spans="1:3" x14ac:dyDescent="0.25">
      <c r="A1035">
        <v>310</v>
      </c>
      <c r="B1035">
        <v>346</v>
      </c>
      <c r="C1035">
        <v>0.62940976999999998</v>
      </c>
    </row>
    <row r="1036" spans="1:3" x14ac:dyDescent="0.25">
      <c r="A1036">
        <v>311</v>
      </c>
      <c r="B1036">
        <v>346</v>
      </c>
      <c r="C1036">
        <v>3.0720000000000004E-5</v>
      </c>
    </row>
    <row r="1037" spans="1:3" x14ac:dyDescent="0.25">
      <c r="A1037">
        <v>308</v>
      </c>
      <c r="B1037">
        <v>347</v>
      </c>
      <c r="C1037">
        <v>5.6360999999999998E-4</v>
      </c>
    </row>
    <row r="1038" spans="1:3" x14ac:dyDescent="0.25">
      <c r="A1038">
        <v>309</v>
      </c>
      <c r="B1038">
        <v>347</v>
      </c>
      <c r="C1038">
        <v>2.8456E-4</v>
      </c>
    </row>
    <row r="1039" spans="1:3" x14ac:dyDescent="0.25">
      <c r="A1039">
        <v>310</v>
      </c>
      <c r="B1039">
        <v>347</v>
      </c>
      <c r="C1039">
        <v>3.5455599999999997E-3</v>
      </c>
    </row>
    <row r="1040" spans="1:3" x14ac:dyDescent="0.25">
      <c r="A1040">
        <v>311</v>
      </c>
      <c r="B1040">
        <v>347</v>
      </c>
      <c r="C1040">
        <v>0.99368392999999999</v>
      </c>
    </row>
    <row r="1041" spans="1:3" x14ac:dyDescent="0.25">
      <c r="A1041">
        <v>312</v>
      </c>
      <c r="B1041">
        <v>347</v>
      </c>
      <c r="C1041">
        <v>8.4248000000000005E-4</v>
      </c>
    </row>
    <row r="1042" spans="1:3" x14ac:dyDescent="0.25">
      <c r="A1042">
        <v>318</v>
      </c>
      <c r="B1042">
        <v>350</v>
      </c>
      <c r="C1042">
        <v>1.203E-5</v>
      </c>
    </row>
    <row r="1043" spans="1:3" x14ac:dyDescent="0.25">
      <c r="A1043">
        <v>320</v>
      </c>
      <c r="B1043">
        <v>350</v>
      </c>
      <c r="C1043">
        <v>4.6173849999999995E-2</v>
      </c>
    </row>
    <row r="1044" spans="1:3" x14ac:dyDescent="0.25">
      <c r="A1044">
        <v>322</v>
      </c>
      <c r="B1044">
        <v>350</v>
      </c>
      <c r="C1044">
        <v>3.99986E-3</v>
      </c>
    </row>
    <row r="1045" spans="1:3" x14ac:dyDescent="0.25">
      <c r="A1045">
        <v>329</v>
      </c>
      <c r="B1045">
        <v>350</v>
      </c>
      <c r="C1045">
        <v>3.4906500000000001E-3</v>
      </c>
    </row>
    <row r="1046" spans="1:3" x14ac:dyDescent="0.25">
      <c r="A1046">
        <v>330</v>
      </c>
      <c r="B1046">
        <v>350</v>
      </c>
      <c r="C1046">
        <v>4.704E-4</v>
      </c>
    </row>
    <row r="1047" spans="1:3" x14ac:dyDescent="0.25">
      <c r="A1047">
        <v>331</v>
      </c>
      <c r="B1047">
        <v>350</v>
      </c>
      <c r="C1047">
        <v>3.9181000000000003E-4</v>
      </c>
    </row>
    <row r="1048" spans="1:3" x14ac:dyDescent="0.25">
      <c r="A1048">
        <v>332</v>
      </c>
      <c r="B1048">
        <v>350</v>
      </c>
      <c r="C1048">
        <v>2.387E-4</v>
      </c>
    </row>
    <row r="1049" spans="1:3" x14ac:dyDescent="0.25">
      <c r="A1049">
        <v>334</v>
      </c>
      <c r="B1049">
        <v>350</v>
      </c>
      <c r="C1049">
        <v>3.4964000000000002E-4</v>
      </c>
    </row>
    <row r="1050" spans="1:3" x14ac:dyDescent="0.25">
      <c r="A1050">
        <v>335</v>
      </c>
      <c r="B1050">
        <v>350</v>
      </c>
      <c r="C1050">
        <v>0.98980648000000004</v>
      </c>
    </row>
    <row r="1051" spans="1:3" x14ac:dyDescent="0.25">
      <c r="A1051">
        <v>337</v>
      </c>
      <c r="B1051">
        <v>350</v>
      </c>
      <c r="C1051">
        <v>0.99447202000000001</v>
      </c>
    </row>
    <row r="1052" spans="1:3" x14ac:dyDescent="0.25">
      <c r="A1052">
        <v>338</v>
      </c>
      <c r="B1052">
        <v>350</v>
      </c>
      <c r="C1052">
        <v>1</v>
      </c>
    </row>
    <row r="1053" spans="1:3" x14ac:dyDescent="0.25">
      <c r="A1053">
        <v>339</v>
      </c>
      <c r="B1053">
        <v>350</v>
      </c>
      <c r="C1053">
        <v>0.99960884999999999</v>
      </c>
    </row>
    <row r="1054" spans="1:3" x14ac:dyDescent="0.25">
      <c r="A1054">
        <v>340</v>
      </c>
      <c r="B1054">
        <v>350</v>
      </c>
      <c r="C1054">
        <v>0.98117467000000003</v>
      </c>
    </row>
    <row r="1055" spans="1:3" x14ac:dyDescent="0.25">
      <c r="A1055">
        <v>341</v>
      </c>
      <c r="B1055">
        <v>350</v>
      </c>
      <c r="C1055">
        <v>0.99678500000000003</v>
      </c>
    </row>
    <row r="1056" spans="1:3" x14ac:dyDescent="0.25">
      <c r="A1056">
        <v>342</v>
      </c>
      <c r="B1056">
        <v>350</v>
      </c>
      <c r="C1056">
        <v>2.6350000000000004E-5</v>
      </c>
    </row>
    <row r="1057" spans="1:3" x14ac:dyDescent="0.25">
      <c r="A1057">
        <v>335</v>
      </c>
      <c r="B1057">
        <v>354</v>
      </c>
      <c r="C1057">
        <v>9.4591199999999997E-3</v>
      </c>
    </row>
    <row r="1058" spans="1:3" x14ac:dyDescent="0.25">
      <c r="A1058">
        <v>336</v>
      </c>
      <c r="B1058">
        <v>354</v>
      </c>
      <c r="C1058">
        <v>0.99999996999999996</v>
      </c>
    </row>
    <row r="1059" spans="1:3" x14ac:dyDescent="0.25">
      <c r="A1059">
        <v>337</v>
      </c>
      <c r="B1059">
        <v>354</v>
      </c>
      <c r="C1059">
        <v>4.8592499999999999E-3</v>
      </c>
    </row>
    <row r="1060" spans="1:3" x14ac:dyDescent="0.25">
      <c r="A1060">
        <v>342</v>
      </c>
      <c r="B1060">
        <v>354</v>
      </c>
      <c r="C1060">
        <v>4.2125699999999997E-3</v>
      </c>
    </row>
    <row r="1061" spans="1:3" x14ac:dyDescent="0.25">
      <c r="A1061">
        <v>345</v>
      </c>
      <c r="B1061">
        <v>354</v>
      </c>
      <c r="C1061">
        <v>6.2392499999999991E-3</v>
      </c>
    </row>
    <row r="1062" spans="1:3" x14ac:dyDescent="0.25">
      <c r="A1062">
        <v>349</v>
      </c>
      <c r="B1062">
        <v>354</v>
      </c>
      <c r="C1062">
        <v>8.4598999999999994E-3</v>
      </c>
    </row>
    <row r="1063" spans="1:3" x14ac:dyDescent="0.25">
      <c r="A1063">
        <v>350</v>
      </c>
      <c r="B1063">
        <v>354</v>
      </c>
      <c r="C1063">
        <v>7.37668E-3</v>
      </c>
    </row>
    <row r="1064" spans="1:3" x14ac:dyDescent="0.25">
      <c r="A1064">
        <v>351</v>
      </c>
      <c r="B1064">
        <v>354</v>
      </c>
      <c r="C1064">
        <v>5.8362499999999994E-3</v>
      </c>
    </row>
    <row r="1065" spans="1:3" x14ac:dyDescent="0.25">
      <c r="A1065">
        <v>352</v>
      </c>
      <c r="B1065">
        <v>354</v>
      </c>
      <c r="C1065">
        <v>0.99957333000000004</v>
      </c>
    </row>
    <row r="1066" spans="1:3" x14ac:dyDescent="0.25">
      <c r="A1066">
        <v>353</v>
      </c>
      <c r="B1066">
        <v>354</v>
      </c>
      <c r="C1066">
        <v>0.98985489999999998</v>
      </c>
    </row>
    <row r="1067" spans="1:3" x14ac:dyDescent="0.25">
      <c r="A1067">
        <v>354</v>
      </c>
      <c r="B1067">
        <v>354</v>
      </c>
      <c r="C1067">
        <v>1.3573200000000001E-2</v>
      </c>
    </row>
    <row r="1068" spans="1:3" x14ac:dyDescent="0.25">
      <c r="A1068">
        <v>355</v>
      </c>
      <c r="B1068">
        <v>354</v>
      </c>
      <c r="C1068">
        <v>1</v>
      </c>
    </row>
    <row r="1069" spans="1:3" x14ac:dyDescent="0.25">
      <c r="A1069">
        <v>356</v>
      </c>
      <c r="B1069">
        <v>354</v>
      </c>
      <c r="C1069">
        <v>1</v>
      </c>
    </row>
    <row r="1070" spans="1:3" x14ac:dyDescent="0.25">
      <c r="A1070">
        <v>357</v>
      </c>
      <c r="B1070">
        <v>354</v>
      </c>
      <c r="C1070">
        <v>0.76690820000000004</v>
      </c>
    </row>
    <row r="1071" spans="1:3" x14ac:dyDescent="0.25">
      <c r="A1071">
        <v>358</v>
      </c>
      <c r="B1071">
        <v>354</v>
      </c>
      <c r="C1071">
        <v>0.78922872999999993</v>
      </c>
    </row>
    <row r="1072" spans="1:3" x14ac:dyDescent="0.25">
      <c r="A1072">
        <v>393</v>
      </c>
      <c r="B1072">
        <v>354</v>
      </c>
      <c r="C1072">
        <v>3.2918399999999999E-3</v>
      </c>
    </row>
    <row r="1073" spans="1:3" x14ac:dyDescent="0.25">
      <c r="A1073">
        <v>322</v>
      </c>
      <c r="B1073">
        <v>357</v>
      </c>
      <c r="C1073">
        <v>4.4663E-4</v>
      </c>
    </row>
    <row r="1074" spans="1:3" x14ac:dyDescent="0.25">
      <c r="A1074">
        <v>326</v>
      </c>
      <c r="B1074">
        <v>357</v>
      </c>
      <c r="C1074">
        <v>1.079015E-2</v>
      </c>
    </row>
    <row r="1075" spans="1:3" x14ac:dyDescent="0.25">
      <c r="A1075">
        <v>337</v>
      </c>
      <c r="B1075">
        <v>357</v>
      </c>
      <c r="C1075">
        <v>7.2856000000000006E-4</v>
      </c>
    </row>
    <row r="1076" spans="1:3" x14ac:dyDescent="0.25">
      <c r="A1076">
        <v>340</v>
      </c>
      <c r="B1076">
        <v>357</v>
      </c>
      <c r="C1076">
        <v>1.8875340000000001E-2</v>
      </c>
    </row>
    <row r="1077" spans="1:3" x14ac:dyDescent="0.25">
      <c r="A1077">
        <v>341</v>
      </c>
      <c r="B1077">
        <v>357</v>
      </c>
      <c r="C1077">
        <v>3.2328499999999998E-3</v>
      </c>
    </row>
    <row r="1078" spans="1:3" x14ac:dyDescent="0.25">
      <c r="A1078">
        <v>342</v>
      </c>
      <c r="B1078">
        <v>357</v>
      </c>
      <c r="C1078">
        <v>0.99576504999999993</v>
      </c>
    </row>
    <row r="1079" spans="1:3" x14ac:dyDescent="0.25">
      <c r="A1079">
        <v>343</v>
      </c>
      <c r="B1079">
        <v>357</v>
      </c>
      <c r="C1079">
        <v>0.99999976000000002</v>
      </c>
    </row>
    <row r="1080" spans="1:3" x14ac:dyDescent="0.25">
      <c r="A1080">
        <v>344</v>
      </c>
      <c r="B1080">
        <v>357</v>
      </c>
      <c r="C1080">
        <v>0.99398993000000002</v>
      </c>
    </row>
    <row r="1081" spans="1:3" x14ac:dyDescent="0.25">
      <c r="A1081">
        <v>345</v>
      </c>
      <c r="B1081">
        <v>357</v>
      </c>
      <c r="C1081">
        <v>0.96354331000000004</v>
      </c>
    </row>
    <row r="1082" spans="1:3" x14ac:dyDescent="0.25">
      <c r="A1082">
        <v>377</v>
      </c>
      <c r="B1082">
        <v>357</v>
      </c>
      <c r="C1082">
        <v>0.10321719</v>
      </c>
    </row>
    <row r="1083" spans="1:3" x14ac:dyDescent="0.25">
      <c r="A1083">
        <v>378</v>
      </c>
      <c r="B1083">
        <v>357</v>
      </c>
      <c r="C1083">
        <v>0.13859723000000002</v>
      </c>
    </row>
    <row r="1084" spans="1:3" x14ac:dyDescent="0.25">
      <c r="A1084">
        <v>319</v>
      </c>
      <c r="B1084">
        <v>358</v>
      </c>
      <c r="C1084">
        <v>1.0510300000000001E-3</v>
      </c>
    </row>
    <row r="1085" spans="1:3" x14ac:dyDescent="0.25">
      <c r="A1085">
        <v>320</v>
      </c>
      <c r="B1085">
        <v>358</v>
      </c>
      <c r="C1085">
        <v>3.2164799999999999E-3</v>
      </c>
    </row>
    <row r="1086" spans="1:3" x14ac:dyDescent="0.25">
      <c r="A1086">
        <v>321</v>
      </c>
      <c r="B1086">
        <v>358</v>
      </c>
      <c r="C1086">
        <v>4.9561600000000003E-3</v>
      </c>
    </row>
    <row r="1087" spans="1:3" x14ac:dyDescent="0.25">
      <c r="A1087">
        <v>322</v>
      </c>
      <c r="B1087">
        <v>358</v>
      </c>
      <c r="C1087">
        <v>0.99361596000000008</v>
      </c>
    </row>
    <row r="1088" spans="1:3" x14ac:dyDescent="0.25">
      <c r="A1088">
        <v>325</v>
      </c>
      <c r="B1088">
        <v>358</v>
      </c>
      <c r="C1088">
        <v>2.3029000000000002E-4</v>
      </c>
    </row>
    <row r="1089" spans="1:3" x14ac:dyDescent="0.25">
      <c r="A1089">
        <v>312</v>
      </c>
      <c r="B1089">
        <v>359</v>
      </c>
      <c r="C1089">
        <v>5.13073E-3</v>
      </c>
    </row>
    <row r="1090" spans="1:3" x14ac:dyDescent="0.25">
      <c r="A1090">
        <v>315</v>
      </c>
      <c r="B1090">
        <v>359</v>
      </c>
      <c r="C1090">
        <v>1.5694340000000001E-2</v>
      </c>
    </row>
    <row r="1091" spans="1:3" x14ac:dyDescent="0.25">
      <c r="A1091">
        <v>319</v>
      </c>
      <c r="B1091">
        <v>359</v>
      </c>
      <c r="C1091">
        <v>1.8802000000000001E-4</v>
      </c>
    </row>
    <row r="1092" spans="1:3" x14ac:dyDescent="0.25">
      <c r="A1092">
        <v>321</v>
      </c>
      <c r="B1092">
        <v>359</v>
      </c>
      <c r="C1092">
        <v>0.87396355999999997</v>
      </c>
    </row>
    <row r="1093" spans="1:3" x14ac:dyDescent="0.25">
      <c r="A1093">
        <v>324</v>
      </c>
      <c r="B1093">
        <v>359</v>
      </c>
      <c r="C1093">
        <v>1.2022700000000001E-3</v>
      </c>
    </row>
    <row r="1094" spans="1:3" x14ac:dyDescent="0.25">
      <c r="A1094">
        <v>310</v>
      </c>
      <c r="B1094">
        <v>360</v>
      </c>
      <c r="C1094">
        <v>3.69098E-3</v>
      </c>
    </row>
    <row r="1095" spans="1:3" x14ac:dyDescent="0.25">
      <c r="A1095">
        <v>311</v>
      </c>
      <c r="B1095">
        <v>360</v>
      </c>
      <c r="C1095">
        <v>3.4424000000000005E-4</v>
      </c>
    </row>
    <row r="1096" spans="1:3" x14ac:dyDescent="0.25">
      <c r="A1096">
        <v>312</v>
      </c>
      <c r="B1096">
        <v>360</v>
      </c>
      <c r="C1096">
        <v>0.99272473999999999</v>
      </c>
    </row>
    <row r="1097" spans="1:3" x14ac:dyDescent="0.25">
      <c r="A1097">
        <v>314</v>
      </c>
      <c r="B1097">
        <v>360</v>
      </c>
      <c r="C1097">
        <v>6.5300000000000002E-6</v>
      </c>
    </row>
    <row r="1098" spans="1:3" x14ac:dyDescent="0.25">
      <c r="A1098">
        <v>315</v>
      </c>
      <c r="B1098">
        <v>360</v>
      </c>
      <c r="C1098">
        <v>4.2182000000000001E-3</v>
      </c>
    </row>
    <row r="1099" spans="1:3" x14ac:dyDescent="0.25">
      <c r="A1099">
        <v>289</v>
      </c>
      <c r="B1099">
        <v>361</v>
      </c>
      <c r="C1099">
        <v>1.2058399999999999E-3</v>
      </c>
    </row>
    <row r="1100" spans="1:3" x14ac:dyDescent="0.25">
      <c r="A1100">
        <v>310</v>
      </c>
      <c r="B1100">
        <v>361</v>
      </c>
      <c r="C1100">
        <v>0.36316419000000005</v>
      </c>
    </row>
    <row r="1101" spans="1:3" x14ac:dyDescent="0.25">
      <c r="A1101">
        <v>289</v>
      </c>
      <c r="B1101">
        <v>362</v>
      </c>
      <c r="C1101">
        <v>1.7517099999999999E-3</v>
      </c>
    </row>
    <row r="1102" spans="1:3" x14ac:dyDescent="0.25">
      <c r="A1102">
        <v>313</v>
      </c>
      <c r="B1102">
        <v>362</v>
      </c>
      <c r="C1102">
        <v>0.99059324000000004</v>
      </c>
    </row>
    <row r="1103" spans="1:3" x14ac:dyDescent="0.25">
      <c r="A1103">
        <v>314</v>
      </c>
      <c r="B1103">
        <v>362</v>
      </c>
      <c r="C1103">
        <v>1.4851999999999999E-4</v>
      </c>
    </row>
    <row r="1104" spans="1:3" x14ac:dyDescent="0.25">
      <c r="A1104">
        <v>289</v>
      </c>
      <c r="B1104">
        <v>363</v>
      </c>
      <c r="C1104">
        <v>1.1224399999999999E-3</v>
      </c>
    </row>
    <row r="1105" spans="1:3" x14ac:dyDescent="0.25">
      <c r="A1105">
        <v>310</v>
      </c>
      <c r="B1105">
        <v>363</v>
      </c>
      <c r="C1105">
        <v>1.8951999999999999E-4</v>
      </c>
    </row>
    <row r="1106" spans="1:3" x14ac:dyDescent="0.25">
      <c r="A1106">
        <v>312</v>
      </c>
      <c r="B1106">
        <v>363</v>
      </c>
      <c r="C1106">
        <v>1.9510999999999999E-4</v>
      </c>
    </row>
    <row r="1107" spans="1:3" x14ac:dyDescent="0.25">
      <c r="A1107">
        <v>313</v>
      </c>
      <c r="B1107">
        <v>363</v>
      </c>
      <c r="C1107">
        <v>8.7279799999999998E-3</v>
      </c>
    </row>
    <row r="1108" spans="1:3" x14ac:dyDescent="0.25">
      <c r="A1108">
        <v>314</v>
      </c>
      <c r="B1108">
        <v>363</v>
      </c>
      <c r="C1108">
        <v>0.99666679999999996</v>
      </c>
    </row>
    <row r="1109" spans="1:3" x14ac:dyDescent="0.25">
      <c r="A1109">
        <v>315</v>
      </c>
      <c r="B1109">
        <v>363</v>
      </c>
      <c r="C1109">
        <v>0.96023093000000004</v>
      </c>
    </row>
    <row r="1110" spans="1:3" x14ac:dyDescent="0.25">
      <c r="A1110">
        <v>369</v>
      </c>
      <c r="B1110">
        <v>363</v>
      </c>
      <c r="C1110">
        <v>2.6200999999999997E-4</v>
      </c>
    </row>
    <row r="1111" spans="1:3" x14ac:dyDescent="0.25">
      <c r="A1111">
        <v>314</v>
      </c>
      <c r="B1111">
        <v>365</v>
      </c>
      <c r="C1111">
        <v>3.08699E-3</v>
      </c>
    </row>
    <row r="1112" spans="1:3" x14ac:dyDescent="0.25">
      <c r="A1112">
        <v>315</v>
      </c>
      <c r="B1112">
        <v>365</v>
      </c>
      <c r="C1112">
        <v>3.6452899999999998E-3</v>
      </c>
    </row>
    <row r="1113" spans="1:3" x14ac:dyDescent="0.25">
      <c r="A1113">
        <v>316</v>
      </c>
      <c r="B1113">
        <v>365</v>
      </c>
      <c r="C1113">
        <v>0.98779015000000003</v>
      </c>
    </row>
    <row r="1114" spans="1:3" x14ac:dyDescent="0.25">
      <c r="A1114">
        <v>369</v>
      </c>
      <c r="B1114">
        <v>365</v>
      </c>
      <c r="C1114">
        <v>3.1279999999999999E-5</v>
      </c>
    </row>
    <row r="1115" spans="1:3" x14ac:dyDescent="0.25">
      <c r="A1115">
        <v>370</v>
      </c>
      <c r="B1115">
        <v>365</v>
      </c>
      <c r="C1115">
        <v>8.1290000000000003E-5</v>
      </c>
    </row>
    <row r="1116" spans="1:3" x14ac:dyDescent="0.25">
      <c r="A1116">
        <v>315</v>
      </c>
      <c r="B1116">
        <v>366</v>
      </c>
      <c r="C1116">
        <v>1.6210929999999998E-2</v>
      </c>
    </row>
    <row r="1117" spans="1:3" x14ac:dyDescent="0.25">
      <c r="A1117">
        <v>316</v>
      </c>
      <c r="B1117">
        <v>366</v>
      </c>
      <c r="C1117">
        <v>1.1796569999999999E-2</v>
      </c>
    </row>
    <row r="1118" spans="1:3" x14ac:dyDescent="0.25">
      <c r="A1118">
        <v>321</v>
      </c>
      <c r="B1118">
        <v>366</v>
      </c>
      <c r="C1118">
        <v>2.2116E-4</v>
      </c>
    </row>
    <row r="1119" spans="1:3" x14ac:dyDescent="0.25">
      <c r="A1119">
        <v>323</v>
      </c>
      <c r="B1119">
        <v>366</v>
      </c>
      <c r="C1119">
        <v>1</v>
      </c>
    </row>
    <row r="1120" spans="1:3" x14ac:dyDescent="0.25">
      <c r="A1120">
        <v>324</v>
      </c>
      <c r="B1120">
        <v>366</v>
      </c>
      <c r="C1120">
        <v>0.72985814000000004</v>
      </c>
    </row>
    <row r="1121" spans="1:3" x14ac:dyDescent="0.25">
      <c r="A1121">
        <v>370</v>
      </c>
      <c r="B1121">
        <v>366</v>
      </c>
      <c r="C1121">
        <v>1.0999999999999999E-7</v>
      </c>
    </row>
    <row r="1122" spans="1:3" x14ac:dyDescent="0.25">
      <c r="A1122">
        <v>371</v>
      </c>
      <c r="B1122">
        <v>366</v>
      </c>
      <c r="C1122">
        <v>0.23113923</v>
      </c>
    </row>
    <row r="1123" spans="1:3" x14ac:dyDescent="0.25">
      <c r="A1123">
        <v>321</v>
      </c>
      <c r="B1123">
        <v>368</v>
      </c>
      <c r="C1123">
        <v>0.12085915</v>
      </c>
    </row>
    <row r="1124" spans="1:3" x14ac:dyDescent="0.25">
      <c r="A1124">
        <v>322</v>
      </c>
      <c r="B1124">
        <v>368</v>
      </c>
      <c r="C1124">
        <v>1.90733E-3</v>
      </c>
    </row>
    <row r="1125" spans="1:3" x14ac:dyDescent="0.25">
      <c r="A1125">
        <v>324</v>
      </c>
      <c r="B1125">
        <v>368</v>
      </c>
      <c r="C1125">
        <v>0.26893961999999999</v>
      </c>
    </row>
    <row r="1126" spans="1:3" x14ac:dyDescent="0.25">
      <c r="A1126">
        <v>325</v>
      </c>
      <c r="B1126">
        <v>368</v>
      </c>
      <c r="C1126">
        <v>0.99976967000000005</v>
      </c>
    </row>
    <row r="1127" spans="1:3" x14ac:dyDescent="0.25">
      <c r="A1127">
        <v>326</v>
      </c>
      <c r="B1127">
        <v>368</v>
      </c>
      <c r="C1127">
        <v>0.98690044999999993</v>
      </c>
    </row>
    <row r="1128" spans="1:3" x14ac:dyDescent="0.25">
      <c r="A1128">
        <v>344</v>
      </c>
      <c r="B1128">
        <v>368</v>
      </c>
      <c r="C1128">
        <v>6.0179099999999996E-3</v>
      </c>
    </row>
    <row r="1129" spans="1:3" x14ac:dyDescent="0.25">
      <c r="A1129">
        <v>371</v>
      </c>
      <c r="B1129">
        <v>368</v>
      </c>
      <c r="C1129">
        <v>1.5624299999999999E-3</v>
      </c>
    </row>
    <row r="1130" spans="1:3" x14ac:dyDescent="0.25">
      <c r="A1130">
        <v>372</v>
      </c>
      <c r="B1130">
        <v>368</v>
      </c>
      <c r="C1130">
        <v>0.17301040000000001</v>
      </c>
    </row>
    <row r="1131" spans="1:3" x14ac:dyDescent="0.25">
      <c r="A1131">
        <v>373</v>
      </c>
      <c r="B1131">
        <v>368</v>
      </c>
      <c r="C1131">
        <v>8.9183860000000004E-2</v>
      </c>
    </row>
    <row r="1132" spans="1:3" x14ac:dyDescent="0.25">
      <c r="A1132">
        <v>374</v>
      </c>
      <c r="B1132">
        <v>368</v>
      </c>
      <c r="C1132">
        <v>0.18180354000000001</v>
      </c>
    </row>
    <row r="1133" spans="1:3" x14ac:dyDescent="0.25">
      <c r="A1133">
        <v>377</v>
      </c>
      <c r="B1133">
        <v>368</v>
      </c>
      <c r="C1133">
        <v>1.26064E-2</v>
      </c>
    </row>
    <row r="1134" spans="1:3" x14ac:dyDescent="0.25">
      <c r="A1134">
        <v>345</v>
      </c>
      <c r="B1134">
        <v>373</v>
      </c>
      <c r="C1134">
        <v>3.0210330000000001E-2</v>
      </c>
    </row>
    <row r="1135" spans="1:3" x14ac:dyDescent="0.25">
      <c r="A1135">
        <v>357</v>
      </c>
      <c r="B1135">
        <v>373</v>
      </c>
      <c r="C1135">
        <v>0.23309184999999999</v>
      </c>
    </row>
    <row r="1136" spans="1:3" x14ac:dyDescent="0.25">
      <c r="A1136">
        <v>358</v>
      </c>
      <c r="B1136">
        <v>373</v>
      </c>
      <c r="C1136">
        <v>0.20346730000000002</v>
      </c>
    </row>
    <row r="1137" spans="1:3" x14ac:dyDescent="0.25">
      <c r="A1137">
        <v>378</v>
      </c>
      <c r="B1137">
        <v>373</v>
      </c>
      <c r="C1137">
        <v>1.6E-7</v>
      </c>
    </row>
    <row r="1138" spans="1:3" x14ac:dyDescent="0.25">
      <c r="A1138">
        <v>380</v>
      </c>
      <c r="B1138">
        <v>373</v>
      </c>
      <c r="C1138">
        <v>5.3167399999999995E-3</v>
      </c>
    </row>
    <row r="1139" spans="1:3" x14ac:dyDescent="0.25">
      <c r="A1139">
        <v>381</v>
      </c>
      <c r="B1139">
        <v>373</v>
      </c>
      <c r="C1139">
        <v>0.98584587000000001</v>
      </c>
    </row>
    <row r="1140" spans="1:3" x14ac:dyDescent="0.25">
      <c r="A1140">
        <v>382</v>
      </c>
      <c r="B1140">
        <v>373</v>
      </c>
      <c r="C1140">
        <v>0.99118167999999995</v>
      </c>
    </row>
    <row r="1141" spans="1:3" x14ac:dyDescent="0.25">
      <c r="A1141">
        <v>397</v>
      </c>
      <c r="B1141">
        <v>373</v>
      </c>
      <c r="C1141">
        <v>1.83778E-3</v>
      </c>
    </row>
    <row r="1142" spans="1:3" x14ac:dyDescent="0.25">
      <c r="A1142">
        <v>345</v>
      </c>
      <c r="B1142">
        <v>374</v>
      </c>
      <c r="C1142">
        <v>7.1500000000000002E-6</v>
      </c>
    </row>
    <row r="1143" spans="1:3" x14ac:dyDescent="0.25">
      <c r="A1143">
        <v>373</v>
      </c>
      <c r="B1143">
        <v>374</v>
      </c>
      <c r="C1143">
        <v>8.3233999999999999E-4</v>
      </c>
    </row>
    <row r="1144" spans="1:3" x14ac:dyDescent="0.25">
      <c r="A1144">
        <v>374</v>
      </c>
      <c r="B1144">
        <v>374</v>
      </c>
      <c r="C1144">
        <v>4.7595330000000005E-2</v>
      </c>
    </row>
    <row r="1145" spans="1:3" x14ac:dyDescent="0.25">
      <c r="A1145">
        <v>376</v>
      </c>
      <c r="B1145">
        <v>374</v>
      </c>
      <c r="C1145">
        <v>2.8608069999999999E-2</v>
      </c>
    </row>
    <row r="1146" spans="1:3" x14ac:dyDescent="0.25">
      <c r="A1146">
        <v>377</v>
      </c>
      <c r="B1146">
        <v>374</v>
      </c>
      <c r="C1146">
        <v>0.88417646999999999</v>
      </c>
    </row>
    <row r="1147" spans="1:3" x14ac:dyDescent="0.25">
      <c r="A1147">
        <v>378</v>
      </c>
      <c r="B1147">
        <v>374</v>
      </c>
      <c r="C1147">
        <v>0.86140251000000001</v>
      </c>
    </row>
    <row r="1148" spans="1:3" x14ac:dyDescent="0.25">
      <c r="A1148">
        <v>379</v>
      </c>
      <c r="B1148">
        <v>374</v>
      </c>
      <c r="C1148">
        <v>0.99979589000000002</v>
      </c>
    </row>
    <row r="1149" spans="1:3" x14ac:dyDescent="0.25">
      <c r="A1149">
        <v>380</v>
      </c>
      <c r="B1149">
        <v>374</v>
      </c>
      <c r="C1149">
        <v>0.99006150000000004</v>
      </c>
    </row>
    <row r="1150" spans="1:3" x14ac:dyDescent="0.25">
      <c r="A1150">
        <v>381</v>
      </c>
      <c r="B1150">
        <v>374</v>
      </c>
      <c r="C1150">
        <v>1.372055E-2</v>
      </c>
    </row>
    <row r="1151" spans="1:3" x14ac:dyDescent="0.25">
      <c r="A1151">
        <v>372</v>
      </c>
      <c r="B1151">
        <v>376</v>
      </c>
      <c r="C1151">
        <v>2.1147399999999999E-3</v>
      </c>
    </row>
    <row r="1152" spans="1:3" x14ac:dyDescent="0.25">
      <c r="A1152">
        <v>373</v>
      </c>
      <c r="B1152">
        <v>376</v>
      </c>
      <c r="C1152">
        <v>0.90994145000000004</v>
      </c>
    </row>
    <row r="1153" spans="1:3" x14ac:dyDescent="0.25">
      <c r="A1153">
        <v>374</v>
      </c>
      <c r="B1153">
        <v>376</v>
      </c>
      <c r="C1153">
        <v>0.77060080999999991</v>
      </c>
    </row>
    <row r="1154" spans="1:3" x14ac:dyDescent="0.25">
      <c r="A1154">
        <v>371</v>
      </c>
      <c r="B1154">
        <v>378</v>
      </c>
      <c r="C1154">
        <v>3.8552700000000001E-3</v>
      </c>
    </row>
    <row r="1155" spans="1:3" x14ac:dyDescent="0.25">
      <c r="A1155">
        <v>372</v>
      </c>
      <c r="B1155">
        <v>378</v>
      </c>
      <c r="C1155">
        <v>0.62669397999999998</v>
      </c>
    </row>
    <row r="1156" spans="1:3" x14ac:dyDescent="0.25">
      <c r="A1156">
        <v>385</v>
      </c>
      <c r="B1156">
        <v>378</v>
      </c>
      <c r="C1156">
        <v>1.6105999999999998E-4</v>
      </c>
    </row>
    <row r="1157" spans="1:3" x14ac:dyDescent="0.25">
      <c r="A1157">
        <v>316</v>
      </c>
      <c r="B1157">
        <v>379</v>
      </c>
      <c r="C1157">
        <v>3.3300000000000003E-6</v>
      </c>
    </row>
    <row r="1158" spans="1:3" x14ac:dyDescent="0.25">
      <c r="A1158">
        <v>370</v>
      </c>
      <c r="B1158">
        <v>379</v>
      </c>
      <c r="C1158">
        <v>3.1885000000000004E-3</v>
      </c>
    </row>
    <row r="1159" spans="1:3" x14ac:dyDescent="0.25">
      <c r="A1159">
        <v>371</v>
      </c>
      <c r="B1159">
        <v>379</v>
      </c>
      <c r="C1159">
        <v>0.76307857999999995</v>
      </c>
    </row>
    <row r="1160" spans="1:3" x14ac:dyDescent="0.25">
      <c r="A1160">
        <v>316</v>
      </c>
      <c r="B1160">
        <v>380</v>
      </c>
      <c r="C1160">
        <v>4.0993000000000003E-4</v>
      </c>
    </row>
    <row r="1161" spans="1:3" x14ac:dyDescent="0.25">
      <c r="A1161">
        <v>368</v>
      </c>
      <c r="B1161">
        <v>380</v>
      </c>
      <c r="C1161">
        <v>4.1276000000000004E-3</v>
      </c>
    </row>
    <row r="1162" spans="1:3" x14ac:dyDescent="0.25">
      <c r="A1162">
        <v>369</v>
      </c>
      <c r="B1162">
        <v>380</v>
      </c>
      <c r="C1162">
        <v>1.86617E-2</v>
      </c>
    </row>
    <row r="1163" spans="1:3" x14ac:dyDescent="0.25">
      <c r="A1163">
        <v>370</v>
      </c>
      <c r="B1163">
        <v>380</v>
      </c>
      <c r="C1163">
        <v>0.99510043999999997</v>
      </c>
    </row>
    <row r="1164" spans="1:3" x14ac:dyDescent="0.25">
      <c r="A1164">
        <v>314</v>
      </c>
      <c r="B1164">
        <v>381</v>
      </c>
      <c r="C1164">
        <v>7.6030000000000002E-5</v>
      </c>
    </row>
    <row r="1165" spans="1:3" x14ac:dyDescent="0.25">
      <c r="A1165">
        <v>368</v>
      </c>
      <c r="B1165">
        <v>381</v>
      </c>
      <c r="C1165">
        <v>2.4971400000000001E-3</v>
      </c>
    </row>
    <row r="1166" spans="1:3" x14ac:dyDescent="0.25">
      <c r="A1166">
        <v>369</v>
      </c>
      <c r="B1166">
        <v>381</v>
      </c>
      <c r="C1166">
        <v>0.98078529000000003</v>
      </c>
    </row>
    <row r="1167" spans="1:3" x14ac:dyDescent="0.25">
      <c r="A1167">
        <v>370</v>
      </c>
      <c r="B1167">
        <v>382</v>
      </c>
      <c r="C1167">
        <v>1.20253E-3</v>
      </c>
    </row>
    <row r="1168" spans="1:3" x14ac:dyDescent="0.25">
      <c r="A1168">
        <v>371</v>
      </c>
      <c r="B1168">
        <v>382</v>
      </c>
      <c r="C1168">
        <v>3.6445E-4</v>
      </c>
    </row>
    <row r="1169" spans="1:3" x14ac:dyDescent="0.25">
      <c r="A1169">
        <v>372</v>
      </c>
      <c r="B1169">
        <v>382</v>
      </c>
      <c r="C1169">
        <v>1.7925700000000001E-3</v>
      </c>
    </row>
    <row r="1170" spans="1:3" x14ac:dyDescent="0.25">
      <c r="A1170">
        <v>383</v>
      </c>
      <c r="B1170">
        <v>382</v>
      </c>
      <c r="C1170">
        <v>3.1432600000000002E-3</v>
      </c>
    </row>
    <row r="1171" spans="1:3" x14ac:dyDescent="0.25">
      <c r="A1171">
        <v>384</v>
      </c>
      <c r="B1171">
        <v>382</v>
      </c>
      <c r="C1171">
        <v>1.19955E-3</v>
      </c>
    </row>
    <row r="1172" spans="1:3" x14ac:dyDescent="0.25">
      <c r="A1172">
        <v>385</v>
      </c>
      <c r="B1172">
        <v>382</v>
      </c>
      <c r="C1172">
        <v>0.21764057999999997</v>
      </c>
    </row>
    <row r="1173" spans="1:3" x14ac:dyDescent="0.25">
      <c r="A1173">
        <v>372</v>
      </c>
      <c r="B1173">
        <v>383</v>
      </c>
      <c r="C1173">
        <v>0.19436661</v>
      </c>
    </row>
    <row r="1174" spans="1:3" x14ac:dyDescent="0.25">
      <c r="A1174">
        <v>385</v>
      </c>
      <c r="B1174">
        <v>383</v>
      </c>
      <c r="C1174">
        <v>0.15356971</v>
      </c>
    </row>
    <row r="1175" spans="1:3" x14ac:dyDescent="0.25">
      <c r="A1175">
        <v>372</v>
      </c>
      <c r="B1175">
        <v>384</v>
      </c>
      <c r="C1175">
        <v>2.0216700000000002E-3</v>
      </c>
    </row>
    <row r="1176" spans="1:3" x14ac:dyDescent="0.25">
      <c r="A1176">
        <v>373</v>
      </c>
      <c r="B1176">
        <v>384</v>
      </c>
      <c r="C1176">
        <v>5.4129999999999998E-4</v>
      </c>
    </row>
    <row r="1177" spans="1:3" x14ac:dyDescent="0.25">
      <c r="A1177">
        <v>375</v>
      </c>
      <c r="B1177">
        <v>384</v>
      </c>
      <c r="C1177">
        <v>0.99865317000000009</v>
      </c>
    </row>
    <row r="1178" spans="1:3" x14ac:dyDescent="0.25">
      <c r="A1178">
        <v>376</v>
      </c>
      <c r="B1178">
        <v>384</v>
      </c>
      <c r="C1178">
        <v>0.97081738000000006</v>
      </c>
    </row>
    <row r="1179" spans="1:3" x14ac:dyDescent="0.25">
      <c r="A1179">
        <v>385</v>
      </c>
      <c r="B1179">
        <v>384</v>
      </c>
      <c r="C1179">
        <v>3.2439999999999997E-4</v>
      </c>
    </row>
    <row r="1180" spans="1:3" x14ac:dyDescent="0.25">
      <c r="A1180">
        <v>380</v>
      </c>
      <c r="B1180">
        <v>388</v>
      </c>
      <c r="C1180">
        <v>3.9071000000000002E-3</v>
      </c>
    </row>
    <row r="1181" spans="1:3" x14ac:dyDescent="0.25">
      <c r="A1181">
        <v>381</v>
      </c>
      <c r="B1181">
        <v>388</v>
      </c>
      <c r="C1181">
        <v>4.3356999999999998E-4</v>
      </c>
    </row>
    <row r="1182" spans="1:3" x14ac:dyDescent="0.25">
      <c r="A1182">
        <v>387</v>
      </c>
      <c r="B1182">
        <v>388</v>
      </c>
      <c r="C1182">
        <v>3.0954799999999998E-3</v>
      </c>
    </row>
    <row r="1183" spans="1:3" x14ac:dyDescent="0.25">
      <c r="A1183">
        <v>397</v>
      </c>
      <c r="B1183">
        <v>388</v>
      </c>
      <c r="C1183">
        <v>0.99378522999999996</v>
      </c>
    </row>
    <row r="1184" spans="1:3" x14ac:dyDescent="0.25">
      <c r="A1184">
        <v>376</v>
      </c>
      <c r="B1184">
        <v>389</v>
      </c>
      <c r="C1184">
        <v>1.1360000000000001E-5</v>
      </c>
    </row>
    <row r="1185" spans="1:3" x14ac:dyDescent="0.25">
      <c r="A1185">
        <v>379</v>
      </c>
      <c r="B1185">
        <v>389</v>
      </c>
      <c r="C1185">
        <v>2.0403000000000001E-4</v>
      </c>
    </row>
    <row r="1186" spans="1:3" x14ac:dyDescent="0.25">
      <c r="A1186">
        <v>380</v>
      </c>
      <c r="B1186">
        <v>389</v>
      </c>
      <c r="C1186">
        <v>7.1475E-4</v>
      </c>
    </row>
    <row r="1187" spans="1:3" x14ac:dyDescent="0.25">
      <c r="A1187">
        <v>386</v>
      </c>
      <c r="B1187">
        <v>389</v>
      </c>
      <c r="C1187">
        <v>4.5409200000000004E-3</v>
      </c>
    </row>
    <row r="1188" spans="1:3" x14ac:dyDescent="0.25">
      <c r="A1188">
        <v>387</v>
      </c>
      <c r="B1188">
        <v>389</v>
      </c>
      <c r="C1188">
        <v>0.98887172000000012</v>
      </c>
    </row>
    <row r="1189" spans="1:3" x14ac:dyDescent="0.25">
      <c r="A1189">
        <v>389</v>
      </c>
      <c r="B1189">
        <v>389</v>
      </c>
      <c r="C1189">
        <v>1.6006100000000001E-3</v>
      </c>
    </row>
    <row r="1190" spans="1:3" x14ac:dyDescent="0.25">
      <c r="A1190">
        <v>397</v>
      </c>
      <c r="B1190">
        <v>389</v>
      </c>
      <c r="C1190">
        <v>5.1157000000000004E-4</v>
      </c>
    </row>
    <row r="1191" spans="1:3" x14ac:dyDescent="0.25">
      <c r="A1191">
        <v>375</v>
      </c>
      <c r="B1191">
        <v>390</v>
      </c>
      <c r="C1191">
        <v>1.34673E-3</v>
      </c>
    </row>
    <row r="1192" spans="1:3" x14ac:dyDescent="0.25">
      <c r="A1192">
        <v>376</v>
      </c>
      <c r="B1192">
        <v>390</v>
      </c>
      <c r="C1192">
        <v>5.6340000000000003E-4</v>
      </c>
    </row>
    <row r="1193" spans="1:3" x14ac:dyDescent="0.25">
      <c r="A1193">
        <v>385</v>
      </c>
      <c r="B1193">
        <v>390</v>
      </c>
      <c r="C1193">
        <v>1.3308900000000002E-3</v>
      </c>
    </row>
    <row r="1194" spans="1:3" x14ac:dyDescent="0.25">
      <c r="A1194">
        <v>386</v>
      </c>
      <c r="B1194">
        <v>390</v>
      </c>
      <c r="C1194">
        <v>0.99525774</v>
      </c>
    </row>
    <row r="1195" spans="1:3" x14ac:dyDescent="0.25">
      <c r="A1195">
        <v>389</v>
      </c>
      <c r="B1195">
        <v>390</v>
      </c>
      <c r="C1195">
        <v>1.8006000000000001E-4</v>
      </c>
    </row>
    <row r="1196" spans="1:3" x14ac:dyDescent="0.25">
      <c r="A1196">
        <v>352</v>
      </c>
      <c r="B1196">
        <v>395</v>
      </c>
      <c r="C1196">
        <v>1.3877E-4</v>
      </c>
    </row>
    <row r="1197" spans="1:3" x14ac:dyDescent="0.25">
      <c r="A1197">
        <v>353</v>
      </c>
      <c r="B1197">
        <v>395</v>
      </c>
      <c r="C1197">
        <v>8.4115300000000004E-3</v>
      </c>
    </row>
    <row r="1198" spans="1:3" x14ac:dyDescent="0.25">
      <c r="A1198">
        <v>358</v>
      </c>
      <c r="B1198">
        <v>395</v>
      </c>
      <c r="C1198">
        <v>5.3900199999999997E-3</v>
      </c>
    </row>
    <row r="1199" spans="1:3" x14ac:dyDescent="0.25">
      <c r="A1199">
        <v>359</v>
      </c>
      <c r="B1199">
        <v>395</v>
      </c>
      <c r="C1199">
        <v>1</v>
      </c>
    </row>
    <row r="1200" spans="1:3" x14ac:dyDescent="0.25">
      <c r="A1200">
        <v>360</v>
      </c>
      <c r="B1200">
        <v>395</v>
      </c>
      <c r="C1200">
        <v>4.9205200000000003E-3</v>
      </c>
    </row>
    <row r="1201" spans="1:3" x14ac:dyDescent="0.25">
      <c r="A1201">
        <v>361</v>
      </c>
      <c r="B1201">
        <v>395</v>
      </c>
      <c r="C1201">
        <v>0.99680126000000002</v>
      </c>
    </row>
    <row r="1202" spans="1:3" x14ac:dyDescent="0.25">
      <c r="A1202">
        <v>362</v>
      </c>
      <c r="B1202">
        <v>395</v>
      </c>
      <c r="C1202">
        <v>0.66423520999999996</v>
      </c>
    </row>
    <row r="1203" spans="1:3" x14ac:dyDescent="0.25">
      <c r="A1203">
        <v>363</v>
      </c>
      <c r="B1203">
        <v>395</v>
      </c>
      <c r="C1203">
        <v>0.31321847000000003</v>
      </c>
    </row>
    <row r="1204" spans="1:3" x14ac:dyDescent="0.25">
      <c r="A1204">
        <v>364</v>
      </c>
      <c r="B1204">
        <v>395</v>
      </c>
      <c r="C1204">
        <v>0.99410533999999995</v>
      </c>
    </row>
    <row r="1205" spans="1:3" x14ac:dyDescent="0.25">
      <c r="A1205">
        <v>365</v>
      </c>
      <c r="B1205">
        <v>395</v>
      </c>
      <c r="C1205">
        <v>4.0999999999999997E-6</v>
      </c>
    </row>
    <row r="1206" spans="1:3" x14ac:dyDescent="0.25">
      <c r="A1206">
        <v>366</v>
      </c>
      <c r="B1206">
        <v>395</v>
      </c>
      <c r="C1206">
        <v>5.2337269999999998E-2</v>
      </c>
    </row>
    <row r="1207" spans="1:3" x14ac:dyDescent="0.25">
      <c r="A1207">
        <v>367</v>
      </c>
      <c r="B1207">
        <v>395</v>
      </c>
      <c r="C1207">
        <v>4.8999999999999997E-6</v>
      </c>
    </row>
    <row r="1208" spans="1:3" x14ac:dyDescent="0.25">
      <c r="A1208">
        <v>393</v>
      </c>
      <c r="B1208">
        <v>395</v>
      </c>
      <c r="C1208">
        <v>0.99340395000000004</v>
      </c>
    </row>
    <row r="1209" spans="1:3" x14ac:dyDescent="0.25">
      <c r="A1209">
        <v>400</v>
      </c>
      <c r="B1209">
        <v>395</v>
      </c>
      <c r="C1209">
        <v>0.99999999000000006</v>
      </c>
    </row>
    <row r="1210" spans="1:3" x14ac:dyDescent="0.25">
      <c r="A1210">
        <v>408</v>
      </c>
      <c r="B1210">
        <v>395</v>
      </c>
      <c r="C1210">
        <v>2.6965600000000002E-3</v>
      </c>
    </row>
    <row r="1211" spans="1:3" x14ac:dyDescent="0.25">
      <c r="A1211">
        <v>360</v>
      </c>
      <c r="B1211">
        <v>396</v>
      </c>
      <c r="C1211">
        <v>0.99208489999999994</v>
      </c>
    </row>
    <row r="1212" spans="1:3" x14ac:dyDescent="0.25">
      <c r="A1212">
        <v>393</v>
      </c>
      <c r="B1212">
        <v>396</v>
      </c>
      <c r="C1212">
        <v>2.74077E-3</v>
      </c>
    </row>
    <row r="1213" spans="1:3" x14ac:dyDescent="0.25">
      <c r="A1213">
        <v>358</v>
      </c>
      <c r="B1213">
        <v>411</v>
      </c>
      <c r="C1213">
        <v>1.91388E-3</v>
      </c>
    </row>
    <row r="1214" spans="1:3" x14ac:dyDescent="0.25">
      <c r="A1214">
        <v>362</v>
      </c>
      <c r="B1214">
        <v>411</v>
      </c>
      <c r="C1214">
        <v>0.33576484000000001</v>
      </c>
    </row>
    <row r="1215" spans="1:3" x14ac:dyDescent="0.25">
      <c r="A1215">
        <v>363</v>
      </c>
      <c r="B1215">
        <v>411</v>
      </c>
      <c r="C1215">
        <v>0.29189511000000001</v>
      </c>
    </row>
    <row r="1216" spans="1:3" x14ac:dyDescent="0.25">
      <c r="A1216">
        <v>382</v>
      </c>
      <c r="B1216">
        <v>411</v>
      </c>
      <c r="C1216">
        <v>4.7028799999999996E-3</v>
      </c>
    </row>
    <row r="1217" spans="1:3" x14ac:dyDescent="0.25">
      <c r="A1217">
        <v>361</v>
      </c>
      <c r="B1217">
        <v>414</v>
      </c>
      <c r="C1217">
        <v>1.43838E-3</v>
      </c>
    </row>
    <row r="1218" spans="1:3" x14ac:dyDescent="0.25">
      <c r="A1218">
        <v>364</v>
      </c>
      <c r="B1218">
        <v>414</v>
      </c>
      <c r="C1218">
        <v>2.7805000000000001E-4</v>
      </c>
    </row>
    <row r="1219" spans="1:3" x14ac:dyDescent="0.25">
      <c r="A1219">
        <v>365</v>
      </c>
      <c r="B1219">
        <v>414</v>
      </c>
      <c r="C1219">
        <v>0.99656115000000001</v>
      </c>
    </row>
    <row r="1220" spans="1:3" x14ac:dyDescent="0.25">
      <c r="A1220">
        <v>367</v>
      </c>
      <c r="B1220">
        <v>414</v>
      </c>
      <c r="C1220">
        <v>6.2361000000000003E-4</v>
      </c>
    </row>
    <row r="1221" spans="1:3" x14ac:dyDescent="0.25">
      <c r="A1221">
        <v>408</v>
      </c>
      <c r="B1221">
        <v>414</v>
      </c>
      <c r="C1221">
        <v>4.4803000000000003E-4</v>
      </c>
    </row>
    <row r="1222" spans="1:3" x14ac:dyDescent="0.25">
      <c r="A1222">
        <v>363</v>
      </c>
      <c r="B1222">
        <v>415</v>
      </c>
      <c r="C1222">
        <v>2.2000000000000001E-6</v>
      </c>
    </row>
    <row r="1223" spans="1:3" x14ac:dyDescent="0.25">
      <c r="A1223">
        <v>364</v>
      </c>
      <c r="B1223">
        <v>415</v>
      </c>
      <c r="C1223">
        <v>5.6166000000000002E-3</v>
      </c>
    </row>
    <row r="1224" spans="1:3" x14ac:dyDescent="0.25">
      <c r="A1224">
        <v>365</v>
      </c>
      <c r="B1224">
        <v>415</v>
      </c>
      <c r="C1224">
        <v>9.4499999999999993E-6</v>
      </c>
    </row>
    <row r="1225" spans="1:3" x14ac:dyDescent="0.25">
      <c r="A1225">
        <v>366</v>
      </c>
      <c r="B1225">
        <v>415</v>
      </c>
      <c r="C1225">
        <v>2.2773999999999998E-4</v>
      </c>
    </row>
    <row r="1226" spans="1:3" x14ac:dyDescent="0.25">
      <c r="A1226">
        <v>367</v>
      </c>
      <c r="B1226">
        <v>415</v>
      </c>
      <c r="C1226">
        <v>0.95711455000000001</v>
      </c>
    </row>
    <row r="1227" spans="1:3" x14ac:dyDescent="0.25">
      <c r="A1227">
        <v>394</v>
      </c>
      <c r="B1227">
        <v>415</v>
      </c>
      <c r="C1227">
        <v>1.343506E-2</v>
      </c>
    </row>
    <row r="1228" spans="1:3" x14ac:dyDescent="0.25">
      <c r="A1228">
        <v>395</v>
      </c>
      <c r="B1228">
        <v>415</v>
      </c>
      <c r="C1228">
        <v>2.15336E-3</v>
      </c>
    </row>
    <row r="1229" spans="1:3" x14ac:dyDescent="0.25">
      <c r="A1229">
        <v>366</v>
      </c>
      <c r="B1229">
        <v>416</v>
      </c>
      <c r="C1229">
        <v>8.2731999999999999E-4</v>
      </c>
    </row>
    <row r="1230" spans="1:3" x14ac:dyDescent="0.25">
      <c r="A1230">
        <v>367</v>
      </c>
      <c r="B1230">
        <v>416</v>
      </c>
      <c r="C1230">
        <v>3.8981010000000003E-2</v>
      </c>
    </row>
    <row r="1231" spans="1:3" x14ac:dyDescent="0.25">
      <c r="A1231">
        <v>394</v>
      </c>
      <c r="B1231">
        <v>416</v>
      </c>
      <c r="C1231">
        <v>0.98533980999999993</v>
      </c>
    </row>
    <row r="1232" spans="1:3" x14ac:dyDescent="0.25">
      <c r="A1232">
        <v>395</v>
      </c>
      <c r="B1232">
        <v>416</v>
      </c>
      <c r="C1232">
        <v>0.36340273000000001</v>
      </c>
    </row>
    <row r="1233" spans="1:3" x14ac:dyDescent="0.25">
      <c r="A1233">
        <v>366</v>
      </c>
      <c r="B1233">
        <v>417</v>
      </c>
      <c r="C1233">
        <v>3.9048060000000002E-2</v>
      </c>
    </row>
    <row r="1234" spans="1:3" x14ac:dyDescent="0.25">
      <c r="A1234">
        <v>394</v>
      </c>
      <c r="B1234">
        <v>417</v>
      </c>
      <c r="C1234">
        <v>1.22518E-3</v>
      </c>
    </row>
    <row r="1235" spans="1:3" x14ac:dyDescent="0.25">
      <c r="A1235">
        <v>395</v>
      </c>
      <c r="B1235">
        <v>417</v>
      </c>
      <c r="C1235">
        <v>0.59536960000000005</v>
      </c>
    </row>
    <row r="1236" spans="1:3" x14ac:dyDescent="0.25">
      <c r="A1236">
        <v>365</v>
      </c>
      <c r="B1236">
        <v>418</v>
      </c>
      <c r="C1236">
        <v>6.5256999999999999E-4</v>
      </c>
    </row>
    <row r="1237" spans="1:3" x14ac:dyDescent="0.25">
      <c r="A1237">
        <v>367</v>
      </c>
      <c r="B1237">
        <v>418</v>
      </c>
      <c r="C1237">
        <v>5.1855999999999994E-4</v>
      </c>
    </row>
    <row r="1238" spans="1:3" x14ac:dyDescent="0.25">
      <c r="A1238">
        <v>363</v>
      </c>
      <c r="B1238">
        <v>419</v>
      </c>
      <c r="C1238">
        <v>5.7105000000000003E-4</v>
      </c>
    </row>
    <row r="1239" spans="1:3" x14ac:dyDescent="0.25">
      <c r="A1239">
        <v>366</v>
      </c>
      <c r="B1239">
        <v>419</v>
      </c>
      <c r="C1239">
        <v>0.48235591</v>
      </c>
    </row>
    <row r="1240" spans="1:3" x14ac:dyDescent="0.25">
      <c r="A1240">
        <v>363</v>
      </c>
      <c r="B1240">
        <v>420</v>
      </c>
      <c r="C1240">
        <v>5.5229999999999998E-5</v>
      </c>
    </row>
    <row r="1241" spans="1:3" x14ac:dyDescent="0.25">
      <c r="A1241">
        <v>366</v>
      </c>
      <c r="B1241">
        <v>420</v>
      </c>
      <c r="C1241">
        <v>0.42247138999999995</v>
      </c>
    </row>
    <row r="1242" spans="1:3" x14ac:dyDescent="0.25">
      <c r="A1242">
        <v>382</v>
      </c>
      <c r="B1242">
        <v>420</v>
      </c>
      <c r="C1242">
        <v>1E-8</v>
      </c>
    </row>
    <row r="1243" spans="1:3" x14ac:dyDescent="0.25">
      <c r="A1243">
        <v>387</v>
      </c>
      <c r="B1243">
        <v>420</v>
      </c>
      <c r="C1243">
        <v>8.0325399999999995E-3</v>
      </c>
    </row>
    <row r="1244" spans="1:3" x14ac:dyDescent="0.25">
      <c r="A1244">
        <v>389</v>
      </c>
      <c r="B1244">
        <v>420</v>
      </c>
      <c r="C1244">
        <v>2.7406799999999997E-3</v>
      </c>
    </row>
    <row r="1245" spans="1:3" x14ac:dyDescent="0.25">
      <c r="A1245">
        <v>397</v>
      </c>
      <c r="B1245">
        <v>420</v>
      </c>
      <c r="C1245">
        <v>3.8436799999999999E-3</v>
      </c>
    </row>
    <row r="1246" spans="1:3" x14ac:dyDescent="0.25">
      <c r="A1246">
        <v>385</v>
      </c>
      <c r="B1246">
        <v>421</v>
      </c>
      <c r="C1246">
        <v>9.4579999999999992E-5</v>
      </c>
    </row>
    <row r="1247" spans="1:3" x14ac:dyDescent="0.25">
      <c r="A1247">
        <v>386</v>
      </c>
      <c r="B1247">
        <v>421</v>
      </c>
      <c r="C1247">
        <v>3.8647000000000003E-4</v>
      </c>
    </row>
    <row r="1248" spans="1:3" x14ac:dyDescent="0.25">
      <c r="A1248">
        <v>389</v>
      </c>
      <c r="B1248">
        <v>421</v>
      </c>
      <c r="C1248">
        <v>0.42810771000000003</v>
      </c>
    </row>
    <row r="1249" spans="1:3" x14ac:dyDescent="0.25">
      <c r="A1249">
        <v>390</v>
      </c>
      <c r="B1249">
        <v>421</v>
      </c>
      <c r="C1249">
        <v>9.2455999999999994E-4</v>
      </c>
    </row>
    <row r="1250" spans="1:3" x14ac:dyDescent="0.25">
      <c r="A1250">
        <v>385</v>
      </c>
      <c r="B1250">
        <v>422</v>
      </c>
      <c r="C1250">
        <v>1.0968189999999999E-2</v>
      </c>
    </row>
    <row r="1251" spans="1:3" x14ac:dyDescent="0.25">
      <c r="A1251">
        <v>388</v>
      </c>
      <c r="B1251">
        <v>422</v>
      </c>
      <c r="C1251">
        <v>1.7901000000000001E-4</v>
      </c>
    </row>
    <row r="1252" spans="1:3" x14ac:dyDescent="0.25">
      <c r="A1252">
        <v>390</v>
      </c>
      <c r="B1252">
        <v>422</v>
      </c>
      <c r="C1252">
        <v>0.93451188000000007</v>
      </c>
    </row>
    <row r="1253" spans="1:3" x14ac:dyDescent="0.25">
      <c r="A1253">
        <v>391</v>
      </c>
      <c r="B1253">
        <v>422</v>
      </c>
      <c r="C1253">
        <v>1.2847999999999999E-4</v>
      </c>
    </row>
    <row r="1254" spans="1:3" x14ac:dyDescent="0.25">
      <c r="A1254">
        <v>392</v>
      </c>
      <c r="B1254">
        <v>422</v>
      </c>
      <c r="C1254">
        <v>7.1299999999999995E-6</v>
      </c>
    </row>
    <row r="1255" spans="1:3" x14ac:dyDescent="0.25">
      <c r="A1255">
        <v>409</v>
      </c>
      <c r="B1255">
        <v>422</v>
      </c>
      <c r="C1255">
        <v>5.1210100000000005E-3</v>
      </c>
    </row>
    <row r="1256" spans="1:3" x14ac:dyDescent="0.25">
      <c r="A1256">
        <v>384</v>
      </c>
      <c r="B1256">
        <v>423</v>
      </c>
      <c r="C1256">
        <v>8.783560000000001E-3</v>
      </c>
    </row>
    <row r="1257" spans="1:3" x14ac:dyDescent="0.25">
      <c r="A1257">
        <v>385</v>
      </c>
      <c r="B1257">
        <v>423</v>
      </c>
      <c r="C1257">
        <v>7.1050000000000006E-5</v>
      </c>
    </row>
    <row r="1258" spans="1:3" x14ac:dyDescent="0.25">
      <c r="A1258">
        <v>388</v>
      </c>
      <c r="B1258">
        <v>423</v>
      </c>
      <c r="C1258">
        <v>0.99831203000000002</v>
      </c>
    </row>
    <row r="1259" spans="1:3" x14ac:dyDescent="0.25">
      <c r="A1259">
        <v>391</v>
      </c>
      <c r="B1259">
        <v>423</v>
      </c>
      <c r="C1259">
        <v>3.6600000000000001E-6</v>
      </c>
    </row>
    <row r="1260" spans="1:3" x14ac:dyDescent="0.25">
      <c r="A1260">
        <v>409</v>
      </c>
      <c r="B1260">
        <v>423</v>
      </c>
      <c r="C1260">
        <v>0.99021238</v>
      </c>
    </row>
    <row r="1261" spans="1:3" x14ac:dyDescent="0.25">
      <c r="A1261">
        <v>388</v>
      </c>
      <c r="B1261">
        <v>424</v>
      </c>
      <c r="C1261">
        <v>4.1983E-4</v>
      </c>
    </row>
    <row r="1262" spans="1:3" x14ac:dyDescent="0.25">
      <c r="A1262">
        <v>391</v>
      </c>
      <c r="B1262">
        <v>424</v>
      </c>
      <c r="C1262">
        <v>0.99751630000000002</v>
      </c>
    </row>
    <row r="1263" spans="1:3" x14ac:dyDescent="0.25">
      <c r="A1263">
        <v>409</v>
      </c>
      <c r="B1263">
        <v>424</v>
      </c>
      <c r="C1263">
        <v>4.6666600000000004E-3</v>
      </c>
    </row>
    <row r="1264" spans="1:3" x14ac:dyDescent="0.25">
      <c r="A1264">
        <v>385</v>
      </c>
      <c r="B1264">
        <v>426</v>
      </c>
      <c r="C1264">
        <v>0.43696539000000001</v>
      </c>
    </row>
    <row r="1265" spans="1:3" x14ac:dyDescent="0.25">
      <c r="A1265">
        <v>390</v>
      </c>
      <c r="B1265">
        <v>426</v>
      </c>
      <c r="C1265">
        <v>6.0505779999999995E-2</v>
      </c>
    </row>
    <row r="1266" spans="1:3" x14ac:dyDescent="0.25">
      <c r="A1266">
        <v>384</v>
      </c>
      <c r="B1266">
        <v>427</v>
      </c>
      <c r="C1266">
        <v>1.25424E-3</v>
      </c>
    </row>
    <row r="1267" spans="1:3" x14ac:dyDescent="0.25">
      <c r="A1267">
        <v>385</v>
      </c>
      <c r="B1267">
        <v>427</v>
      </c>
      <c r="C1267">
        <v>0.17880116999999998</v>
      </c>
    </row>
    <row r="1268" spans="1:3" x14ac:dyDescent="0.25">
      <c r="A1268">
        <v>388</v>
      </c>
      <c r="B1268">
        <v>427</v>
      </c>
      <c r="C1268">
        <v>5.2441E-4</v>
      </c>
    </row>
    <row r="1269" spans="1:3" x14ac:dyDescent="0.25">
      <c r="A1269">
        <v>390</v>
      </c>
      <c r="B1269">
        <v>427</v>
      </c>
      <c r="C1269">
        <v>2.817E-5</v>
      </c>
    </row>
    <row r="1270" spans="1:3" x14ac:dyDescent="0.25">
      <c r="A1270">
        <v>368</v>
      </c>
      <c r="B1270">
        <v>428</v>
      </c>
      <c r="C1270">
        <v>1.5297900000000001E-3</v>
      </c>
    </row>
    <row r="1271" spans="1:3" x14ac:dyDescent="0.25">
      <c r="A1271">
        <v>383</v>
      </c>
      <c r="B1271">
        <v>428</v>
      </c>
      <c r="C1271">
        <v>6.2556999999999999E-4</v>
      </c>
    </row>
    <row r="1272" spans="1:3" x14ac:dyDescent="0.25">
      <c r="A1272">
        <v>384</v>
      </c>
      <c r="B1272">
        <v>428</v>
      </c>
      <c r="C1272">
        <v>0.98774572999999999</v>
      </c>
    </row>
    <row r="1273" spans="1:3" x14ac:dyDescent="0.25">
      <c r="A1273">
        <v>388</v>
      </c>
      <c r="B1273">
        <v>428</v>
      </c>
      <c r="C1273">
        <v>5.6470999999999995E-4</v>
      </c>
    </row>
    <row r="1274" spans="1:3" x14ac:dyDescent="0.25">
      <c r="A1274">
        <v>368</v>
      </c>
      <c r="B1274">
        <v>429</v>
      </c>
      <c r="C1274">
        <v>8.525099999999999E-4</v>
      </c>
    </row>
    <row r="1275" spans="1:3" x14ac:dyDescent="0.25">
      <c r="A1275">
        <v>370</v>
      </c>
      <c r="B1275">
        <v>429</v>
      </c>
      <c r="C1275">
        <v>4.2713000000000001E-4</v>
      </c>
    </row>
    <row r="1276" spans="1:3" x14ac:dyDescent="0.25">
      <c r="A1276">
        <v>383</v>
      </c>
      <c r="B1276">
        <v>429</v>
      </c>
      <c r="C1276">
        <v>0.99623112000000003</v>
      </c>
    </row>
    <row r="1277" spans="1:3" x14ac:dyDescent="0.25">
      <c r="A1277">
        <v>384</v>
      </c>
      <c r="B1277">
        <v>429</v>
      </c>
      <c r="C1277">
        <v>1.0099900000000001E-3</v>
      </c>
    </row>
    <row r="1278" spans="1:3" x14ac:dyDescent="0.25">
      <c r="A1278">
        <v>287</v>
      </c>
      <c r="B1278">
        <v>430</v>
      </c>
      <c r="C1278">
        <v>8.0754000000000004E-4</v>
      </c>
    </row>
    <row r="1279" spans="1:3" x14ac:dyDescent="0.25">
      <c r="A1279">
        <v>313</v>
      </c>
      <c r="B1279">
        <v>430</v>
      </c>
      <c r="C1279">
        <v>6.4802000000000002E-4</v>
      </c>
    </row>
    <row r="1280" spans="1:3" x14ac:dyDescent="0.25">
      <c r="A1280">
        <v>314</v>
      </c>
      <c r="B1280">
        <v>430</v>
      </c>
      <c r="C1280">
        <v>1.5160000000000001E-5</v>
      </c>
    </row>
    <row r="1281" spans="1:3" x14ac:dyDescent="0.25">
      <c r="A1281">
        <v>368</v>
      </c>
      <c r="B1281">
        <v>430</v>
      </c>
      <c r="C1281">
        <v>0.9907195299999999</v>
      </c>
    </row>
    <row r="1282" spans="1:3" x14ac:dyDescent="0.25">
      <c r="A1282">
        <v>369</v>
      </c>
      <c r="B1282">
        <v>430</v>
      </c>
      <c r="C1282">
        <v>2.5983000000000001E-4</v>
      </c>
    </row>
    <row r="1283" spans="1:3" x14ac:dyDescent="0.25">
      <c r="A1283">
        <v>384</v>
      </c>
      <c r="B1283">
        <v>430</v>
      </c>
      <c r="C1283">
        <v>0</v>
      </c>
    </row>
    <row r="1284" spans="1:3" x14ac:dyDescent="0.25">
      <c r="A1284">
        <v>284</v>
      </c>
      <c r="B1284">
        <v>431</v>
      </c>
      <c r="C1284">
        <v>1.5375900000000001E-3</v>
      </c>
    </row>
    <row r="1285" spans="1:3" x14ac:dyDescent="0.25">
      <c r="A1285">
        <v>285</v>
      </c>
      <c r="B1285">
        <v>431</v>
      </c>
      <c r="C1285">
        <v>3.6523899999999997E-3</v>
      </c>
    </row>
    <row r="1286" spans="1:3" x14ac:dyDescent="0.25">
      <c r="A1286">
        <v>287</v>
      </c>
      <c r="B1286">
        <v>431</v>
      </c>
      <c r="C1286">
        <v>0.99647255000000001</v>
      </c>
    </row>
    <row r="1287" spans="1:3" x14ac:dyDescent="0.25">
      <c r="A1287">
        <v>288</v>
      </c>
      <c r="B1287">
        <v>431</v>
      </c>
      <c r="C1287">
        <v>1.9570000000000001E-4</v>
      </c>
    </row>
    <row r="1288" spans="1:3" x14ac:dyDescent="0.25">
      <c r="A1288">
        <v>289</v>
      </c>
      <c r="B1288">
        <v>431</v>
      </c>
      <c r="C1288">
        <v>2.987E-5</v>
      </c>
    </row>
    <row r="1289" spans="1:3" x14ac:dyDescent="0.25">
      <c r="A1289">
        <v>313</v>
      </c>
      <c r="B1289">
        <v>431</v>
      </c>
      <c r="C1289">
        <v>3.074E-5</v>
      </c>
    </row>
    <row r="1290" spans="1:3" x14ac:dyDescent="0.25">
      <c r="A1290">
        <v>284</v>
      </c>
      <c r="B1290">
        <v>432</v>
      </c>
      <c r="C1290">
        <v>0.19581043000000001</v>
      </c>
    </row>
    <row r="1291" spans="1:3" x14ac:dyDescent="0.25">
      <c r="A1291">
        <v>285</v>
      </c>
      <c r="B1291">
        <v>432</v>
      </c>
      <c r="C1291">
        <v>0.98732343</v>
      </c>
    </row>
    <row r="1292" spans="1:3" x14ac:dyDescent="0.25">
      <c r="A1292">
        <v>287</v>
      </c>
      <c r="B1292">
        <v>432</v>
      </c>
      <c r="C1292">
        <v>3.8930000000000002E-5</v>
      </c>
    </row>
    <row r="1293" spans="1:3" x14ac:dyDescent="0.25">
      <c r="A1293">
        <v>284</v>
      </c>
      <c r="B1293">
        <v>433</v>
      </c>
      <c r="C1293">
        <v>0.79742602000000007</v>
      </c>
    </row>
    <row r="1294" spans="1:3" x14ac:dyDescent="0.25">
      <c r="A1294">
        <v>285</v>
      </c>
      <c r="B1294">
        <v>433</v>
      </c>
      <c r="C1294">
        <v>9.9877999999999989E-4</v>
      </c>
    </row>
    <row r="1295" spans="1:3" x14ac:dyDescent="0.25">
      <c r="A1295">
        <v>286</v>
      </c>
      <c r="B1295">
        <v>433</v>
      </c>
      <c r="C1295">
        <v>1.9855E-4</v>
      </c>
    </row>
    <row r="1296" spans="1:3" x14ac:dyDescent="0.25">
      <c r="A1296">
        <v>287</v>
      </c>
      <c r="B1296">
        <v>433</v>
      </c>
      <c r="C1296">
        <v>2.17E-6</v>
      </c>
    </row>
    <row r="1297" spans="1:3" x14ac:dyDescent="0.25">
      <c r="A1297">
        <v>284</v>
      </c>
      <c r="B1297">
        <v>434</v>
      </c>
      <c r="C1297">
        <v>4.7111000000000001E-4</v>
      </c>
    </row>
    <row r="1298" spans="1:3" x14ac:dyDescent="0.25">
      <c r="A1298">
        <v>286</v>
      </c>
      <c r="B1298">
        <v>434</v>
      </c>
      <c r="C1298">
        <v>2.3680000000000001E-4</v>
      </c>
    </row>
    <row r="1299" spans="1:3" x14ac:dyDescent="0.25">
      <c r="A1299">
        <v>287</v>
      </c>
      <c r="B1299">
        <v>434</v>
      </c>
      <c r="C1299">
        <v>1.0834199999999999E-3</v>
      </c>
    </row>
    <row r="1300" spans="1:3" x14ac:dyDescent="0.25">
      <c r="A1300">
        <v>288</v>
      </c>
      <c r="B1300">
        <v>434</v>
      </c>
      <c r="C1300">
        <v>0.99200726000000006</v>
      </c>
    </row>
    <row r="1301" spans="1:3" x14ac:dyDescent="0.25">
      <c r="A1301">
        <v>289</v>
      </c>
      <c r="B1301">
        <v>434</v>
      </c>
      <c r="C1301">
        <v>3.6587000000000002E-4</v>
      </c>
    </row>
    <row r="1302" spans="1:3" x14ac:dyDescent="0.25">
      <c r="A1302">
        <v>57</v>
      </c>
      <c r="B1302">
        <v>435</v>
      </c>
      <c r="C1302">
        <v>4.7203000000000002E-4</v>
      </c>
    </row>
    <row r="1303" spans="1:3" x14ac:dyDescent="0.25">
      <c r="A1303">
        <v>58</v>
      </c>
      <c r="B1303">
        <v>435</v>
      </c>
      <c r="C1303">
        <v>1.11804E-3</v>
      </c>
    </row>
    <row r="1304" spans="1:3" x14ac:dyDescent="0.25">
      <c r="A1304">
        <v>284</v>
      </c>
      <c r="B1304">
        <v>435</v>
      </c>
      <c r="C1304">
        <v>2.1330299999999997E-3</v>
      </c>
    </row>
    <row r="1305" spans="1:3" x14ac:dyDescent="0.25">
      <c r="A1305">
        <v>286</v>
      </c>
      <c r="B1305">
        <v>435</v>
      </c>
      <c r="C1305">
        <v>0.99689341999999992</v>
      </c>
    </row>
    <row r="1306" spans="1:3" x14ac:dyDescent="0.25">
      <c r="A1306">
        <v>288</v>
      </c>
      <c r="B1306">
        <v>435</v>
      </c>
      <c r="C1306">
        <v>4.2640000000000005E-5</v>
      </c>
    </row>
    <row r="1307" spans="1:3" x14ac:dyDescent="0.25">
      <c r="A1307">
        <v>289</v>
      </c>
      <c r="B1307">
        <v>435</v>
      </c>
      <c r="C1307">
        <v>3.8040000000000002E-5</v>
      </c>
    </row>
    <row r="1308" spans="1:3" x14ac:dyDescent="0.25">
      <c r="A1308">
        <v>290</v>
      </c>
      <c r="B1308">
        <v>435</v>
      </c>
      <c r="C1308">
        <v>3.1005999999999997E-4</v>
      </c>
    </row>
    <row r="1309" spans="1:3" x14ac:dyDescent="0.25">
      <c r="A1309">
        <v>396</v>
      </c>
      <c r="B1309">
        <v>435</v>
      </c>
      <c r="C1309">
        <v>8.6190000000000008E-4</v>
      </c>
    </row>
    <row r="1310" spans="1:3" x14ac:dyDescent="0.25">
      <c r="A1310">
        <v>58</v>
      </c>
      <c r="B1310">
        <v>436</v>
      </c>
      <c r="C1310">
        <v>4.6610699999999998E-3</v>
      </c>
    </row>
    <row r="1311" spans="1:3" x14ac:dyDescent="0.25">
      <c r="A1311">
        <v>62</v>
      </c>
      <c r="B1311">
        <v>436</v>
      </c>
      <c r="C1311">
        <v>9.3840699999999996E-3</v>
      </c>
    </row>
    <row r="1312" spans="1:3" x14ac:dyDescent="0.25">
      <c r="A1312">
        <v>64</v>
      </c>
      <c r="B1312">
        <v>436</v>
      </c>
      <c r="C1312">
        <v>1.069461E-2</v>
      </c>
    </row>
    <row r="1313" spans="1:3" x14ac:dyDescent="0.25">
      <c r="A1313">
        <v>67</v>
      </c>
      <c r="B1313">
        <v>436</v>
      </c>
      <c r="C1313">
        <v>5.9863599999999996E-3</v>
      </c>
    </row>
    <row r="1314" spans="1:3" x14ac:dyDescent="0.25">
      <c r="A1314">
        <v>286</v>
      </c>
      <c r="B1314">
        <v>436</v>
      </c>
      <c r="C1314">
        <v>1.8534800000000002E-3</v>
      </c>
    </row>
    <row r="1315" spans="1:3" x14ac:dyDescent="0.25">
      <c r="A1315">
        <v>290</v>
      </c>
      <c r="B1315">
        <v>436</v>
      </c>
      <c r="C1315">
        <v>0.99576241999999993</v>
      </c>
    </row>
    <row r="1316" spans="1:3" x14ac:dyDescent="0.25">
      <c r="A1316">
        <v>390</v>
      </c>
      <c r="B1316">
        <v>437</v>
      </c>
      <c r="C1316">
        <v>3.0542500000000001E-3</v>
      </c>
    </row>
    <row r="1317" spans="1:3" x14ac:dyDescent="0.25">
      <c r="A1317">
        <v>391</v>
      </c>
      <c r="B1317">
        <v>437</v>
      </c>
      <c r="C1317">
        <v>8.4407999999999998E-4</v>
      </c>
    </row>
    <row r="1318" spans="1:3" x14ac:dyDescent="0.25">
      <c r="A1318">
        <v>392</v>
      </c>
      <c r="B1318">
        <v>437</v>
      </c>
      <c r="C1318">
        <v>0.9925664500000001</v>
      </c>
    </row>
    <row r="1319" spans="1:3" x14ac:dyDescent="0.25">
      <c r="A1319">
        <v>139</v>
      </c>
      <c r="B1319">
        <v>439</v>
      </c>
      <c r="C1319">
        <v>1.3000900000000001E-3</v>
      </c>
    </row>
    <row r="1320" spans="1:3" x14ac:dyDescent="0.25">
      <c r="A1320">
        <v>159</v>
      </c>
      <c r="B1320">
        <v>439</v>
      </c>
      <c r="C1320">
        <v>0.30315235000000001</v>
      </c>
    </row>
    <row r="1321" spans="1:3" x14ac:dyDescent="0.25">
      <c r="A1321">
        <v>160</v>
      </c>
      <c r="B1321">
        <v>439</v>
      </c>
      <c r="C1321">
        <v>3.0192000000000001E-4</v>
      </c>
    </row>
    <row r="1322" spans="1:3" x14ac:dyDescent="0.25">
      <c r="A1322">
        <v>290</v>
      </c>
      <c r="B1322">
        <v>442</v>
      </c>
      <c r="C1322">
        <v>1.0933E-4</v>
      </c>
    </row>
    <row r="1323" spans="1:3" x14ac:dyDescent="0.25">
      <c r="A1323">
        <v>300</v>
      </c>
      <c r="B1323">
        <v>442</v>
      </c>
      <c r="C1323">
        <v>0.21526357999999998</v>
      </c>
    </row>
    <row r="1324" spans="1:3" x14ac:dyDescent="0.25">
      <c r="A1324">
        <v>46</v>
      </c>
      <c r="B1324">
        <v>447</v>
      </c>
      <c r="C1324">
        <v>1.1670999999999999E-3</v>
      </c>
    </row>
    <row r="1325" spans="1:3" x14ac:dyDescent="0.25">
      <c r="A1325">
        <v>47</v>
      </c>
      <c r="B1325">
        <v>447</v>
      </c>
      <c r="C1325">
        <v>2.8425899999999999E-3</v>
      </c>
    </row>
    <row r="1326" spans="1:3" x14ac:dyDescent="0.25">
      <c r="A1326">
        <v>48</v>
      </c>
      <c r="B1326">
        <v>447</v>
      </c>
      <c r="C1326">
        <v>2.0396860000000003E-2</v>
      </c>
    </row>
    <row r="1327" spans="1:3" x14ac:dyDescent="0.25">
      <c r="A1327">
        <v>49</v>
      </c>
      <c r="B1327">
        <v>447</v>
      </c>
      <c r="C1327">
        <v>2.0056999999999999E-4</v>
      </c>
    </row>
    <row r="1328" spans="1:3" x14ac:dyDescent="0.25">
      <c r="A1328">
        <v>398</v>
      </c>
      <c r="B1328">
        <v>447</v>
      </c>
      <c r="C1328">
        <v>0.17832213</v>
      </c>
    </row>
    <row r="1329" spans="1:3" x14ac:dyDescent="0.25">
      <c r="A1329">
        <v>399</v>
      </c>
      <c r="B1329">
        <v>447</v>
      </c>
      <c r="C1329">
        <v>1.131916E-2</v>
      </c>
    </row>
    <row r="1330" spans="1:3" x14ac:dyDescent="0.25">
      <c r="A1330">
        <v>389</v>
      </c>
      <c r="B1330">
        <v>450</v>
      </c>
      <c r="C1330">
        <v>0.56733559999999994</v>
      </c>
    </row>
    <row r="1331" spans="1:3" x14ac:dyDescent="0.25">
      <c r="A1331">
        <v>390</v>
      </c>
      <c r="B1331">
        <v>450</v>
      </c>
      <c r="C1331">
        <v>9.8496999999999994E-4</v>
      </c>
    </row>
    <row r="1332" spans="1:3" x14ac:dyDescent="0.25">
      <c r="A1332">
        <v>392</v>
      </c>
      <c r="B1332">
        <v>450</v>
      </c>
      <c r="C1332">
        <v>1.8819E-4</v>
      </c>
    </row>
    <row r="1333" spans="1:3" x14ac:dyDescent="0.25">
      <c r="A1333">
        <v>363</v>
      </c>
      <c r="B1333">
        <v>451</v>
      </c>
      <c r="C1333">
        <v>0.39430478000000002</v>
      </c>
    </row>
    <row r="1334" spans="1:3" x14ac:dyDescent="0.25">
      <c r="A1334">
        <v>366</v>
      </c>
      <c r="B1334">
        <v>451</v>
      </c>
      <c r="C1334">
        <v>1.5021399999999999E-3</v>
      </c>
    </row>
    <row r="1335" spans="1:3" x14ac:dyDescent="0.25">
      <c r="A1335">
        <v>382</v>
      </c>
      <c r="B1335">
        <v>451</v>
      </c>
      <c r="C1335">
        <v>4.1154299999999998E-3</v>
      </c>
    </row>
    <row r="1336" spans="1:3" x14ac:dyDescent="0.25">
      <c r="A1336">
        <v>397</v>
      </c>
      <c r="B1336">
        <v>451</v>
      </c>
      <c r="C1336">
        <v>2.1150000000000002E-5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66D8-41C9-4A52-8276-606D7D73DEEE}">
  <dimension ref="A1:C497"/>
  <sheetViews>
    <sheetView workbookViewId="0">
      <selection activeCell="J13" sqref="J13"/>
    </sheetView>
  </sheetViews>
  <sheetFormatPr defaultRowHeight="15" x14ac:dyDescent="0.25"/>
  <sheetData>
    <row r="1" spans="1:3" x14ac:dyDescent="0.25">
      <c r="A1" t="s">
        <v>1</v>
      </c>
      <c r="B1" t="s">
        <v>11</v>
      </c>
      <c r="C1" t="s">
        <v>17</v>
      </c>
    </row>
    <row r="2" spans="1:3" x14ac:dyDescent="0.25">
      <c r="A2">
        <v>31</v>
      </c>
      <c r="B2">
        <v>31</v>
      </c>
      <c r="C2">
        <v>1</v>
      </c>
    </row>
    <row r="3" spans="1:3" x14ac:dyDescent="0.25">
      <c r="A3">
        <v>32</v>
      </c>
      <c r="B3">
        <v>32</v>
      </c>
      <c r="C3">
        <v>1</v>
      </c>
    </row>
    <row r="4" spans="1:3" x14ac:dyDescent="0.25">
      <c r="A4">
        <v>33</v>
      </c>
      <c r="B4">
        <v>33</v>
      </c>
      <c r="C4">
        <v>1</v>
      </c>
    </row>
    <row r="5" spans="1:3" x14ac:dyDescent="0.25">
      <c r="A5">
        <v>34</v>
      </c>
      <c r="B5">
        <v>34</v>
      </c>
      <c r="C5">
        <v>1</v>
      </c>
    </row>
    <row r="6" spans="1:3" x14ac:dyDescent="0.25">
      <c r="A6">
        <v>35</v>
      </c>
      <c r="B6">
        <v>35</v>
      </c>
      <c r="C6">
        <v>1</v>
      </c>
    </row>
    <row r="7" spans="1:3" x14ac:dyDescent="0.25">
      <c r="A7">
        <v>36</v>
      </c>
      <c r="B7">
        <v>36</v>
      </c>
      <c r="C7">
        <v>1</v>
      </c>
    </row>
    <row r="8" spans="1:3" x14ac:dyDescent="0.25">
      <c r="A8">
        <v>37</v>
      </c>
      <c r="B8">
        <v>37</v>
      </c>
      <c r="C8">
        <v>1</v>
      </c>
    </row>
    <row r="9" spans="1:3" x14ac:dyDescent="0.25">
      <c r="A9">
        <v>38</v>
      </c>
      <c r="B9">
        <v>38</v>
      </c>
      <c r="C9">
        <v>1</v>
      </c>
    </row>
    <row r="10" spans="1:3" x14ac:dyDescent="0.25">
      <c r="A10">
        <v>39</v>
      </c>
      <c r="B10">
        <v>39</v>
      </c>
      <c r="C10">
        <v>1</v>
      </c>
    </row>
    <row r="11" spans="1:3" x14ac:dyDescent="0.25">
      <c r="A11">
        <v>40</v>
      </c>
      <c r="B11">
        <v>40</v>
      </c>
      <c r="C11">
        <v>0.99999996999999996</v>
      </c>
    </row>
    <row r="12" spans="1:3" x14ac:dyDescent="0.25">
      <c r="A12">
        <v>41</v>
      </c>
      <c r="B12">
        <v>41</v>
      </c>
      <c r="C12">
        <v>1</v>
      </c>
    </row>
    <row r="13" spans="1:3" x14ac:dyDescent="0.25">
      <c r="A13">
        <v>42</v>
      </c>
      <c r="B13">
        <v>42</v>
      </c>
      <c r="C13">
        <v>1</v>
      </c>
    </row>
    <row r="14" spans="1:3" x14ac:dyDescent="0.25">
      <c r="A14">
        <v>42</v>
      </c>
      <c r="B14">
        <v>43</v>
      </c>
      <c r="C14">
        <v>2.2009999999999998E-5</v>
      </c>
    </row>
    <row r="15" spans="1:3" x14ac:dyDescent="0.25">
      <c r="A15">
        <v>43</v>
      </c>
      <c r="B15">
        <v>42</v>
      </c>
      <c r="C15">
        <v>9.0599999999999997E-6</v>
      </c>
    </row>
    <row r="16" spans="1:3" x14ac:dyDescent="0.25">
      <c r="A16">
        <v>43</v>
      </c>
      <c r="B16">
        <v>43</v>
      </c>
      <c r="C16">
        <v>0.99999996999999996</v>
      </c>
    </row>
    <row r="17" spans="1:3" x14ac:dyDescent="0.25">
      <c r="A17">
        <v>43</v>
      </c>
      <c r="B17">
        <v>44</v>
      </c>
      <c r="C17">
        <v>1.4560000000000001E-5</v>
      </c>
    </row>
    <row r="18" spans="1:3" x14ac:dyDescent="0.25">
      <c r="A18">
        <v>43</v>
      </c>
      <c r="B18">
        <v>47</v>
      </c>
      <c r="C18">
        <v>8.239999999999999E-6</v>
      </c>
    </row>
    <row r="19" spans="1:3" x14ac:dyDescent="0.25">
      <c r="A19">
        <v>43</v>
      </c>
      <c r="B19">
        <v>48</v>
      </c>
      <c r="C19">
        <v>3.1420000000000001E-5</v>
      </c>
    </row>
    <row r="20" spans="1:3" x14ac:dyDescent="0.25">
      <c r="A20">
        <v>43</v>
      </c>
      <c r="B20">
        <v>49</v>
      </c>
      <c r="C20">
        <v>4.8099999999999997E-6</v>
      </c>
    </row>
    <row r="21" spans="1:3" x14ac:dyDescent="0.25">
      <c r="A21">
        <v>43</v>
      </c>
      <c r="B21">
        <v>53</v>
      </c>
      <c r="C21">
        <v>2.0594000000000002E-4</v>
      </c>
    </row>
    <row r="22" spans="1:3" x14ac:dyDescent="0.25">
      <c r="A22">
        <v>43</v>
      </c>
      <c r="B22">
        <v>61</v>
      </c>
      <c r="C22">
        <v>4.0399999999999999E-5</v>
      </c>
    </row>
    <row r="23" spans="1:3" x14ac:dyDescent="0.25">
      <c r="A23">
        <v>43</v>
      </c>
      <c r="B23">
        <v>120</v>
      </c>
      <c r="C23">
        <v>3.05E-6</v>
      </c>
    </row>
    <row r="24" spans="1:3" x14ac:dyDescent="0.25">
      <c r="A24">
        <v>43</v>
      </c>
      <c r="B24">
        <v>124</v>
      </c>
      <c r="C24">
        <v>1.0100000000000001E-6</v>
      </c>
    </row>
    <row r="25" spans="1:3" x14ac:dyDescent="0.25">
      <c r="A25">
        <v>43</v>
      </c>
      <c r="B25">
        <v>226</v>
      </c>
      <c r="C25">
        <v>5.5599999999999993E-6</v>
      </c>
    </row>
    <row r="26" spans="1:3" x14ac:dyDescent="0.25">
      <c r="A26">
        <v>43</v>
      </c>
      <c r="B26">
        <v>227</v>
      </c>
      <c r="C26">
        <v>6.2099999999999998E-6</v>
      </c>
    </row>
    <row r="27" spans="1:3" x14ac:dyDescent="0.25">
      <c r="A27">
        <v>43</v>
      </c>
      <c r="B27">
        <v>447</v>
      </c>
      <c r="C27">
        <v>4.7340000000000004E-5</v>
      </c>
    </row>
    <row r="28" spans="1:3" x14ac:dyDescent="0.25">
      <c r="A28">
        <v>44</v>
      </c>
      <c r="B28">
        <v>44</v>
      </c>
      <c r="C28">
        <v>0.99999999000000006</v>
      </c>
    </row>
    <row r="29" spans="1:3" x14ac:dyDescent="0.25">
      <c r="A29">
        <v>45</v>
      </c>
      <c r="B29">
        <v>45</v>
      </c>
      <c r="C29">
        <v>1</v>
      </c>
    </row>
    <row r="30" spans="1:3" x14ac:dyDescent="0.25">
      <c r="A30">
        <v>46</v>
      </c>
      <c r="B30">
        <v>43</v>
      </c>
      <c r="C30">
        <v>1.583E-4</v>
      </c>
    </row>
    <row r="31" spans="1:3" x14ac:dyDescent="0.25">
      <c r="A31">
        <v>46</v>
      </c>
      <c r="B31">
        <v>44</v>
      </c>
      <c r="C31">
        <v>1</v>
      </c>
    </row>
    <row r="32" spans="1:3" x14ac:dyDescent="0.25">
      <c r="A32">
        <v>46</v>
      </c>
      <c r="B32">
        <v>47</v>
      </c>
      <c r="C32">
        <v>2.4000000000000003E-7</v>
      </c>
    </row>
    <row r="33" spans="1:3" x14ac:dyDescent="0.25">
      <c r="A33">
        <v>47</v>
      </c>
      <c r="B33">
        <v>43</v>
      </c>
      <c r="C33">
        <v>1.3573E-4</v>
      </c>
    </row>
    <row r="34" spans="1:3" x14ac:dyDescent="0.25">
      <c r="A34">
        <v>47</v>
      </c>
      <c r="B34">
        <v>44</v>
      </c>
      <c r="C34">
        <v>3.5999999999999999E-7</v>
      </c>
    </row>
    <row r="35" spans="1:3" x14ac:dyDescent="0.25">
      <c r="A35">
        <v>47</v>
      </c>
      <c r="B35">
        <v>47</v>
      </c>
      <c r="C35">
        <v>1</v>
      </c>
    </row>
    <row r="36" spans="1:3" x14ac:dyDescent="0.25">
      <c r="A36">
        <v>48</v>
      </c>
      <c r="B36">
        <v>43</v>
      </c>
      <c r="C36">
        <v>1.12488E-3</v>
      </c>
    </row>
    <row r="37" spans="1:3" x14ac:dyDescent="0.25">
      <c r="A37">
        <v>48</v>
      </c>
      <c r="B37">
        <v>48</v>
      </c>
      <c r="C37">
        <v>0.99999913000000007</v>
      </c>
    </row>
    <row r="38" spans="1:3" x14ac:dyDescent="0.25">
      <c r="A38">
        <v>48</v>
      </c>
      <c r="B38">
        <v>447</v>
      </c>
      <c r="C38">
        <v>4.3861999999999997E-4</v>
      </c>
    </row>
    <row r="39" spans="1:3" x14ac:dyDescent="0.25">
      <c r="A39">
        <v>49</v>
      </c>
      <c r="B39">
        <v>43</v>
      </c>
      <c r="C39">
        <v>3.7110000000000002E-5</v>
      </c>
    </row>
    <row r="40" spans="1:3" x14ac:dyDescent="0.25">
      <c r="A40">
        <v>49</v>
      </c>
      <c r="B40">
        <v>49</v>
      </c>
      <c r="C40">
        <v>0.99999999000000006</v>
      </c>
    </row>
    <row r="41" spans="1:3" x14ac:dyDescent="0.25">
      <c r="A41">
        <v>49</v>
      </c>
      <c r="B41">
        <v>447</v>
      </c>
      <c r="C41">
        <v>1.4429000000000002E-4</v>
      </c>
    </row>
    <row r="42" spans="1:3" x14ac:dyDescent="0.25">
      <c r="A42">
        <v>50</v>
      </c>
      <c r="B42">
        <v>50</v>
      </c>
      <c r="C42">
        <v>1</v>
      </c>
    </row>
    <row r="43" spans="1:3" x14ac:dyDescent="0.25">
      <c r="A43">
        <v>51</v>
      </c>
      <c r="B43">
        <v>51</v>
      </c>
      <c r="C43">
        <v>1</v>
      </c>
    </row>
    <row r="44" spans="1:3" x14ac:dyDescent="0.25">
      <c r="A44">
        <v>52</v>
      </c>
      <c r="B44">
        <v>52</v>
      </c>
      <c r="C44">
        <v>1</v>
      </c>
    </row>
    <row r="45" spans="1:3" x14ac:dyDescent="0.25">
      <c r="A45">
        <v>53</v>
      </c>
      <c r="B45">
        <v>43</v>
      </c>
      <c r="C45">
        <v>3.8571E-3</v>
      </c>
    </row>
    <row r="46" spans="1:3" x14ac:dyDescent="0.25">
      <c r="A46">
        <v>53</v>
      </c>
      <c r="B46">
        <v>53</v>
      </c>
      <c r="C46">
        <v>0.99999995999999991</v>
      </c>
    </row>
    <row r="47" spans="1:3" x14ac:dyDescent="0.25">
      <c r="A47">
        <v>54</v>
      </c>
      <c r="B47">
        <v>54</v>
      </c>
      <c r="C47">
        <v>1</v>
      </c>
    </row>
    <row r="48" spans="1:3" x14ac:dyDescent="0.25">
      <c r="A48">
        <v>55</v>
      </c>
      <c r="B48">
        <v>55</v>
      </c>
      <c r="C48">
        <v>1</v>
      </c>
    </row>
    <row r="49" spans="1:3" x14ac:dyDescent="0.25">
      <c r="A49">
        <v>56</v>
      </c>
      <c r="B49">
        <v>56</v>
      </c>
      <c r="C49">
        <v>1</v>
      </c>
    </row>
    <row r="50" spans="1:3" x14ac:dyDescent="0.25">
      <c r="A50">
        <v>57</v>
      </c>
      <c r="B50">
        <v>54</v>
      </c>
      <c r="C50">
        <v>1</v>
      </c>
    </row>
    <row r="51" spans="1:3" x14ac:dyDescent="0.25">
      <c r="A51">
        <v>58</v>
      </c>
      <c r="B51">
        <v>54</v>
      </c>
      <c r="C51">
        <v>1</v>
      </c>
    </row>
    <row r="52" spans="1:3" x14ac:dyDescent="0.25">
      <c r="A52">
        <v>59</v>
      </c>
      <c r="B52">
        <v>54</v>
      </c>
      <c r="C52">
        <v>1</v>
      </c>
    </row>
    <row r="53" spans="1:3" x14ac:dyDescent="0.25">
      <c r="A53">
        <v>60</v>
      </c>
      <c r="B53">
        <v>52</v>
      </c>
      <c r="C53">
        <v>1</v>
      </c>
    </row>
    <row r="54" spans="1:3" x14ac:dyDescent="0.25">
      <c r="A54">
        <v>61</v>
      </c>
      <c r="B54">
        <v>43</v>
      </c>
      <c r="C54">
        <v>4.6204000000000004E-4</v>
      </c>
    </row>
    <row r="55" spans="1:3" x14ac:dyDescent="0.25">
      <c r="A55">
        <v>61</v>
      </c>
      <c r="B55">
        <v>61</v>
      </c>
      <c r="C55">
        <v>0.99999926000000006</v>
      </c>
    </row>
    <row r="56" spans="1:3" x14ac:dyDescent="0.25">
      <c r="A56">
        <v>62</v>
      </c>
      <c r="B56">
        <v>43</v>
      </c>
      <c r="C56">
        <v>2.3803000000000002E-4</v>
      </c>
    </row>
    <row r="57" spans="1:3" x14ac:dyDescent="0.25">
      <c r="A57">
        <v>62</v>
      </c>
      <c r="B57">
        <v>61</v>
      </c>
      <c r="C57">
        <v>1</v>
      </c>
    </row>
    <row r="58" spans="1:3" x14ac:dyDescent="0.25">
      <c r="A58">
        <v>63</v>
      </c>
      <c r="B58">
        <v>61</v>
      </c>
      <c r="C58">
        <v>1</v>
      </c>
    </row>
    <row r="59" spans="1:3" x14ac:dyDescent="0.25">
      <c r="A59">
        <v>64</v>
      </c>
      <c r="B59">
        <v>64</v>
      </c>
      <c r="C59">
        <v>0.99999999000000006</v>
      </c>
    </row>
    <row r="60" spans="1:3" x14ac:dyDescent="0.25">
      <c r="A60">
        <v>65</v>
      </c>
      <c r="B60">
        <v>65</v>
      </c>
      <c r="C60">
        <v>0.98785493999999996</v>
      </c>
    </row>
    <row r="61" spans="1:3" x14ac:dyDescent="0.25">
      <c r="A61">
        <v>65</v>
      </c>
      <c r="B61">
        <v>78</v>
      </c>
      <c r="C61">
        <v>1.2145099999999999E-2</v>
      </c>
    </row>
    <row r="62" spans="1:3" x14ac:dyDescent="0.25">
      <c r="A62">
        <v>66</v>
      </c>
      <c r="B62">
        <v>66</v>
      </c>
      <c r="C62">
        <v>1</v>
      </c>
    </row>
    <row r="63" spans="1:3" x14ac:dyDescent="0.25">
      <c r="A63">
        <v>67</v>
      </c>
      <c r="B63">
        <v>67</v>
      </c>
      <c r="C63">
        <v>1</v>
      </c>
    </row>
    <row r="64" spans="1:3" x14ac:dyDescent="0.25">
      <c r="A64">
        <v>68</v>
      </c>
      <c r="B64">
        <v>67</v>
      </c>
      <c r="C64">
        <v>1</v>
      </c>
    </row>
    <row r="65" spans="1:3" x14ac:dyDescent="0.25">
      <c r="A65">
        <v>69</v>
      </c>
      <c r="B65">
        <v>56</v>
      </c>
      <c r="C65">
        <v>1</v>
      </c>
    </row>
    <row r="66" spans="1:3" x14ac:dyDescent="0.25">
      <c r="A66">
        <v>70</v>
      </c>
      <c r="B66">
        <v>70</v>
      </c>
      <c r="C66">
        <v>0.99999998000000001</v>
      </c>
    </row>
    <row r="67" spans="1:3" x14ac:dyDescent="0.25">
      <c r="A67">
        <v>71</v>
      </c>
      <c r="B67">
        <v>71</v>
      </c>
      <c r="C67">
        <v>1</v>
      </c>
    </row>
    <row r="68" spans="1:3" x14ac:dyDescent="0.25">
      <c r="A68">
        <v>72</v>
      </c>
      <c r="B68">
        <v>71</v>
      </c>
      <c r="C68">
        <v>1</v>
      </c>
    </row>
    <row r="69" spans="1:3" x14ac:dyDescent="0.25">
      <c r="A69">
        <v>73</v>
      </c>
      <c r="B69">
        <v>71</v>
      </c>
      <c r="C69">
        <v>1</v>
      </c>
    </row>
    <row r="70" spans="1:3" x14ac:dyDescent="0.25">
      <c r="A70">
        <v>74</v>
      </c>
      <c r="B70">
        <v>74</v>
      </c>
      <c r="C70">
        <v>1</v>
      </c>
    </row>
    <row r="71" spans="1:3" x14ac:dyDescent="0.25">
      <c r="A71">
        <v>75</v>
      </c>
      <c r="B71">
        <v>75</v>
      </c>
      <c r="C71">
        <v>1</v>
      </c>
    </row>
    <row r="72" spans="1:3" x14ac:dyDescent="0.25">
      <c r="A72">
        <v>76</v>
      </c>
      <c r="B72">
        <v>76</v>
      </c>
      <c r="C72">
        <v>1</v>
      </c>
    </row>
    <row r="73" spans="1:3" x14ac:dyDescent="0.25">
      <c r="A73">
        <v>77</v>
      </c>
      <c r="B73">
        <v>77</v>
      </c>
      <c r="C73">
        <v>1</v>
      </c>
    </row>
    <row r="74" spans="1:3" x14ac:dyDescent="0.25">
      <c r="A74">
        <v>78</v>
      </c>
      <c r="B74">
        <v>65</v>
      </c>
      <c r="C74">
        <v>3.31664E-3</v>
      </c>
    </row>
    <row r="75" spans="1:3" x14ac:dyDescent="0.25">
      <c r="A75">
        <v>78</v>
      </c>
      <c r="B75">
        <v>78</v>
      </c>
      <c r="C75">
        <v>0.99668336999999996</v>
      </c>
    </row>
    <row r="76" spans="1:3" x14ac:dyDescent="0.25">
      <c r="A76">
        <v>79</v>
      </c>
      <c r="B76">
        <v>64</v>
      </c>
      <c r="C76">
        <v>1</v>
      </c>
    </row>
    <row r="77" spans="1:3" x14ac:dyDescent="0.25">
      <c r="A77">
        <v>80</v>
      </c>
      <c r="B77">
        <v>80</v>
      </c>
      <c r="C77">
        <v>1</v>
      </c>
    </row>
    <row r="78" spans="1:3" x14ac:dyDescent="0.25">
      <c r="A78">
        <v>81</v>
      </c>
      <c r="B78">
        <v>81</v>
      </c>
      <c r="C78">
        <v>0.99999995999999991</v>
      </c>
    </row>
    <row r="79" spans="1:3" x14ac:dyDescent="0.25">
      <c r="A79">
        <v>82</v>
      </c>
      <c r="B79">
        <v>82</v>
      </c>
      <c r="C79">
        <v>1</v>
      </c>
    </row>
    <row r="80" spans="1:3" x14ac:dyDescent="0.25">
      <c r="A80">
        <v>83</v>
      </c>
      <c r="B80">
        <v>83</v>
      </c>
      <c r="C80">
        <v>0.99999999000000006</v>
      </c>
    </row>
    <row r="81" spans="1:3" x14ac:dyDescent="0.25">
      <c r="A81">
        <v>83</v>
      </c>
      <c r="B81">
        <v>443</v>
      </c>
      <c r="C81">
        <v>7.9500000000000001E-6</v>
      </c>
    </row>
    <row r="82" spans="1:3" x14ac:dyDescent="0.25">
      <c r="A82">
        <v>84</v>
      </c>
      <c r="B82">
        <v>84</v>
      </c>
      <c r="C82">
        <v>1</v>
      </c>
    </row>
    <row r="83" spans="1:3" x14ac:dyDescent="0.25">
      <c r="A83">
        <v>85</v>
      </c>
      <c r="B83">
        <v>85</v>
      </c>
      <c r="C83">
        <v>1</v>
      </c>
    </row>
    <row r="84" spans="1:3" x14ac:dyDescent="0.25">
      <c r="A84">
        <v>86</v>
      </c>
      <c r="B84">
        <v>86</v>
      </c>
      <c r="C84">
        <v>1</v>
      </c>
    </row>
    <row r="85" spans="1:3" x14ac:dyDescent="0.25">
      <c r="A85">
        <v>87</v>
      </c>
      <c r="B85">
        <v>87</v>
      </c>
      <c r="C85">
        <v>1</v>
      </c>
    </row>
    <row r="86" spans="1:3" x14ac:dyDescent="0.25">
      <c r="A86">
        <v>88</v>
      </c>
      <c r="B86">
        <v>88</v>
      </c>
      <c r="C86">
        <v>1</v>
      </c>
    </row>
    <row r="87" spans="1:3" x14ac:dyDescent="0.25">
      <c r="A87">
        <v>89</v>
      </c>
      <c r="B87">
        <v>89</v>
      </c>
      <c r="C87">
        <v>1</v>
      </c>
    </row>
    <row r="88" spans="1:3" x14ac:dyDescent="0.25">
      <c r="A88">
        <v>90</v>
      </c>
      <c r="B88">
        <v>90</v>
      </c>
      <c r="C88">
        <v>0.99999998000000001</v>
      </c>
    </row>
    <row r="89" spans="1:3" x14ac:dyDescent="0.25">
      <c r="A89">
        <v>91</v>
      </c>
      <c r="B89">
        <v>91</v>
      </c>
      <c r="C89">
        <v>1</v>
      </c>
    </row>
    <row r="90" spans="1:3" x14ac:dyDescent="0.25">
      <c r="A90">
        <v>92</v>
      </c>
      <c r="B90">
        <v>92</v>
      </c>
      <c r="C90">
        <v>0.99999999000000006</v>
      </c>
    </row>
    <row r="91" spans="1:3" x14ac:dyDescent="0.25">
      <c r="A91">
        <v>93</v>
      </c>
      <c r="B91">
        <v>92</v>
      </c>
      <c r="C91">
        <v>1</v>
      </c>
    </row>
    <row r="92" spans="1:3" x14ac:dyDescent="0.25">
      <c r="A92">
        <v>94</v>
      </c>
      <c r="B92">
        <v>94</v>
      </c>
      <c r="C92">
        <v>1</v>
      </c>
    </row>
    <row r="93" spans="1:3" x14ac:dyDescent="0.25">
      <c r="A93">
        <v>95</v>
      </c>
      <c r="B93">
        <v>95</v>
      </c>
      <c r="C93">
        <v>1</v>
      </c>
    </row>
    <row r="94" spans="1:3" x14ac:dyDescent="0.25">
      <c r="A94">
        <v>96</v>
      </c>
      <c r="B94">
        <v>82</v>
      </c>
      <c r="C94">
        <v>1</v>
      </c>
    </row>
    <row r="95" spans="1:3" x14ac:dyDescent="0.25">
      <c r="A95">
        <v>97</v>
      </c>
      <c r="B95">
        <v>82</v>
      </c>
      <c r="C95">
        <v>1</v>
      </c>
    </row>
    <row r="96" spans="1:3" x14ac:dyDescent="0.25">
      <c r="A96">
        <v>98</v>
      </c>
      <c r="B96">
        <v>92</v>
      </c>
      <c r="C96">
        <v>1</v>
      </c>
    </row>
    <row r="97" spans="1:3" x14ac:dyDescent="0.25">
      <c r="A97">
        <v>99</v>
      </c>
      <c r="B97">
        <v>92</v>
      </c>
      <c r="C97">
        <v>1</v>
      </c>
    </row>
    <row r="98" spans="1:3" x14ac:dyDescent="0.25">
      <c r="A98">
        <v>100</v>
      </c>
      <c r="B98">
        <v>100</v>
      </c>
      <c r="C98">
        <v>1</v>
      </c>
    </row>
    <row r="99" spans="1:3" x14ac:dyDescent="0.25">
      <c r="A99">
        <v>101</v>
      </c>
      <c r="B99">
        <v>100</v>
      </c>
      <c r="C99">
        <v>0.99999999000000006</v>
      </c>
    </row>
    <row r="100" spans="1:3" x14ac:dyDescent="0.25">
      <c r="A100">
        <v>102</v>
      </c>
      <c r="B100">
        <v>100</v>
      </c>
      <c r="C100">
        <v>0.99999995999999991</v>
      </c>
    </row>
    <row r="101" spans="1:3" x14ac:dyDescent="0.25">
      <c r="A101">
        <v>103</v>
      </c>
      <c r="B101">
        <v>103</v>
      </c>
      <c r="C101">
        <v>1</v>
      </c>
    </row>
    <row r="102" spans="1:3" x14ac:dyDescent="0.25">
      <c r="A102">
        <v>104</v>
      </c>
      <c r="B102">
        <v>104</v>
      </c>
      <c r="C102">
        <v>0.99999996999999996</v>
      </c>
    </row>
    <row r="103" spans="1:3" x14ac:dyDescent="0.25">
      <c r="A103">
        <v>105</v>
      </c>
      <c r="B103">
        <v>104</v>
      </c>
      <c r="C103">
        <v>0.99999999000000006</v>
      </c>
    </row>
    <row r="104" spans="1:3" x14ac:dyDescent="0.25">
      <c r="A104">
        <v>106</v>
      </c>
      <c r="B104">
        <v>104</v>
      </c>
      <c r="C104">
        <v>1</v>
      </c>
    </row>
    <row r="105" spans="1:3" x14ac:dyDescent="0.25">
      <c r="A105">
        <v>107</v>
      </c>
      <c r="B105">
        <v>107</v>
      </c>
      <c r="C105">
        <v>1</v>
      </c>
    </row>
    <row r="106" spans="1:3" x14ac:dyDescent="0.25">
      <c r="A106">
        <v>108</v>
      </c>
      <c r="B106">
        <v>107</v>
      </c>
      <c r="C106">
        <v>0.99999983000000003</v>
      </c>
    </row>
    <row r="107" spans="1:3" x14ac:dyDescent="0.25">
      <c r="A107">
        <v>109</v>
      </c>
      <c r="B107">
        <v>107</v>
      </c>
      <c r="C107">
        <v>1</v>
      </c>
    </row>
    <row r="108" spans="1:3" x14ac:dyDescent="0.25">
      <c r="A108">
        <v>110</v>
      </c>
      <c r="B108">
        <v>110</v>
      </c>
      <c r="C108">
        <v>0.99999988000000006</v>
      </c>
    </row>
    <row r="109" spans="1:3" x14ac:dyDescent="0.25">
      <c r="A109">
        <v>111</v>
      </c>
      <c r="B109">
        <v>111</v>
      </c>
      <c r="C109">
        <v>1</v>
      </c>
    </row>
    <row r="110" spans="1:3" x14ac:dyDescent="0.25">
      <c r="A110">
        <v>112</v>
      </c>
      <c r="B110">
        <v>112</v>
      </c>
      <c r="C110">
        <v>1</v>
      </c>
    </row>
    <row r="111" spans="1:3" x14ac:dyDescent="0.25">
      <c r="A111">
        <v>113</v>
      </c>
      <c r="B111">
        <v>112</v>
      </c>
      <c r="C111">
        <v>1</v>
      </c>
    </row>
    <row r="112" spans="1:3" x14ac:dyDescent="0.25">
      <c r="A112">
        <v>114</v>
      </c>
      <c r="B112">
        <v>114</v>
      </c>
      <c r="C112">
        <v>0.99999989</v>
      </c>
    </row>
    <row r="113" spans="1:3" x14ac:dyDescent="0.25">
      <c r="A113">
        <v>115</v>
      </c>
      <c r="B113">
        <v>114</v>
      </c>
      <c r="C113">
        <v>1</v>
      </c>
    </row>
    <row r="114" spans="1:3" x14ac:dyDescent="0.25">
      <c r="A114">
        <v>116</v>
      </c>
      <c r="B114">
        <v>116</v>
      </c>
      <c r="C114">
        <v>1</v>
      </c>
    </row>
    <row r="115" spans="1:3" x14ac:dyDescent="0.25">
      <c r="A115">
        <v>116</v>
      </c>
      <c r="B115">
        <v>117</v>
      </c>
      <c r="C115">
        <v>1.3701399999999999E-3</v>
      </c>
    </row>
    <row r="116" spans="1:3" x14ac:dyDescent="0.25">
      <c r="A116">
        <v>117</v>
      </c>
      <c r="B116">
        <v>116</v>
      </c>
      <c r="C116">
        <v>1.8033699999999999E-3</v>
      </c>
    </row>
    <row r="117" spans="1:3" x14ac:dyDescent="0.25">
      <c r="A117">
        <v>117</v>
      </c>
      <c r="B117">
        <v>117</v>
      </c>
      <c r="C117">
        <v>1</v>
      </c>
    </row>
    <row r="118" spans="1:3" x14ac:dyDescent="0.25">
      <c r="A118">
        <v>118</v>
      </c>
      <c r="B118">
        <v>118</v>
      </c>
      <c r="C118">
        <v>0.99999996999999996</v>
      </c>
    </row>
    <row r="119" spans="1:3" x14ac:dyDescent="0.25">
      <c r="A119">
        <v>119</v>
      </c>
      <c r="B119">
        <v>118</v>
      </c>
      <c r="C119">
        <v>1</v>
      </c>
    </row>
    <row r="120" spans="1:3" x14ac:dyDescent="0.25">
      <c r="A120">
        <v>120</v>
      </c>
      <c r="B120">
        <v>120</v>
      </c>
      <c r="C120">
        <v>1</v>
      </c>
    </row>
    <row r="121" spans="1:3" x14ac:dyDescent="0.25">
      <c r="A121">
        <v>121</v>
      </c>
      <c r="B121">
        <v>120</v>
      </c>
      <c r="C121">
        <v>1</v>
      </c>
    </row>
    <row r="122" spans="1:3" x14ac:dyDescent="0.25">
      <c r="A122">
        <v>122</v>
      </c>
      <c r="B122">
        <v>43</v>
      </c>
      <c r="C122">
        <v>3.8720000000000002E-5</v>
      </c>
    </row>
    <row r="123" spans="1:3" x14ac:dyDescent="0.25">
      <c r="A123">
        <v>122</v>
      </c>
      <c r="B123">
        <v>120</v>
      </c>
      <c r="C123">
        <v>0.99999999000000006</v>
      </c>
    </row>
    <row r="124" spans="1:3" x14ac:dyDescent="0.25">
      <c r="A124">
        <v>123</v>
      </c>
      <c r="B124">
        <v>120</v>
      </c>
      <c r="C124">
        <v>1</v>
      </c>
    </row>
    <row r="125" spans="1:3" x14ac:dyDescent="0.25">
      <c r="A125">
        <v>124</v>
      </c>
      <c r="B125">
        <v>43</v>
      </c>
      <c r="C125">
        <v>1.433E-5</v>
      </c>
    </row>
    <row r="126" spans="1:3" x14ac:dyDescent="0.25">
      <c r="A126">
        <v>124</v>
      </c>
      <c r="B126">
        <v>124</v>
      </c>
      <c r="C126">
        <v>1</v>
      </c>
    </row>
    <row r="127" spans="1:3" x14ac:dyDescent="0.25">
      <c r="A127">
        <v>125</v>
      </c>
      <c r="B127">
        <v>125</v>
      </c>
      <c r="C127">
        <v>1</v>
      </c>
    </row>
    <row r="128" spans="1:3" x14ac:dyDescent="0.25">
      <c r="A128">
        <v>126</v>
      </c>
      <c r="B128">
        <v>126</v>
      </c>
      <c r="C128">
        <v>1</v>
      </c>
    </row>
    <row r="129" spans="1:3" x14ac:dyDescent="0.25">
      <c r="A129">
        <v>127</v>
      </c>
      <c r="B129">
        <v>118</v>
      </c>
      <c r="C129">
        <v>0.99999999000000006</v>
      </c>
    </row>
    <row r="130" spans="1:3" x14ac:dyDescent="0.25">
      <c r="A130">
        <v>128</v>
      </c>
      <c r="B130">
        <v>128</v>
      </c>
      <c r="C130">
        <v>0.99999998000000001</v>
      </c>
    </row>
    <row r="131" spans="1:3" x14ac:dyDescent="0.25">
      <c r="A131">
        <v>129</v>
      </c>
      <c r="B131">
        <v>129</v>
      </c>
      <c r="C131">
        <v>1</v>
      </c>
    </row>
    <row r="132" spans="1:3" x14ac:dyDescent="0.25">
      <c r="A132">
        <v>130</v>
      </c>
      <c r="B132">
        <v>130</v>
      </c>
      <c r="C132">
        <v>1</v>
      </c>
    </row>
    <row r="133" spans="1:3" x14ac:dyDescent="0.25">
      <c r="A133">
        <v>131</v>
      </c>
      <c r="B133">
        <v>131</v>
      </c>
      <c r="C133">
        <v>1</v>
      </c>
    </row>
    <row r="134" spans="1:3" x14ac:dyDescent="0.25">
      <c r="A134">
        <v>132</v>
      </c>
      <c r="B134">
        <v>132</v>
      </c>
      <c r="C134">
        <v>1</v>
      </c>
    </row>
    <row r="135" spans="1:3" x14ac:dyDescent="0.25">
      <c r="A135">
        <v>133</v>
      </c>
      <c r="B135">
        <v>133</v>
      </c>
      <c r="C135">
        <v>1</v>
      </c>
    </row>
    <row r="136" spans="1:3" x14ac:dyDescent="0.25">
      <c r="A136">
        <v>134</v>
      </c>
      <c r="B136">
        <v>134</v>
      </c>
      <c r="C136">
        <v>1</v>
      </c>
    </row>
    <row r="137" spans="1:3" x14ac:dyDescent="0.25">
      <c r="A137">
        <v>134</v>
      </c>
      <c r="B137">
        <v>136</v>
      </c>
      <c r="C137">
        <v>2.4278E-4</v>
      </c>
    </row>
    <row r="138" spans="1:3" x14ac:dyDescent="0.25">
      <c r="A138">
        <v>134</v>
      </c>
      <c r="B138">
        <v>137</v>
      </c>
      <c r="C138">
        <v>3.1064999999999999E-4</v>
      </c>
    </row>
    <row r="139" spans="1:3" x14ac:dyDescent="0.25">
      <c r="A139">
        <v>135</v>
      </c>
      <c r="B139">
        <v>135</v>
      </c>
      <c r="C139">
        <v>1</v>
      </c>
    </row>
    <row r="140" spans="1:3" x14ac:dyDescent="0.25">
      <c r="A140">
        <v>136</v>
      </c>
      <c r="B140">
        <v>134</v>
      </c>
      <c r="C140">
        <v>2.0104000000000001E-4</v>
      </c>
    </row>
    <row r="141" spans="1:3" x14ac:dyDescent="0.25">
      <c r="A141">
        <v>136</v>
      </c>
      <c r="B141">
        <v>136</v>
      </c>
      <c r="C141">
        <v>0.99999994999999997</v>
      </c>
    </row>
    <row r="142" spans="1:3" x14ac:dyDescent="0.25">
      <c r="A142">
        <v>136</v>
      </c>
      <c r="B142">
        <v>137</v>
      </c>
      <c r="C142">
        <v>3.9163000000000002E-4</v>
      </c>
    </row>
    <row r="143" spans="1:3" x14ac:dyDescent="0.25">
      <c r="A143">
        <v>137</v>
      </c>
      <c r="B143">
        <v>134</v>
      </c>
      <c r="C143">
        <v>1.6061E-4</v>
      </c>
    </row>
    <row r="144" spans="1:3" x14ac:dyDescent="0.25">
      <c r="A144">
        <v>137</v>
      </c>
      <c r="B144">
        <v>136</v>
      </c>
      <c r="C144">
        <v>2.4451000000000003E-4</v>
      </c>
    </row>
    <row r="145" spans="1:3" x14ac:dyDescent="0.25">
      <c r="A145">
        <v>137</v>
      </c>
      <c r="B145">
        <v>137</v>
      </c>
      <c r="C145">
        <v>1</v>
      </c>
    </row>
    <row r="146" spans="1:3" x14ac:dyDescent="0.25">
      <c r="A146">
        <v>138</v>
      </c>
      <c r="B146">
        <v>138</v>
      </c>
      <c r="C146">
        <v>1</v>
      </c>
    </row>
    <row r="147" spans="1:3" x14ac:dyDescent="0.25">
      <c r="A147">
        <v>139</v>
      </c>
      <c r="B147">
        <v>139</v>
      </c>
      <c r="C147">
        <v>1</v>
      </c>
    </row>
    <row r="148" spans="1:3" x14ac:dyDescent="0.25">
      <c r="A148">
        <v>140</v>
      </c>
      <c r="B148">
        <v>140</v>
      </c>
      <c r="C148">
        <v>1</v>
      </c>
    </row>
    <row r="149" spans="1:3" x14ac:dyDescent="0.25">
      <c r="A149">
        <v>141</v>
      </c>
      <c r="B149">
        <v>141</v>
      </c>
      <c r="C149">
        <v>0.99999999000000006</v>
      </c>
    </row>
    <row r="150" spans="1:3" x14ac:dyDescent="0.25">
      <c r="A150">
        <v>142</v>
      </c>
      <c r="B150">
        <v>141</v>
      </c>
      <c r="C150">
        <v>1</v>
      </c>
    </row>
    <row r="151" spans="1:3" x14ac:dyDescent="0.25">
      <c r="A151">
        <v>143</v>
      </c>
      <c r="B151">
        <v>143</v>
      </c>
      <c r="C151">
        <v>1</v>
      </c>
    </row>
    <row r="152" spans="1:3" x14ac:dyDescent="0.25">
      <c r="A152">
        <v>144</v>
      </c>
      <c r="B152">
        <v>144</v>
      </c>
      <c r="C152">
        <v>1</v>
      </c>
    </row>
    <row r="153" spans="1:3" x14ac:dyDescent="0.25">
      <c r="A153">
        <v>145</v>
      </c>
      <c r="B153">
        <v>141</v>
      </c>
      <c r="C153">
        <v>1</v>
      </c>
    </row>
    <row r="154" spans="1:3" x14ac:dyDescent="0.25">
      <c r="A154">
        <v>146</v>
      </c>
      <c r="B154">
        <v>146</v>
      </c>
      <c r="C154">
        <v>1</v>
      </c>
    </row>
    <row r="155" spans="1:3" x14ac:dyDescent="0.25">
      <c r="A155">
        <v>147</v>
      </c>
      <c r="B155">
        <v>147</v>
      </c>
      <c r="C155">
        <v>1</v>
      </c>
    </row>
    <row r="156" spans="1:3" x14ac:dyDescent="0.25">
      <c r="A156">
        <v>148</v>
      </c>
      <c r="B156">
        <v>148</v>
      </c>
      <c r="C156">
        <v>1</v>
      </c>
    </row>
    <row r="157" spans="1:3" x14ac:dyDescent="0.25">
      <c r="A157">
        <v>149</v>
      </c>
      <c r="B157">
        <v>149</v>
      </c>
      <c r="C157">
        <v>1</v>
      </c>
    </row>
    <row r="158" spans="1:3" x14ac:dyDescent="0.25">
      <c r="A158">
        <v>150</v>
      </c>
      <c r="B158">
        <v>150</v>
      </c>
      <c r="C158">
        <v>0.99999999000000006</v>
      </c>
    </row>
    <row r="159" spans="1:3" x14ac:dyDescent="0.25">
      <c r="A159">
        <v>151</v>
      </c>
      <c r="B159">
        <v>151</v>
      </c>
      <c r="C159">
        <v>1</v>
      </c>
    </row>
    <row r="160" spans="1:3" x14ac:dyDescent="0.25">
      <c r="A160">
        <v>152</v>
      </c>
      <c r="B160">
        <v>152</v>
      </c>
      <c r="C160">
        <v>1</v>
      </c>
    </row>
    <row r="161" spans="1:3" x14ac:dyDescent="0.25">
      <c r="A161">
        <v>153</v>
      </c>
      <c r="B161">
        <v>153</v>
      </c>
      <c r="C161">
        <v>1</v>
      </c>
    </row>
    <row r="162" spans="1:3" x14ac:dyDescent="0.25">
      <c r="A162">
        <v>154</v>
      </c>
      <c r="B162">
        <v>154</v>
      </c>
      <c r="C162">
        <v>1</v>
      </c>
    </row>
    <row r="163" spans="1:3" x14ac:dyDescent="0.25">
      <c r="A163">
        <v>155</v>
      </c>
      <c r="B163">
        <v>155</v>
      </c>
      <c r="C163">
        <v>1</v>
      </c>
    </row>
    <row r="164" spans="1:3" x14ac:dyDescent="0.25">
      <c r="A164">
        <v>156</v>
      </c>
      <c r="B164">
        <v>156</v>
      </c>
      <c r="C164">
        <v>1</v>
      </c>
    </row>
    <row r="165" spans="1:3" x14ac:dyDescent="0.25">
      <c r="A165">
        <v>157</v>
      </c>
      <c r="B165">
        <v>156</v>
      </c>
      <c r="C165">
        <v>1</v>
      </c>
    </row>
    <row r="166" spans="1:3" x14ac:dyDescent="0.25">
      <c r="A166">
        <v>158</v>
      </c>
      <c r="B166">
        <v>158</v>
      </c>
      <c r="C166">
        <v>1</v>
      </c>
    </row>
    <row r="167" spans="1:3" x14ac:dyDescent="0.25">
      <c r="A167">
        <v>159</v>
      </c>
      <c r="B167">
        <v>158</v>
      </c>
      <c r="C167">
        <v>1</v>
      </c>
    </row>
    <row r="168" spans="1:3" x14ac:dyDescent="0.25">
      <c r="A168">
        <v>160</v>
      </c>
      <c r="B168">
        <v>158</v>
      </c>
      <c r="C168">
        <v>1</v>
      </c>
    </row>
    <row r="169" spans="1:3" x14ac:dyDescent="0.25">
      <c r="A169">
        <v>161</v>
      </c>
      <c r="B169">
        <v>158</v>
      </c>
      <c r="C169">
        <v>1</v>
      </c>
    </row>
    <row r="170" spans="1:3" x14ac:dyDescent="0.25">
      <c r="A170">
        <v>162</v>
      </c>
      <c r="B170">
        <v>162</v>
      </c>
      <c r="C170">
        <v>1</v>
      </c>
    </row>
    <row r="171" spans="1:3" x14ac:dyDescent="0.25">
      <c r="A171">
        <v>163</v>
      </c>
      <c r="B171">
        <v>162</v>
      </c>
      <c r="C171">
        <v>1</v>
      </c>
    </row>
    <row r="172" spans="1:3" x14ac:dyDescent="0.25">
      <c r="A172">
        <v>164</v>
      </c>
      <c r="B172">
        <v>164</v>
      </c>
      <c r="C172">
        <v>1</v>
      </c>
    </row>
    <row r="173" spans="1:3" x14ac:dyDescent="0.25">
      <c r="A173">
        <v>165</v>
      </c>
      <c r="B173">
        <v>164</v>
      </c>
      <c r="C173">
        <v>1</v>
      </c>
    </row>
    <row r="174" spans="1:3" x14ac:dyDescent="0.25">
      <c r="A174">
        <v>166</v>
      </c>
      <c r="B174">
        <v>164</v>
      </c>
      <c r="C174">
        <v>1</v>
      </c>
    </row>
    <row r="175" spans="1:3" x14ac:dyDescent="0.25">
      <c r="A175">
        <v>167</v>
      </c>
      <c r="B175">
        <v>164</v>
      </c>
      <c r="C175">
        <v>1</v>
      </c>
    </row>
    <row r="176" spans="1:3" x14ac:dyDescent="0.25">
      <c r="A176">
        <v>168</v>
      </c>
      <c r="B176">
        <v>168</v>
      </c>
      <c r="C176">
        <v>1</v>
      </c>
    </row>
    <row r="177" spans="1:3" x14ac:dyDescent="0.25">
      <c r="A177">
        <v>169</v>
      </c>
      <c r="B177">
        <v>169</v>
      </c>
      <c r="C177">
        <v>1</v>
      </c>
    </row>
    <row r="178" spans="1:3" x14ac:dyDescent="0.25">
      <c r="A178">
        <v>170</v>
      </c>
      <c r="B178">
        <v>170</v>
      </c>
      <c r="C178">
        <v>1</v>
      </c>
    </row>
    <row r="179" spans="1:3" x14ac:dyDescent="0.25">
      <c r="A179">
        <v>171</v>
      </c>
      <c r="B179">
        <v>171</v>
      </c>
      <c r="C179">
        <v>1</v>
      </c>
    </row>
    <row r="180" spans="1:3" x14ac:dyDescent="0.25">
      <c r="A180">
        <v>172</v>
      </c>
      <c r="B180">
        <v>172</v>
      </c>
      <c r="C180">
        <v>1</v>
      </c>
    </row>
    <row r="181" spans="1:3" x14ac:dyDescent="0.25">
      <c r="A181">
        <v>173</v>
      </c>
      <c r="B181">
        <v>173</v>
      </c>
      <c r="C181">
        <v>1</v>
      </c>
    </row>
    <row r="182" spans="1:3" x14ac:dyDescent="0.25">
      <c r="A182">
        <v>174</v>
      </c>
      <c r="B182">
        <v>173</v>
      </c>
      <c r="C182">
        <v>1</v>
      </c>
    </row>
    <row r="183" spans="1:3" x14ac:dyDescent="0.25">
      <c r="A183">
        <v>175</v>
      </c>
      <c r="B183">
        <v>173</v>
      </c>
      <c r="C183">
        <v>1</v>
      </c>
    </row>
    <row r="184" spans="1:3" x14ac:dyDescent="0.25">
      <c r="A184">
        <v>176</v>
      </c>
      <c r="B184">
        <v>173</v>
      </c>
      <c r="C184">
        <v>1</v>
      </c>
    </row>
    <row r="185" spans="1:3" x14ac:dyDescent="0.25">
      <c r="A185">
        <v>177</v>
      </c>
      <c r="B185">
        <v>173</v>
      </c>
      <c r="C185">
        <v>1</v>
      </c>
    </row>
    <row r="186" spans="1:3" x14ac:dyDescent="0.25">
      <c r="A186">
        <v>178</v>
      </c>
      <c r="B186">
        <v>173</v>
      </c>
      <c r="C186">
        <v>1</v>
      </c>
    </row>
    <row r="187" spans="1:3" x14ac:dyDescent="0.25">
      <c r="A187">
        <v>179</v>
      </c>
      <c r="B187">
        <v>173</v>
      </c>
      <c r="C187">
        <v>1</v>
      </c>
    </row>
    <row r="188" spans="1:3" x14ac:dyDescent="0.25">
      <c r="A188">
        <v>180</v>
      </c>
      <c r="B188">
        <v>180</v>
      </c>
      <c r="C188">
        <v>1</v>
      </c>
    </row>
    <row r="189" spans="1:3" x14ac:dyDescent="0.25">
      <c r="A189">
        <v>181</v>
      </c>
      <c r="B189">
        <v>180</v>
      </c>
      <c r="C189">
        <v>1</v>
      </c>
    </row>
    <row r="190" spans="1:3" x14ac:dyDescent="0.25">
      <c r="A190">
        <v>182</v>
      </c>
      <c r="B190">
        <v>180</v>
      </c>
      <c r="C190">
        <v>1</v>
      </c>
    </row>
    <row r="191" spans="1:3" x14ac:dyDescent="0.25">
      <c r="A191">
        <v>183</v>
      </c>
      <c r="B191">
        <v>180</v>
      </c>
      <c r="C191">
        <v>1</v>
      </c>
    </row>
    <row r="192" spans="1:3" x14ac:dyDescent="0.25">
      <c r="A192">
        <v>184</v>
      </c>
      <c r="B192">
        <v>180</v>
      </c>
      <c r="C192">
        <v>1</v>
      </c>
    </row>
    <row r="193" spans="1:3" x14ac:dyDescent="0.25">
      <c r="A193">
        <v>185</v>
      </c>
      <c r="B193">
        <v>185</v>
      </c>
      <c r="C193">
        <v>1</v>
      </c>
    </row>
    <row r="194" spans="1:3" x14ac:dyDescent="0.25">
      <c r="A194">
        <v>186</v>
      </c>
      <c r="B194">
        <v>186</v>
      </c>
      <c r="C194">
        <v>1</v>
      </c>
    </row>
    <row r="195" spans="1:3" x14ac:dyDescent="0.25">
      <c r="A195">
        <v>187</v>
      </c>
      <c r="B195">
        <v>180</v>
      </c>
      <c r="C195">
        <v>0.99999999000000006</v>
      </c>
    </row>
    <row r="196" spans="1:3" x14ac:dyDescent="0.25">
      <c r="A196">
        <v>188</v>
      </c>
      <c r="B196">
        <v>180</v>
      </c>
      <c r="C196">
        <v>1</v>
      </c>
    </row>
    <row r="197" spans="1:3" x14ac:dyDescent="0.25">
      <c r="A197">
        <v>189</v>
      </c>
      <c r="B197">
        <v>189</v>
      </c>
      <c r="C197">
        <v>1</v>
      </c>
    </row>
    <row r="198" spans="1:3" x14ac:dyDescent="0.25">
      <c r="A198">
        <v>190</v>
      </c>
      <c r="B198">
        <v>189</v>
      </c>
      <c r="C198">
        <v>1</v>
      </c>
    </row>
    <row r="199" spans="1:3" x14ac:dyDescent="0.25">
      <c r="A199">
        <v>191</v>
      </c>
      <c r="B199">
        <v>189</v>
      </c>
      <c r="C199">
        <v>1</v>
      </c>
    </row>
    <row r="200" spans="1:3" x14ac:dyDescent="0.25">
      <c r="A200">
        <v>192</v>
      </c>
      <c r="B200">
        <v>189</v>
      </c>
      <c r="C200">
        <v>1</v>
      </c>
    </row>
    <row r="201" spans="1:3" x14ac:dyDescent="0.25">
      <c r="A201">
        <v>193</v>
      </c>
      <c r="B201">
        <v>193</v>
      </c>
      <c r="C201">
        <v>1</v>
      </c>
    </row>
    <row r="202" spans="1:3" x14ac:dyDescent="0.25">
      <c r="A202">
        <v>194</v>
      </c>
      <c r="B202">
        <v>194</v>
      </c>
      <c r="C202">
        <v>1</v>
      </c>
    </row>
    <row r="203" spans="1:3" x14ac:dyDescent="0.25">
      <c r="A203">
        <v>195</v>
      </c>
      <c r="B203">
        <v>194</v>
      </c>
      <c r="C203">
        <v>1</v>
      </c>
    </row>
    <row r="204" spans="1:3" x14ac:dyDescent="0.25">
      <c r="A204">
        <v>196</v>
      </c>
      <c r="B204">
        <v>196</v>
      </c>
      <c r="C204">
        <v>1</v>
      </c>
    </row>
    <row r="205" spans="1:3" x14ac:dyDescent="0.25">
      <c r="A205">
        <v>197</v>
      </c>
      <c r="B205">
        <v>196</v>
      </c>
      <c r="C205">
        <v>1</v>
      </c>
    </row>
    <row r="206" spans="1:3" x14ac:dyDescent="0.25">
      <c r="A206">
        <v>198</v>
      </c>
      <c r="B206">
        <v>196</v>
      </c>
      <c r="C206">
        <v>1</v>
      </c>
    </row>
    <row r="207" spans="1:3" x14ac:dyDescent="0.25">
      <c r="A207">
        <v>199</v>
      </c>
      <c r="B207">
        <v>196</v>
      </c>
      <c r="C207">
        <v>1</v>
      </c>
    </row>
    <row r="208" spans="1:3" x14ac:dyDescent="0.25">
      <c r="A208">
        <v>200</v>
      </c>
      <c r="B208">
        <v>200</v>
      </c>
      <c r="C208">
        <v>0.99999994000000003</v>
      </c>
    </row>
    <row r="209" spans="1:3" x14ac:dyDescent="0.25">
      <c r="A209">
        <v>201</v>
      </c>
      <c r="B209">
        <v>196</v>
      </c>
      <c r="C209">
        <v>1</v>
      </c>
    </row>
    <row r="210" spans="1:3" x14ac:dyDescent="0.25">
      <c r="A210">
        <v>202</v>
      </c>
      <c r="B210">
        <v>196</v>
      </c>
      <c r="C210">
        <v>1</v>
      </c>
    </row>
    <row r="211" spans="1:3" x14ac:dyDescent="0.25">
      <c r="A211">
        <v>203</v>
      </c>
      <c r="B211">
        <v>196</v>
      </c>
      <c r="C211">
        <v>1</v>
      </c>
    </row>
    <row r="212" spans="1:3" x14ac:dyDescent="0.25">
      <c r="A212">
        <v>204</v>
      </c>
      <c r="B212">
        <v>204</v>
      </c>
      <c r="C212">
        <v>1</v>
      </c>
    </row>
    <row r="213" spans="1:3" x14ac:dyDescent="0.25">
      <c r="A213">
        <v>205</v>
      </c>
      <c r="B213">
        <v>205</v>
      </c>
      <c r="C213">
        <v>1</v>
      </c>
    </row>
    <row r="214" spans="1:3" x14ac:dyDescent="0.25">
      <c r="A214">
        <v>206</v>
      </c>
      <c r="B214">
        <v>206</v>
      </c>
      <c r="C214">
        <v>1</v>
      </c>
    </row>
    <row r="215" spans="1:3" x14ac:dyDescent="0.25">
      <c r="A215">
        <v>207</v>
      </c>
      <c r="B215">
        <v>207</v>
      </c>
      <c r="C215">
        <v>0.99999999000000006</v>
      </c>
    </row>
    <row r="216" spans="1:3" x14ac:dyDescent="0.25">
      <c r="A216">
        <v>208</v>
      </c>
      <c r="B216">
        <v>207</v>
      </c>
      <c r="C216">
        <v>1</v>
      </c>
    </row>
    <row r="217" spans="1:3" x14ac:dyDescent="0.25">
      <c r="A217">
        <v>209</v>
      </c>
      <c r="B217">
        <v>207</v>
      </c>
      <c r="C217">
        <v>1</v>
      </c>
    </row>
    <row r="218" spans="1:3" x14ac:dyDescent="0.25">
      <c r="A218">
        <v>210</v>
      </c>
      <c r="B218">
        <v>207</v>
      </c>
      <c r="C218">
        <v>1</v>
      </c>
    </row>
    <row r="219" spans="1:3" x14ac:dyDescent="0.25">
      <c r="A219">
        <v>211</v>
      </c>
      <c r="B219">
        <v>211</v>
      </c>
      <c r="C219">
        <v>1</v>
      </c>
    </row>
    <row r="220" spans="1:3" x14ac:dyDescent="0.25">
      <c r="A220">
        <v>212</v>
      </c>
      <c r="B220">
        <v>212</v>
      </c>
      <c r="C220">
        <v>1</v>
      </c>
    </row>
    <row r="221" spans="1:3" x14ac:dyDescent="0.25">
      <c r="A221">
        <v>213</v>
      </c>
      <c r="B221">
        <v>213</v>
      </c>
      <c r="C221">
        <v>1</v>
      </c>
    </row>
    <row r="222" spans="1:3" x14ac:dyDescent="0.25">
      <c r="A222">
        <v>214</v>
      </c>
      <c r="B222">
        <v>214</v>
      </c>
      <c r="C222">
        <v>1</v>
      </c>
    </row>
    <row r="223" spans="1:3" x14ac:dyDescent="0.25">
      <c r="A223">
        <v>215</v>
      </c>
      <c r="B223">
        <v>214</v>
      </c>
      <c r="C223">
        <v>1</v>
      </c>
    </row>
    <row r="224" spans="1:3" x14ac:dyDescent="0.25">
      <c r="A224">
        <v>216</v>
      </c>
      <c r="B224">
        <v>214</v>
      </c>
      <c r="C224">
        <v>1</v>
      </c>
    </row>
    <row r="225" spans="1:3" x14ac:dyDescent="0.25">
      <c r="A225">
        <v>217</v>
      </c>
      <c r="B225">
        <v>214</v>
      </c>
      <c r="C225">
        <v>1</v>
      </c>
    </row>
    <row r="226" spans="1:3" x14ac:dyDescent="0.25">
      <c r="A226">
        <v>218</v>
      </c>
      <c r="B226">
        <v>214</v>
      </c>
      <c r="C226">
        <v>0.99999999000000006</v>
      </c>
    </row>
    <row r="227" spans="1:3" x14ac:dyDescent="0.25">
      <c r="A227">
        <v>219</v>
      </c>
      <c r="B227">
        <v>214</v>
      </c>
      <c r="C227">
        <v>1</v>
      </c>
    </row>
    <row r="228" spans="1:3" x14ac:dyDescent="0.25">
      <c r="A228">
        <v>220</v>
      </c>
      <c r="B228">
        <v>220</v>
      </c>
      <c r="C228">
        <v>1</v>
      </c>
    </row>
    <row r="229" spans="1:3" x14ac:dyDescent="0.25">
      <c r="A229">
        <v>221</v>
      </c>
      <c r="B229">
        <v>221</v>
      </c>
      <c r="C229">
        <v>1</v>
      </c>
    </row>
    <row r="230" spans="1:3" x14ac:dyDescent="0.25">
      <c r="A230">
        <v>222</v>
      </c>
      <c r="B230">
        <v>222</v>
      </c>
      <c r="C230">
        <v>0.99999995999999991</v>
      </c>
    </row>
    <row r="231" spans="1:3" x14ac:dyDescent="0.25">
      <c r="A231">
        <v>223</v>
      </c>
      <c r="B231">
        <v>223</v>
      </c>
      <c r="C231">
        <v>0.99999999000000006</v>
      </c>
    </row>
    <row r="232" spans="1:3" x14ac:dyDescent="0.25">
      <c r="A232">
        <v>224</v>
      </c>
      <c r="B232">
        <v>224</v>
      </c>
      <c r="C232">
        <v>1</v>
      </c>
    </row>
    <row r="233" spans="1:3" x14ac:dyDescent="0.25">
      <c r="A233">
        <v>225</v>
      </c>
      <c r="B233">
        <v>225</v>
      </c>
      <c r="C233">
        <v>1</v>
      </c>
    </row>
    <row r="234" spans="1:3" x14ac:dyDescent="0.25">
      <c r="A234">
        <v>226</v>
      </c>
      <c r="B234">
        <v>43</v>
      </c>
      <c r="C234">
        <v>9.0140000000000001E-5</v>
      </c>
    </row>
    <row r="235" spans="1:3" x14ac:dyDescent="0.25">
      <c r="A235">
        <v>226</v>
      </c>
      <c r="B235">
        <v>226</v>
      </c>
      <c r="C235">
        <v>0.99999999000000006</v>
      </c>
    </row>
    <row r="236" spans="1:3" x14ac:dyDescent="0.25">
      <c r="A236">
        <v>227</v>
      </c>
      <c r="B236">
        <v>43</v>
      </c>
      <c r="C236">
        <v>1.2404000000000001E-4</v>
      </c>
    </row>
    <row r="237" spans="1:3" x14ac:dyDescent="0.25">
      <c r="A237">
        <v>227</v>
      </c>
      <c r="B237">
        <v>227</v>
      </c>
      <c r="C237">
        <v>1</v>
      </c>
    </row>
    <row r="238" spans="1:3" x14ac:dyDescent="0.25">
      <c r="A238">
        <v>228</v>
      </c>
      <c r="B238">
        <v>227</v>
      </c>
      <c r="C238">
        <v>1</v>
      </c>
    </row>
    <row r="239" spans="1:3" x14ac:dyDescent="0.25">
      <c r="A239">
        <v>229</v>
      </c>
      <c r="B239">
        <v>229</v>
      </c>
      <c r="C239">
        <v>1</v>
      </c>
    </row>
    <row r="240" spans="1:3" x14ac:dyDescent="0.25">
      <c r="A240">
        <v>230</v>
      </c>
      <c r="B240">
        <v>230</v>
      </c>
      <c r="C240">
        <v>0.99999999000000006</v>
      </c>
    </row>
    <row r="241" spans="1:3" x14ac:dyDescent="0.25">
      <c r="A241">
        <v>231</v>
      </c>
      <c r="B241">
        <v>231</v>
      </c>
      <c r="C241">
        <v>1</v>
      </c>
    </row>
    <row r="242" spans="1:3" x14ac:dyDescent="0.25">
      <c r="A242">
        <v>232</v>
      </c>
      <c r="B242">
        <v>232</v>
      </c>
      <c r="C242">
        <v>0.99999999000000006</v>
      </c>
    </row>
    <row r="243" spans="1:3" x14ac:dyDescent="0.25">
      <c r="A243">
        <v>233</v>
      </c>
      <c r="B243">
        <v>233</v>
      </c>
      <c r="C243">
        <v>1</v>
      </c>
    </row>
    <row r="244" spans="1:3" x14ac:dyDescent="0.25">
      <c r="A244">
        <v>234</v>
      </c>
      <c r="B244">
        <v>234</v>
      </c>
      <c r="C244">
        <v>0.99999999000000006</v>
      </c>
    </row>
    <row r="245" spans="1:3" x14ac:dyDescent="0.25">
      <c r="A245">
        <v>235</v>
      </c>
      <c r="B245">
        <v>235</v>
      </c>
      <c r="C245">
        <v>0.99999999000000006</v>
      </c>
    </row>
    <row r="246" spans="1:3" x14ac:dyDescent="0.25">
      <c r="A246">
        <v>236</v>
      </c>
      <c r="B246">
        <v>236</v>
      </c>
      <c r="C246">
        <v>1</v>
      </c>
    </row>
    <row r="247" spans="1:3" x14ac:dyDescent="0.25">
      <c r="A247">
        <v>237</v>
      </c>
      <c r="B247">
        <v>237</v>
      </c>
      <c r="C247">
        <v>1</v>
      </c>
    </row>
    <row r="248" spans="1:3" x14ac:dyDescent="0.25">
      <c r="A248">
        <v>238</v>
      </c>
      <c r="B248">
        <v>238</v>
      </c>
      <c r="C248">
        <v>1</v>
      </c>
    </row>
    <row r="249" spans="1:3" x14ac:dyDescent="0.25">
      <c r="A249">
        <v>239</v>
      </c>
      <c r="B249">
        <v>227</v>
      </c>
      <c r="C249">
        <v>0.99999996999999996</v>
      </c>
    </row>
    <row r="250" spans="1:3" x14ac:dyDescent="0.25">
      <c r="A250">
        <v>240</v>
      </c>
      <c r="B250">
        <v>232</v>
      </c>
      <c r="C250">
        <v>1</v>
      </c>
    </row>
    <row r="251" spans="1:3" x14ac:dyDescent="0.25">
      <c r="A251">
        <v>241</v>
      </c>
      <c r="B251">
        <v>232</v>
      </c>
      <c r="C251">
        <v>0.99999999000000006</v>
      </c>
    </row>
    <row r="252" spans="1:3" x14ac:dyDescent="0.25">
      <c r="A252">
        <v>242</v>
      </c>
      <c r="B252">
        <v>242</v>
      </c>
      <c r="C252">
        <v>1</v>
      </c>
    </row>
    <row r="253" spans="1:3" x14ac:dyDescent="0.25">
      <c r="A253">
        <v>243</v>
      </c>
      <c r="B253">
        <v>243</v>
      </c>
      <c r="C253">
        <v>1</v>
      </c>
    </row>
    <row r="254" spans="1:3" x14ac:dyDescent="0.25">
      <c r="A254">
        <v>244</v>
      </c>
      <c r="B254">
        <v>244</v>
      </c>
      <c r="C254">
        <v>1</v>
      </c>
    </row>
    <row r="255" spans="1:3" x14ac:dyDescent="0.25">
      <c r="A255">
        <v>245</v>
      </c>
      <c r="B255">
        <v>245</v>
      </c>
      <c r="C255">
        <v>1</v>
      </c>
    </row>
    <row r="256" spans="1:3" x14ac:dyDescent="0.25">
      <c r="A256">
        <v>246</v>
      </c>
      <c r="B256">
        <v>246</v>
      </c>
      <c r="C256">
        <v>1</v>
      </c>
    </row>
    <row r="257" spans="1:3" x14ac:dyDescent="0.25">
      <c r="A257">
        <v>247</v>
      </c>
      <c r="B257">
        <v>238</v>
      </c>
      <c r="C257">
        <v>1</v>
      </c>
    </row>
    <row r="258" spans="1:3" x14ac:dyDescent="0.25">
      <c r="A258">
        <v>248</v>
      </c>
      <c r="B258">
        <v>238</v>
      </c>
      <c r="C258">
        <v>1</v>
      </c>
    </row>
    <row r="259" spans="1:3" x14ac:dyDescent="0.25">
      <c r="A259">
        <v>249</v>
      </c>
      <c r="B259">
        <v>249</v>
      </c>
      <c r="C259">
        <v>1</v>
      </c>
    </row>
    <row r="260" spans="1:3" x14ac:dyDescent="0.25">
      <c r="A260">
        <v>250</v>
      </c>
      <c r="B260">
        <v>249</v>
      </c>
      <c r="C260">
        <v>1</v>
      </c>
    </row>
    <row r="261" spans="1:3" x14ac:dyDescent="0.25">
      <c r="A261">
        <v>251</v>
      </c>
      <c r="B261">
        <v>249</v>
      </c>
      <c r="C261">
        <v>1</v>
      </c>
    </row>
    <row r="262" spans="1:3" x14ac:dyDescent="0.25">
      <c r="A262">
        <v>252</v>
      </c>
      <c r="B262">
        <v>246</v>
      </c>
      <c r="C262">
        <v>1</v>
      </c>
    </row>
    <row r="263" spans="1:3" x14ac:dyDescent="0.25">
      <c r="A263">
        <v>253</v>
      </c>
      <c r="B263">
        <v>246</v>
      </c>
      <c r="C263">
        <v>1</v>
      </c>
    </row>
    <row r="264" spans="1:3" x14ac:dyDescent="0.25">
      <c r="A264">
        <v>254</v>
      </c>
      <c r="B264">
        <v>254</v>
      </c>
      <c r="C264">
        <v>1</v>
      </c>
    </row>
    <row r="265" spans="1:3" x14ac:dyDescent="0.25">
      <c r="A265">
        <v>255</v>
      </c>
      <c r="B265">
        <v>254</v>
      </c>
      <c r="C265">
        <v>1</v>
      </c>
    </row>
    <row r="266" spans="1:3" x14ac:dyDescent="0.25">
      <c r="A266">
        <v>256</v>
      </c>
      <c r="B266">
        <v>256</v>
      </c>
      <c r="C266">
        <v>1</v>
      </c>
    </row>
    <row r="267" spans="1:3" x14ac:dyDescent="0.25">
      <c r="A267">
        <v>257</v>
      </c>
      <c r="B267">
        <v>257</v>
      </c>
      <c r="C267">
        <v>1</v>
      </c>
    </row>
    <row r="268" spans="1:3" x14ac:dyDescent="0.25">
      <c r="A268">
        <v>258</v>
      </c>
      <c r="B268">
        <v>258</v>
      </c>
      <c r="C268">
        <v>1</v>
      </c>
    </row>
    <row r="269" spans="1:3" x14ac:dyDescent="0.25">
      <c r="A269">
        <v>259</v>
      </c>
      <c r="B269">
        <v>259</v>
      </c>
      <c r="C269">
        <v>1</v>
      </c>
    </row>
    <row r="270" spans="1:3" x14ac:dyDescent="0.25">
      <c r="A270">
        <v>260</v>
      </c>
      <c r="B270">
        <v>260</v>
      </c>
      <c r="C270">
        <v>1</v>
      </c>
    </row>
    <row r="271" spans="1:3" x14ac:dyDescent="0.25">
      <c r="A271">
        <v>261</v>
      </c>
      <c r="B271">
        <v>261</v>
      </c>
      <c r="C271">
        <v>1</v>
      </c>
    </row>
    <row r="272" spans="1:3" x14ac:dyDescent="0.25">
      <c r="A272">
        <v>262</v>
      </c>
      <c r="B272">
        <v>260</v>
      </c>
      <c r="C272">
        <v>1</v>
      </c>
    </row>
    <row r="273" spans="1:3" x14ac:dyDescent="0.25">
      <c r="A273">
        <v>263</v>
      </c>
      <c r="B273">
        <v>260</v>
      </c>
      <c r="C273">
        <v>1</v>
      </c>
    </row>
    <row r="274" spans="1:3" x14ac:dyDescent="0.25">
      <c r="A274">
        <v>264</v>
      </c>
      <c r="B274">
        <v>260</v>
      </c>
      <c r="C274">
        <v>1</v>
      </c>
    </row>
    <row r="275" spans="1:3" x14ac:dyDescent="0.25">
      <c r="A275">
        <v>265</v>
      </c>
      <c r="B275">
        <v>249</v>
      </c>
      <c r="C275">
        <v>1</v>
      </c>
    </row>
    <row r="276" spans="1:3" x14ac:dyDescent="0.25">
      <c r="A276">
        <v>266</v>
      </c>
      <c r="B276">
        <v>249</v>
      </c>
      <c r="C276">
        <v>1</v>
      </c>
    </row>
    <row r="277" spans="1:3" x14ac:dyDescent="0.25">
      <c r="A277">
        <v>267</v>
      </c>
      <c r="B277">
        <v>249</v>
      </c>
      <c r="C277">
        <v>1</v>
      </c>
    </row>
    <row r="278" spans="1:3" x14ac:dyDescent="0.25">
      <c r="A278">
        <v>268</v>
      </c>
      <c r="B278">
        <v>249</v>
      </c>
      <c r="C278">
        <v>1</v>
      </c>
    </row>
    <row r="279" spans="1:3" x14ac:dyDescent="0.25">
      <c r="A279">
        <v>269</v>
      </c>
      <c r="B279">
        <v>261</v>
      </c>
      <c r="C279">
        <v>1</v>
      </c>
    </row>
    <row r="280" spans="1:3" x14ac:dyDescent="0.25">
      <c r="A280">
        <v>270</v>
      </c>
      <c r="B280">
        <v>261</v>
      </c>
      <c r="C280">
        <v>1</v>
      </c>
    </row>
    <row r="281" spans="1:3" x14ac:dyDescent="0.25">
      <c r="A281">
        <v>271</v>
      </c>
      <c r="B281">
        <v>261</v>
      </c>
      <c r="C281">
        <v>1</v>
      </c>
    </row>
    <row r="282" spans="1:3" x14ac:dyDescent="0.25">
      <c r="A282">
        <v>272</v>
      </c>
      <c r="B282">
        <v>261</v>
      </c>
      <c r="C282">
        <v>0.99999984999999991</v>
      </c>
    </row>
    <row r="283" spans="1:3" x14ac:dyDescent="0.25">
      <c r="A283">
        <v>273</v>
      </c>
      <c r="B283">
        <v>249</v>
      </c>
      <c r="C283">
        <v>0.99999996999999996</v>
      </c>
    </row>
    <row r="284" spans="1:3" x14ac:dyDescent="0.25">
      <c r="A284">
        <v>274</v>
      </c>
      <c r="B284">
        <v>249</v>
      </c>
      <c r="C284">
        <v>1</v>
      </c>
    </row>
    <row r="285" spans="1:3" x14ac:dyDescent="0.25">
      <c r="A285">
        <v>275</v>
      </c>
      <c r="B285">
        <v>249</v>
      </c>
      <c r="C285">
        <v>1</v>
      </c>
    </row>
    <row r="286" spans="1:3" x14ac:dyDescent="0.25">
      <c r="A286">
        <v>276</v>
      </c>
      <c r="B286">
        <v>249</v>
      </c>
      <c r="C286">
        <v>1</v>
      </c>
    </row>
    <row r="287" spans="1:3" x14ac:dyDescent="0.25">
      <c r="A287">
        <v>277</v>
      </c>
      <c r="B287">
        <v>249</v>
      </c>
      <c r="C287">
        <v>1</v>
      </c>
    </row>
    <row r="288" spans="1:3" x14ac:dyDescent="0.25">
      <c r="A288">
        <v>278</v>
      </c>
      <c r="B288">
        <v>249</v>
      </c>
      <c r="C288">
        <v>0.99999998000000001</v>
      </c>
    </row>
    <row r="289" spans="1:3" x14ac:dyDescent="0.25">
      <c r="A289">
        <v>279</v>
      </c>
      <c r="B289">
        <v>279</v>
      </c>
      <c r="C289">
        <v>1</v>
      </c>
    </row>
    <row r="290" spans="1:3" x14ac:dyDescent="0.25">
      <c r="A290">
        <v>280</v>
      </c>
      <c r="B290">
        <v>280</v>
      </c>
      <c r="C290">
        <v>1</v>
      </c>
    </row>
    <row r="291" spans="1:3" x14ac:dyDescent="0.25">
      <c r="A291">
        <v>281</v>
      </c>
      <c r="B291">
        <v>281</v>
      </c>
      <c r="C291">
        <v>1</v>
      </c>
    </row>
    <row r="292" spans="1:3" x14ac:dyDescent="0.25">
      <c r="A292">
        <v>282</v>
      </c>
      <c r="B292">
        <v>282</v>
      </c>
      <c r="C292">
        <v>1</v>
      </c>
    </row>
    <row r="293" spans="1:3" x14ac:dyDescent="0.25">
      <c r="A293">
        <v>283</v>
      </c>
      <c r="B293">
        <v>283</v>
      </c>
      <c r="C293">
        <v>1</v>
      </c>
    </row>
    <row r="294" spans="1:3" x14ac:dyDescent="0.25">
      <c r="A294">
        <v>284</v>
      </c>
      <c r="B294">
        <v>284</v>
      </c>
      <c r="C294">
        <v>1</v>
      </c>
    </row>
    <row r="295" spans="1:3" x14ac:dyDescent="0.25">
      <c r="A295">
        <v>285</v>
      </c>
      <c r="B295">
        <v>285</v>
      </c>
      <c r="C295">
        <v>1</v>
      </c>
    </row>
    <row r="296" spans="1:3" x14ac:dyDescent="0.25">
      <c r="A296">
        <v>286</v>
      </c>
      <c r="B296">
        <v>286</v>
      </c>
      <c r="C296">
        <v>1</v>
      </c>
    </row>
    <row r="297" spans="1:3" x14ac:dyDescent="0.25">
      <c r="A297">
        <v>287</v>
      </c>
      <c r="B297">
        <v>286</v>
      </c>
      <c r="C297">
        <v>1</v>
      </c>
    </row>
    <row r="298" spans="1:3" x14ac:dyDescent="0.25">
      <c r="A298">
        <v>288</v>
      </c>
      <c r="B298">
        <v>286</v>
      </c>
      <c r="C298">
        <v>1</v>
      </c>
    </row>
    <row r="299" spans="1:3" x14ac:dyDescent="0.25">
      <c r="A299">
        <v>289</v>
      </c>
      <c r="B299">
        <v>289</v>
      </c>
      <c r="C299">
        <v>1</v>
      </c>
    </row>
    <row r="300" spans="1:3" x14ac:dyDescent="0.25">
      <c r="A300">
        <v>290</v>
      </c>
      <c r="B300">
        <v>290</v>
      </c>
      <c r="C300">
        <v>1</v>
      </c>
    </row>
    <row r="301" spans="1:3" x14ac:dyDescent="0.25">
      <c r="A301">
        <v>291</v>
      </c>
      <c r="B301">
        <v>286</v>
      </c>
      <c r="C301">
        <v>1</v>
      </c>
    </row>
    <row r="302" spans="1:3" x14ac:dyDescent="0.25">
      <c r="A302">
        <v>292</v>
      </c>
      <c r="B302">
        <v>286</v>
      </c>
      <c r="C302">
        <v>1</v>
      </c>
    </row>
    <row r="303" spans="1:3" x14ac:dyDescent="0.25">
      <c r="A303">
        <v>293</v>
      </c>
      <c r="B303">
        <v>254</v>
      </c>
      <c r="C303">
        <v>1</v>
      </c>
    </row>
    <row r="304" spans="1:3" x14ac:dyDescent="0.25">
      <c r="A304">
        <v>294</v>
      </c>
      <c r="B304">
        <v>294</v>
      </c>
      <c r="C304">
        <v>1</v>
      </c>
    </row>
    <row r="305" spans="1:3" x14ac:dyDescent="0.25">
      <c r="A305">
        <v>295</v>
      </c>
      <c r="B305">
        <v>295</v>
      </c>
      <c r="C305">
        <v>1</v>
      </c>
    </row>
    <row r="306" spans="1:3" x14ac:dyDescent="0.25">
      <c r="A306">
        <v>296</v>
      </c>
      <c r="B306">
        <v>296</v>
      </c>
      <c r="C306">
        <v>1</v>
      </c>
    </row>
    <row r="307" spans="1:3" x14ac:dyDescent="0.25">
      <c r="A307">
        <v>297</v>
      </c>
      <c r="B307">
        <v>256</v>
      </c>
      <c r="C307">
        <v>1</v>
      </c>
    </row>
    <row r="308" spans="1:3" x14ac:dyDescent="0.25">
      <c r="A308">
        <v>298</v>
      </c>
      <c r="B308">
        <v>298</v>
      </c>
      <c r="C308">
        <v>1</v>
      </c>
    </row>
    <row r="309" spans="1:3" x14ac:dyDescent="0.25">
      <c r="A309">
        <v>299</v>
      </c>
      <c r="B309">
        <v>299</v>
      </c>
      <c r="C309">
        <v>1</v>
      </c>
    </row>
    <row r="310" spans="1:3" x14ac:dyDescent="0.25">
      <c r="A310">
        <v>300</v>
      </c>
      <c r="B310">
        <v>300</v>
      </c>
      <c r="C310">
        <v>1</v>
      </c>
    </row>
    <row r="311" spans="1:3" x14ac:dyDescent="0.25">
      <c r="A311">
        <v>301</v>
      </c>
      <c r="B311">
        <v>301</v>
      </c>
      <c r="C311">
        <v>1</v>
      </c>
    </row>
    <row r="312" spans="1:3" x14ac:dyDescent="0.25">
      <c r="A312">
        <v>302</v>
      </c>
      <c r="B312">
        <v>302</v>
      </c>
      <c r="C312">
        <v>1</v>
      </c>
    </row>
    <row r="313" spans="1:3" x14ac:dyDescent="0.25">
      <c r="A313">
        <v>303</v>
      </c>
      <c r="B313">
        <v>303</v>
      </c>
      <c r="C313">
        <v>1</v>
      </c>
    </row>
    <row r="314" spans="1:3" x14ac:dyDescent="0.25">
      <c r="A314">
        <v>304</v>
      </c>
      <c r="B314">
        <v>304</v>
      </c>
      <c r="C314">
        <v>0.99999995999999991</v>
      </c>
    </row>
    <row r="315" spans="1:3" x14ac:dyDescent="0.25">
      <c r="A315">
        <v>305</v>
      </c>
      <c r="B315">
        <v>304</v>
      </c>
      <c r="C315">
        <v>1</v>
      </c>
    </row>
    <row r="316" spans="1:3" x14ac:dyDescent="0.25">
      <c r="A316">
        <v>306</v>
      </c>
      <c r="B316">
        <v>304</v>
      </c>
      <c r="C316">
        <v>1</v>
      </c>
    </row>
    <row r="317" spans="1:3" x14ac:dyDescent="0.25">
      <c r="A317">
        <v>307</v>
      </c>
      <c r="B317">
        <v>304</v>
      </c>
      <c r="C317">
        <v>1</v>
      </c>
    </row>
    <row r="318" spans="1:3" x14ac:dyDescent="0.25">
      <c r="A318">
        <v>308</v>
      </c>
      <c r="B318">
        <v>304</v>
      </c>
      <c r="C318">
        <v>1</v>
      </c>
    </row>
    <row r="319" spans="1:3" x14ac:dyDescent="0.25">
      <c r="A319">
        <v>309</v>
      </c>
      <c r="B319">
        <v>309</v>
      </c>
      <c r="C319">
        <v>1</v>
      </c>
    </row>
    <row r="320" spans="1:3" x14ac:dyDescent="0.25">
      <c r="A320">
        <v>310</v>
      </c>
      <c r="B320">
        <v>310</v>
      </c>
      <c r="C320">
        <v>1</v>
      </c>
    </row>
    <row r="321" spans="1:3" x14ac:dyDescent="0.25">
      <c r="A321">
        <v>311</v>
      </c>
      <c r="B321">
        <v>310</v>
      </c>
      <c r="C321">
        <v>0.99999999000000006</v>
      </c>
    </row>
    <row r="322" spans="1:3" x14ac:dyDescent="0.25">
      <c r="A322">
        <v>312</v>
      </c>
      <c r="B322">
        <v>312</v>
      </c>
      <c r="C322">
        <v>1</v>
      </c>
    </row>
    <row r="323" spans="1:3" x14ac:dyDescent="0.25">
      <c r="A323">
        <v>313</v>
      </c>
      <c r="B323">
        <v>313</v>
      </c>
      <c r="C323">
        <v>1</v>
      </c>
    </row>
    <row r="324" spans="1:3" x14ac:dyDescent="0.25">
      <c r="A324">
        <v>314</v>
      </c>
      <c r="B324">
        <v>314</v>
      </c>
      <c r="C324">
        <v>1</v>
      </c>
    </row>
    <row r="325" spans="1:3" x14ac:dyDescent="0.25">
      <c r="A325">
        <v>315</v>
      </c>
      <c r="B325">
        <v>310</v>
      </c>
      <c r="C325">
        <v>0.99999983999999997</v>
      </c>
    </row>
    <row r="326" spans="1:3" x14ac:dyDescent="0.25">
      <c r="A326">
        <v>316</v>
      </c>
      <c r="B326">
        <v>310</v>
      </c>
      <c r="C326">
        <v>0.99999989</v>
      </c>
    </row>
    <row r="327" spans="1:3" x14ac:dyDescent="0.25">
      <c r="A327">
        <v>317</v>
      </c>
      <c r="B327">
        <v>310</v>
      </c>
      <c r="C327">
        <v>1</v>
      </c>
    </row>
    <row r="328" spans="1:3" x14ac:dyDescent="0.25">
      <c r="A328">
        <v>318</v>
      </c>
      <c r="B328">
        <v>313</v>
      </c>
      <c r="C328">
        <v>1</v>
      </c>
    </row>
    <row r="329" spans="1:3" x14ac:dyDescent="0.25">
      <c r="A329">
        <v>319</v>
      </c>
      <c r="B329">
        <v>313</v>
      </c>
      <c r="C329">
        <v>1</v>
      </c>
    </row>
    <row r="330" spans="1:3" x14ac:dyDescent="0.25">
      <c r="A330">
        <v>320</v>
      </c>
      <c r="B330">
        <v>313</v>
      </c>
      <c r="C330">
        <v>1</v>
      </c>
    </row>
    <row r="331" spans="1:3" x14ac:dyDescent="0.25">
      <c r="A331">
        <v>321</v>
      </c>
      <c r="B331">
        <v>313</v>
      </c>
      <c r="C331">
        <v>1</v>
      </c>
    </row>
    <row r="332" spans="1:3" x14ac:dyDescent="0.25">
      <c r="A332">
        <v>322</v>
      </c>
      <c r="B332">
        <v>322</v>
      </c>
      <c r="C332">
        <v>1</v>
      </c>
    </row>
    <row r="333" spans="1:3" x14ac:dyDescent="0.25">
      <c r="A333">
        <v>323</v>
      </c>
      <c r="B333">
        <v>323</v>
      </c>
      <c r="C333">
        <v>0.99999998000000001</v>
      </c>
    </row>
    <row r="334" spans="1:3" x14ac:dyDescent="0.25">
      <c r="A334">
        <v>324</v>
      </c>
      <c r="B334">
        <v>324</v>
      </c>
      <c r="C334">
        <v>1</v>
      </c>
    </row>
    <row r="335" spans="1:3" x14ac:dyDescent="0.25">
      <c r="A335">
        <v>325</v>
      </c>
      <c r="B335">
        <v>324</v>
      </c>
      <c r="C335">
        <v>0.99999998000000001</v>
      </c>
    </row>
    <row r="336" spans="1:3" x14ac:dyDescent="0.25">
      <c r="A336">
        <v>326</v>
      </c>
      <c r="B336">
        <v>324</v>
      </c>
      <c r="C336">
        <v>1</v>
      </c>
    </row>
    <row r="337" spans="1:3" x14ac:dyDescent="0.25">
      <c r="A337">
        <v>327</v>
      </c>
      <c r="B337">
        <v>324</v>
      </c>
      <c r="C337">
        <v>1</v>
      </c>
    </row>
    <row r="338" spans="1:3" x14ac:dyDescent="0.25">
      <c r="A338">
        <v>328</v>
      </c>
      <c r="B338">
        <v>324</v>
      </c>
      <c r="C338">
        <v>1</v>
      </c>
    </row>
    <row r="339" spans="1:3" x14ac:dyDescent="0.25">
      <c r="A339">
        <v>329</v>
      </c>
      <c r="B339">
        <v>324</v>
      </c>
      <c r="C339">
        <v>1</v>
      </c>
    </row>
    <row r="340" spans="1:3" x14ac:dyDescent="0.25">
      <c r="A340">
        <v>330</v>
      </c>
      <c r="B340">
        <v>330</v>
      </c>
      <c r="C340">
        <v>0.99999995999999991</v>
      </c>
    </row>
    <row r="341" spans="1:3" x14ac:dyDescent="0.25">
      <c r="A341">
        <v>331</v>
      </c>
      <c r="B341">
        <v>330</v>
      </c>
      <c r="C341">
        <v>1</v>
      </c>
    </row>
    <row r="342" spans="1:3" x14ac:dyDescent="0.25">
      <c r="A342">
        <v>332</v>
      </c>
      <c r="B342">
        <v>332</v>
      </c>
      <c r="C342">
        <v>1</v>
      </c>
    </row>
    <row r="343" spans="1:3" x14ac:dyDescent="0.25">
      <c r="A343">
        <v>333</v>
      </c>
      <c r="B343">
        <v>333</v>
      </c>
      <c r="C343">
        <v>1</v>
      </c>
    </row>
    <row r="344" spans="1:3" x14ac:dyDescent="0.25">
      <c r="A344">
        <v>334</v>
      </c>
      <c r="B344">
        <v>334</v>
      </c>
      <c r="C344">
        <v>1</v>
      </c>
    </row>
    <row r="345" spans="1:3" x14ac:dyDescent="0.25">
      <c r="A345">
        <v>335</v>
      </c>
      <c r="B345">
        <v>335</v>
      </c>
      <c r="C345">
        <v>0.99999994000000003</v>
      </c>
    </row>
    <row r="346" spans="1:3" x14ac:dyDescent="0.25">
      <c r="A346">
        <v>336</v>
      </c>
      <c r="B346">
        <v>336</v>
      </c>
      <c r="C346">
        <v>1</v>
      </c>
    </row>
    <row r="347" spans="1:3" x14ac:dyDescent="0.25">
      <c r="A347">
        <v>337</v>
      </c>
      <c r="B347">
        <v>336</v>
      </c>
      <c r="C347">
        <v>1</v>
      </c>
    </row>
    <row r="348" spans="1:3" x14ac:dyDescent="0.25">
      <c r="A348">
        <v>338</v>
      </c>
      <c r="B348">
        <v>338</v>
      </c>
      <c r="C348">
        <v>1</v>
      </c>
    </row>
    <row r="349" spans="1:3" x14ac:dyDescent="0.25">
      <c r="A349">
        <v>339</v>
      </c>
      <c r="B349">
        <v>335</v>
      </c>
      <c r="C349">
        <v>1</v>
      </c>
    </row>
    <row r="350" spans="1:3" x14ac:dyDescent="0.25">
      <c r="A350">
        <v>340</v>
      </c>
      <c r="B350">
        <v>336</v>
      </c>
      <c r="C350">
        <v>1</v>
      </c>
    </row>
    <row r="351" spans="1:3" x14ac:dyDescent="0.25">
      <c r="A351">
        <v>341</v>
      </c>
      <c r="B351">
        <v>336</v>
      </c>
      <c r="C351">
        <v>1</v>
      </c>
    </row>
    <row r="352" spans="1:3" x14ac:dyDescent="0.25">
      <c r="A352">
        <v>342</v>
      </c>
      <c r="B352">
        <v>338</v>
      </c>
      <c r="C352">
        <v>1</v>
      </c>
    </row>
    <row r="353" spans="1:3" x14ac:dyDescent="0.25">
      <c r="A353">
        <v>343</v>
      </c>
      <c r="B353">
        <v>330</v>
      </c>
      <c r="C353">
        <v>1</v>
      </c>
    </row>
    <row r="354" spans="1:3" x14ac:dyDescent="0.25">
      <c r="A354">
        <v>344</v>
      </c>
      <c r="B354">
        <v>330</v>
      </c>
      <c r="C354">
        <v>0.99999992999999998</v>
      </c>
    </row>
    <row r="355" spans="1:3" x14ac:dyDescent="0.25">
      <c r="A355">
        <v>345</v>
      </c>
      <c r="B355">
        <v>345</v>
      </c>
      <c r="C355">
        <v>1</v>
      </c>
    </row>
    <row r="356" spans="1:3" x14ac:dyDescent="0.25">
      <c r="A356">
        <v>346</v>
      </c>
      <c r="B356">
        <v>346</v>
      </c>
      <c r="C356">
        <v>1</v>
      </c>
    </row>
    <row r="357" spans="1:3" x14ac:dyDescent="0.25">
      <c r="A357">
        <v>347</v>
      </c>
      <c r="B357">
        <v>347</v>
      </c>
      <c r="C357">
        <v>1</v>
      </c>
    </row>
    <row r="358" spans="1:3" x14ac:dyDescent="0.25">
      <c r="A358">
        <v>348</v>
      </c>
      <c r="B358">
        <v>335</v>
      </c>
      <c r="C358">
        <v>1</v>
      </c>
    </row>
    <row r="359" spans="1:3" x14ac:dyDescent="0.25">
      <c r="A359">
        <v>349</v>
      </c>
      <c r="B359">
        <v>335</v>
      </c>
      <c r="C359">
        <v>0.99999996999999996</v>
      </c>
    </row>
    <row r="360" spans="1:3" x14ac:dyDescent="0.25">
      <c r="A360">
        <v>350</v>
      </c>
      <c r="B360">
        <v>350</v>
      </c>
      <c r="C360">
        <v>1</v>
      </c>
    </row>
    <row r="361" spans="1:3" x14ac:dyDescent="0.25">
      <c r="A361">
        <v>351</v>
      </c>
      <c r="B361">
        <v>350</v>
      </c>
      <c r="C361">
        <v>1</v>
      </c>
    </row>
    <row r="362" spans="1:3" x14ac:dyDescent="0.25">
      <c r="A362">
        <v>352</v>
      </c>
      <c r="B362">
        <v>350</v>
      </c>
      <c r="C362">
        <v>0.99999978</v>
      </c>
    </row>
    <row r="363" spans="1:3" x14ac:dyDescent="0.25">
      <c r="A363">
        <v>352</v>
      </c>
      <c r="B363">
        <v>357</v>
      </c>
      <c r="C363">
        <v>6.8490000000000003E-5</v>
      </c>
    </row>
    <row r="364" spans="1:3" x14ac:dyDescent="0.25">
      <c r="A364">
        <v>353</v>
      </c>
      <c r="B364">
        <v>350</v>
      </c>
      <c r="C364">
        <v>1</v>
      </c>
    </row>
    <row r="365" spans="1:3" x14ac:dyDescent="0.25">
      <c r="A365">
        <v>354</v>
      </c>
      <c r="B365">
        <v>354</v>
      </c>
      <c r="C365">
        <v>1</v>
      </c>
    </row>
    <row r="366" spans="1:3" x14ac:dyDescent="0.25">
      <c r="A366">
        <v>355</v>
      </c>
      <c r="B366">
        <v>350</v>
      </c>
      <c r="C366">
        <v>1</v>
      </c>
    </row>
    <row r="367" spans="1:3" x14ac:dyDescent="0.25">
      <c r="A367">
        <v>355</v>
      </c>
      <c r="B367">
        <v>357</v>
      </c>
      <c r="C367">
        <v>1.679E-5</v>
      </c>
    </row>
    <row r="368" spans="1:3" x14ac:dyDescent="0.25">
      <c r="A368">
        <v>356</v>
      </c>
      <c r="B368">
        <v>350</v>
      </c>
      <c r="C368">
        <v>0.99999934000000001</v>
      </c>
    </row>
    <row r="369" spans="1:3" x14ac:dyDescent="0.25">
      <c r="A369">
        <v>356</v>
      </c>
      <c r="B369">
        <v>357</v>
      </c>
      <c r="C369">
        <v>5.1659999999999997E-5</v>
      </c>
    </row>
    <row r="370" spans="1:3" x14ac:dyDescent="0.25">
      <c r="A370">
        <v>357</v>
      </c>
      <c r="B370">
        <v>350</v>
      </c>
      <c r="C370">
        <v>4.8700000000000005E-5</v>
      </c>
    </row>
    <row r="371" spans="1:3" x14ac:dyDescent="0.25">
      <c r="A371">
        <v>357</v>
      </c>
      <c r="B371">
        <v>354</v>
      </c>
      <c r="C371">
        <v>1.0999999999999999E-7</v>
      </c>
    </row>
    <row r="372" spans="1:3" x14ac:dyDescent="0.25">
      <c r="A372">
        <v>357</v>
      </c>
      <c r="B372">
        <v>357</v>
      </c>
      <c r="C372">
        <v>1</v>
      </c>
    </row>
    <row r="373" spans="1:3" x14ac:dyDescent="0.25">
      <c r="A373">
        <v>358</v>
      </c>
      <c r="B373">
        <v>358</v>
      </c>
      <c r="C373">
        <v>1</v>
      </c>
    </row>
    <row r="374" spans="1:3" x14ac:dyDescent="0.25">
      <c r="A374">
        <v>359</v>
      </c>
      <c r="B374">
        <v>359</v>
      </c>
      <c r="C374">
        <v>1</v>
      </c>
    </row>
    <row r="375" spans="1:3" x14ac:dyDescent="0.25">
      <c r="A375">
        <v>360</v>
      </c>
      <c r="B375">
        <v>360</v>
      </c>
      <c r="C375">
        <v>1</v>
      </c>
    </row>
    <row r="376" spans="1:3" x14ac:dyDescent="0.25">
      <c r="A376">
        <v>361</v>
      </c>
      <c r="B376">
        <v>361</v>
      </c>
      <c r="C376">
        <v>1</v>
      </c>
    </row>
    <row r="377" spans="1:3" x14ac:dyDescent="0.25">
      <c r="A377">
        <v>362</v>
      </c>
      <c r="B377">
        <v>362</v>
      </c>
      <c r="C377">
        <v>1</v>
      </c>
    </row>
    <row r="378" spans="1:3" x14ac:dyDescent="0.25">
      <c r="A378">
        <v>363</v>
      </c>
      <c r="B378">
        <v>363</v>
      </c>
      <c r="C378">
        <v>1</v>
      </c>
    </row>
    <row r="379" spans="1:3" x14ac:dyDescent="0.25">
      <c r="A379">
        <v>364</v>
      </c>
      <c r="B379">
        <v>363</v>
      </c>
      <c r="C379">
        <v>1</v>
      </c>
    </row>
    <row r="380" spans="1:3" x14ac:dyDescent="0.25">
      <c r="A380">
        <v>365</v>
      </c>
      <c r="B380">
        <v>365</v>
      </c>
      <c r="C380">
        <v>1</v>
      </c>
    </row>
    <row r="381" spans="1:3" x14ac:dyDescent="0.25">
      <c r="A381">
        <v>366</v>
      </c>
      <c r="B381">
        <v>366</v>
      </c>
      <c r="C381">
        <v>1</v>
      </c>
    </row>
    <row r="382" spans="1:3" x14ac:dyDescent="0.25">
      <c r="A382">
        <v>367</v>
      </c>
      <c r="B382">
        <v>366</v>
      </c>
      <c r="C382">
        <v>1</v>
      </c>
    </row>
    <row r="383" spans="1:3" x14ac:dyDescent="0.25">
      <c r="A383">
        <v>368</v>
      </c>
      <c r="B383">
        <v>368</v>
      </c>
      <c r="C383">
        <v>1</v>
      </c>
    </row>
    <row r="384" spans="1:3" x14ac:dyDescent="0.25">
      <c r="A384">
        <v>369</v>
      </c>
      <c r="B384">
        <v>357</v>
      </c>
      <c r="C384">
        <v>1.3199000000000002E-4</v>
      </c>
    </row>
    <row r="385" spans="1:3" x14ac:dyDescent="0.25">
      <c r="A385">
        <v>369</v>
      </c>
      <c r="B385">
        <v>368</v>
      </c>
      <c r="C385">
        <v>0.99999950999999998</v>
      </c>
    </row>
    <row r="386" spans="1:3" x14ac:dyDescent="0.25">
      <c r="A386">
        <v>369</v>
      </c>
      <c r="B386">
        <v>376</v>
      </c>
      <c r="C386">
        <v>1.33705E-3</v>
      </c>
    </row>
    <row r="387" spans="1:3" x14ac:dyDescent="0.25">
      <c r="A387">
        <v>370</v>
      </c>
      <c r="B387">
        <v>357</v>
      </c>
      <c r="C387">
        <v>1</v>
      </c>
    </row>
    <row r="388" spans="1:3" x14ac:dyDescent="0.25">
      <c r="A388">
        <v>370</v>
      </c>
      <c r="B388">
        <v>368</v>
      </c>
      <c r="C388">
        <v>3.4791999999999999E-4</v>
      </c>
    </row>
    <row r="389" spans="1:3" x14ac:dyDescent="0.25">
      <c r="A389">
        <v>371</v>
      </c>
      <c r="B389">
        <v>357</v>
      </c>
      <c r="C389">
        <v>0.99999994999999997</v>
      </c>
    </row>
    <row r="390" spans="1:3" x14ac:dyDescent="0.25">
      <c r="A390">
        <v>372</v>
      </c>
      <c r="B390">
        <v>357</v>
      </c>
      <c r="C390">
        <v>1</v>
      </c>
    </row>
    <row r="391" spans="1:3" x14ac:dyDescent="0.25">
      <c r="A391">
        <v>373</v>
      </c>
      <c r="B391">
        <v>373</v>
      </c>
      <c r="C391">
        <v>1</v>
      </c>
    </row>
    <row r="392" spans="1:3" x14ac:dyDescent="0.25">
      <c r="A392">
        <v>374</v>
      </c>
      <c r="B392">
        <v>374</v>
      </c>
      <c r="C392">
        <v>1</v>
      </c>
    </row>
    <row r="393" spans="1:3" x14ac:dyDescent="0.25">
      <c r="A393">
        <v>375</v>
      </c>
      <c r="B393">
        <v>374</v>
      </c>
      <c r="C393">
        <v>0.99999999000000006</v>
      </c>
    </row>
    <row r="394" spans="1:3" x14ac:dyDescent="0.25">
      <c r="A394">
        <v>376</v>
      </c>
      <c r="B394">
        <v>376</v>
      </c>
      <c r="C394">
        <v>0.99999995999999991</v>
      </c>
    </row>
    <row r="395" spans="1:3" x14ac:dyDescent="0.25">
      <c r="A395">
        <v>377</v>
      </c>
      <c r="B395">
        <v>368</v>
      </c>
      <c r="C395">
        <v>5.5524999999999997E-4</v>
      </c>
    </row>
    <row r="396" spans="1:3" x14ac:dyDescent="0.25">
      <c r="A396">
        <v>377</v>
      </c>
      <c r="B396">
        <v>376</v>
      </c>
      <c r="C396">
        <v>1</v>
      </c>
    </row>
    <row r="397" spans="1:3" x14ac:dyDescent="0.25">
      <c r="A397">
        <v>378</v>
      </c>
      <c r="B397">
        <v>378</v>
      </c>
      <c r="C397">
        <v>1</v>
      </c>
    </row>
    <row r="398" spans="1:3" x14ac:dyDescent="0.25">
      <c r="A398">
        <v>379</v>
      </c>
      <c r="B398">
        <v>379</v>
      </c>
      <c r="C398">
        <v>1</v>
      </c>
    </row>
    <row r="399" spans="1:3" x14ac:dyDescent="0.25">
      <c r="A399">
        <v>380</v>
      </c>
      <c r="B399">
        <v>380</v>
      </c>
      <c r="C399">
        <v>1</v>
      </c>
    </row>
    <row r="400" spans="1:3" x14ac:dyDescent="0.25">
      <c r="A400">
        <v>381</v>
      </c>
      <c r="B400">
        <v>381</v>
      </c>
      <c r="C400">
        <v>1</v>
      </c>
    </row>
    <row r="401" spans="1:3" x14ac:dyDescent="0.25">
      <c r="A401">
        <v>382</v>
      </c>
      <c r="B401">
        <v>382</v>
      </c>
      <c r="C401">
        <v>0.99999999000000006</v>
      </c>
    </row>
    <row r="402" spans="1:3" x14ac:dyDescent="0.25">
      <c r="A402">
        <v>382</v>
      </c>
      <c r="B402">
        <v>426</v>
      </c>
      <c r="C402">
        <v>5.1489000000000005E-4</v>
      </c>
    </row>
    <row r="403" spans="1:3" x14ac:dyDescent="0.25">
      <c r="A403">
        <v>383</v>
      </c>
      <c r="B403">
        <v>383</v>
      </c>
      <c r="C403">
        <v>1</v>
      </c>
    </row>
    <row r="404" spans="1:3" x14ac:dyDescent="0.25">
      <c r="A404">
        <v>383</v>
      </c>
      <c r="B404">
        <v>426</v>
      </c>
      <c r="C404">
        <v>2.7540000000000001E-5</v>
      </c>
    </row>
    <row r="405" spans="1:3" x14ac:dyDescent="0.25">
      <c r="A405">
        <v>384</v>
      </c>
      <c r="B405">
        <v>384</v>
      </c>
      <c r="C405">
        <v>1</v>
      </c>
    </row>
    <row r="406" spans="1:3" x14ac:dyDescent="0.25">
      <c r="A406">
        <v>385</v>
      </c>
      <c r="B406">
        <v>384</v>
      </c>
      <c r="C406">
        <v>1</v>
      </c>
    </row>
    <row r="407" spans="1:3" x14ac:dyDescent="0.25">
      <c r="A407">
        <v>386</v>
      </c>
      <c r="B407">
        <v>374</v>
      </c>
      <c r="C407">
        <v>1</v>
      </c>
    </row>
    <row r="408" spans="1:3" x14ac:dyDescent="0.25">
      <c r="A408">
        <v>387</v>
      </c>
      <c r="B408">
        <v>374</v>
      </c>
      <c r="C408">
        <v>1</v>
      </c>
    </row>
    <row r="409" spans="1:3" x14ac:dyDescent="0.25">
      <c r="A409">
        <v>388</v>
      </c>
      <c r="B409">
        <v>388</v>
      </c>
      <c r="C409">
        <v>1</v>
      </c>
    </row>
    <row r="410" spans="1:3" x14ac:dyDescent="0.25">
      <c r="A410">
        <v>389</v>
      </c>
      <c r="B410">
        <v>389</v>
      </c>
      <c r="C410">
        <v>1</v>
      </c>
    </row>
    <row r="411" spans="1:3" x14ac:dyDescent="0.25">
      <c r="A411">
        <v>389</v>
      </c>
      <c r="B411">
        <v>421</v>
      </c>
      <c r="C411">
        <v>8.3381999999999998E-4</v>
      </c>
    </row>
    <row r="412" spans="1:3" x14ac:dyDescent="0.25">
      <c r="A412">
        <v>390</v>
      </c>
      <c r="B412">
        <v>390</v>
      </c>
      <c r="C412">
        <v>1</v>
      </c>
    </row>
    <row r="413" spans="1:3" x14ac:dyDescent="0.25">
      <c r="A413">
        <v>390</v>
      </c>
      <c r="B413">
        <v>421</v>
      </c>
      <c r="C413">
        <v>2.5431999999999999E-4</v>
      </c>
    </row>
    <row r="414" spans="1:3" x14ac:dyDescent="0.25">
      <c r="A414">
        <v>391</v>
      </c>
      <c r="B414">
        <v>354</v>
      </c>
      <c r="C414">
        <v>1</v>
      </c>
    </row>
    <row r="415" spans="1:3" x14ac:dyDescent="0.25">
      <c r="A415">
        <v>392</v>
      </c>
      <c r="B415">
        <v>354</v>
      </c>
      <c r="C415">
        <v>1</v>
      </c>
    </row>
    <row r="416" spans="1:3" x14ac:dyDescent="0.25">
      <c r="A416">
        <v>393</v>
      </c>
      <c r="B416">
        <v>354</v>
      </c>
      <c r="C416">
        <v>1</v>
      </c>
    </row>
    <row r="417" spans="1:3" x14ac:dyDescent="0.25">
      <c r="A417">
        <v>394</v>
      </c>
      <c r="B417">
        <v>354</v>
      </c>
      <c r="C417">
        <v>0.99999998000000001</v>
      </c>
    </row>
    <row r="418" spans="1:3" x14ac:dyDescent="0.25">
      <c r="A418">
        <v>395</v>
      </c>
      <c r="B418">
        <v>395</v>
      </c>
      <c r="C418">
        <v>1</v>
      </c>
    </row>
    <row r="419" spans="1:3" x14ac:dyDescent="0.25">
      <c r="A419">
        <v>396</v>
      </c>
      <c r="B419">
        <v>396</v>
      </c>
      <c r="C419">
        <v>1</v>
      </c>
    </row>
    <row r="420" spans="1:3" x14ac:dyDescent="0.25">
      <c r="A420">
        <v>397</v>
      </c>
      <c r="B420">
        <v>395</v>
      </c>
      <c r="C420">
        <v>0.99999999000000006</v>
      </c>
    </row>
    <row r="421" spans="1:3" x14ac:dyDescent="0.25">
      <c r="A421">
        <v>398</v>
      </c>
      <c r="B421">
        <v>395</v>
      </c>
      <c r="C421">
        <v>0.99999999000000006</v>
      </c>
    </row>
    <row r="422" spans="1:3" x14ac:dyDescent="0.25">
      <c r="A422">
        <v>399</v>
      </c>
      <c r="B422">
        <v>354</v>
      </c>
      <c r="C422">
        <v>1</v>
      </c>
    </row>
    <row r="423" spans="1:3" x14ac:dyDescent="0.25">
      <c r="A423">
        <v>400</v>
      </c>
      <c r="B423">
        <v>354</v>
      </c>
      <c r="C423">
        <v>1</v>
      </c>
    </row>
    <row r="424" spans="1:3" x14ac:dyDescent="0.25">
      <c r="A424">
        <v>400</v>
      </c>
      <c r="B424">
        <v>357</v>
      </c>
      <c r="C424">
        <v>1.2000000000000002E-7</v>
      </c>
    </row>
    <row r="425" spans="1:3" x14ac:dyDescent="0.25">
      <c r="A425">
        <v>401</v>
      </c>
      <c r="B425">
        <v>354</v>
      </c>
      <c r="C425">
        <v>1</v>
      </c>
    </row>
    <row r="426" spans="1:3" x14ac:dyDescent="0.25">
      <c r="A426">
        <v>402</v>
      </c>
      <c r="B426">
        <v>354</v>
      </c>
      <c r="C426">
        <v>1</v>
      </c>
    </row>
    <row r="427" spans="1:3" x14ac:dyDescent="0.25">
      <c r="A427">
        <v>403</v>
      </c>
      <c r="B427">
        <v>373</v>
      </c>
      <c r="C427">
        <v>1</v>
      </c>
    </row>
    <row r="428" spans="1:3" x14ac:dyDescent="0.25">
      <c r="A428">
        <v>404</v>
      </c>
      <c r="B428">
        <v>373</v>
      </c>
      <c r="C428">
        <v>1</v>
      </c>
    </row>
    <row r="429" spans="1:3" x14ac:dyDescent="0.25">
      <c r="A429">
        <v>405</v>
      </c>
      <c r="B429">
        <v>395</v>
      </c>
      <c r="C429">
        <v>1</v>
      </c>
    </row>
    <row r="430" spans="1:3" x14ac:dyDescent="0.25">
      <c r="A430">
        <v>406</v>
      </c>
      <c r="B430">
        <v>395</v>
      </c>
      <c r="C430">
        <v>0.99999999000000006</v>
      </c>
    </row>
    <row r="431" spans="1:3" x14ac:dyDescent="0.25">
      <c r="A431">
        <v>407</v>
      </c>
      <c r="B431">
        <v>395</v>
      </c>
      <c r="C431">
        <v>0.99999999000000006</v>
      </c>
    </row>
    <row r="432" spans="1:3" x14ac:dyDescent="0.25">
      <c r="A432">
        <v>408</v>
      </c>
      <c r="B432">
        <v>395</v>
      </c>
      <c r="C432">
        <v>1</v>
      </c>
    </row>
    <row r="433" spans="1:3" x14ac:dyDescent="0.25">
      <c r="A433">
        <v>409</v>
      </c>
      <c r="B433">
        <v>395</v>
      </c>
      <c r="C433">
        <v>0.99999996999999996</v>
      </c>
    </row>
    <row r="434" spans="1:3" x14ac:dyDescent="0.25">
      <c r="A434">
        <v>410</v>
      </c>
      <c r="B434">
        <v>395</v>
      </c>
      <c r="C434">
        <v>1</v>
      </c>
    </row>
    <row r="435" spans="1:3" x14ac:dyDescent="0.25">
      <c r="A435">
        <v>411</v>
      </c>
      <c r="B435">
        <v>411</v>
      </c>
      <c r="C435">
        <v>0.99999999000000006</v>
      </c>
    </row>
    <row r="436" spans="1:3" x14ac:dyDescent="0.25">
      <c r="A436">
        <v>412</v>
      </c>
      <c r="B436">
        <v>395</v>
      </c>
      <c r="C436">
        <v>1</v>
      </c>
    </row>
    <row r="437" spans="1:3" x14ac:dyDescent="0.25">
      <c r="A437">
        <v>413</v>
      </c>
      <c r="B437">
        <v>395</v>
      </c>
      <c r="C437">
        <v>0.99999999000000006</v>
      </c>
    </row>
    <row r="438" spans="1:3" x14ac:dyDescent="0.25">
      <c r="A438">
        <v>414</v>
      </c>
      <c r="B438">
        <v>414</v>
      </c>
      <c r="C438">
        <v>1</v>
      </c>
    </row>
    <row r="439" spans="1:3" x14ac:dyDescent="0.25">
      <c r="A439">
        <v>415</v>
      </c>
      <c r="B439">
        <v>415</v>
      </c>
      <c r="C439">
        <v>1</v>
      </c>
    </row>
    <row r="440" spans="1:3" x14ac:dyDescent="0.25">
      <c r="A440">
        <v>416</v>
      </c>
      <c r="B440">
        <v>416</v>
      </c>
      <c r="C440">
        <v>1</v>
      </c>
    </row>
    <row r="441" spans="1:3" x14ac:dyDescent="0.25">
      <c r="A441">
        <v>417</v>
      </c>
      <c r="B441">
        <v>417</v>
      </c>
      <c r="C441">
        <v>1</v>
      </c>
    </row>
    <row r="442" spans="1:3" x14ac:dyDescent="0.25">
      <c r="A442">
        <v>418</v>
      </c>
      <c r="B442">
        <v>418</v>
      </c>
      <c r="C442">
        <v>1</v>
      </c>
    </row>
    <row r="443" spans="1:3" x14ac:dyDescent="0.25">
      <c r="A443">
        <v>419</v>
      </c>
      <c r="B443">
        <v>419</v>
      </c>
      <c r="C443">
        <v>1</v>
      </c>
    </row>
    <row r="444" spans="1:3" x14ac:dyDescent="0.25">
      <c r="A444">
        <v>419</v>
      </c>
      <c r="B444">
        <v>451</v>
      </c>
      <c r="C444">
        <v>4.07E-5</v>
      </c>
    </row>
    <row r="445" spans="1:3" x14ac:dyDescent="0.25">
      <c r="A445">
        <v>420</v>
      </c>
      <c r="B445">
        <v>420</v>
      </c>
      <c r="C445">
        <v>1</v>
      </c>
    </row>
    <row r="446" spans="1:3" x14ac:dyDescent="0.25">
      <c r="A446">
        <v>420</v>
      </c>
      <c r="B446">
        <v>421</v>
      </c>
      <c r="C446">
        <v>3.0380000000000001E-5</v>
      </c>
    </row>
    <row r="447" spans="1:3" x14ac:dyDescent="0.25">
      <c r="A447">
        <v>421</v>
      </c>
      <c r="B447">
        <v>389</v>
      </c>
      <c r="C447">
        <v>9.6633999999999999E-4</v>
      </c>
    </row>
    <row r="448" spans="1:3" x14ac:dyDescent="0.25">
      <c r="A448">
        <v>421</v>
      </c>
      <c r="B448">
        <v>390</v>
      </c>
      <c r="C448">
        <v>4.7674000000000002E-4</v>
      </c>
    </row>
    <row r="449" spans="1:3" x14ac:dyDescent="0.25">
      <c r="A449">
        <v>421</v>
      </c>
      <c r="B449">
        <v>420</v>
      </c>
      <c r="C449">
        <v>1.8824E-4</v>
      </c>
    </row>
    <row r="450" spans="1:3" x14ac:dyDescent="0.25">
      <c r="A450">
        <v>421</v>
      </c>
      <c r="B450">
        <v>421</v>
      </c>
      <c r="C450">
        <v>1</v>
      </c>
    </row>
    <row r="451" spans="1:3" x14ac:dyDescent="0.25">
      <c r="A451">
        <v>421</v>
      </c>
      <c r="B451">
        <v>422</v>
      </c>
      <c r="C451">
        <v>2.1999999999999998E-7</v>
      </c>
    </row>
    <row r="452" spans="1:3" x14ac:dyDescent="0.25">
      <c r="A452">
        <v>422</v>
      </c>
      <c r="B452">
        <v>421</v>
      </c>
      <c r="C452">
        <v>6.0000000000000008E-8</v>
      </c>
    </row>
    <row r="453" spans="1:3" x14ac:dyDescent="0.25">
      <c r="A453">
        <v>422</v>
      </c>
      <c r="B453">
        <v>422</v>
      </c>
      <c r="C453">
        <v>1</v>
      </c>
    </row>
    <row r="454" spans="1:3" x14ac:dyDescent="0.25">
      <c r="A454">
        <v>422</v>
      </c>
      <c r="B454">
        <v>426</v>
      </c>
      <c r="C454">
        <v>1.2412E-4</v>
      </c>
    </row>
    <row r="455" spans="1:3" x14ac:dyDescent="0.25">
      <c r="A455">
        <v>423</v>
      </c>
      <c r="B455">
        <v>423</v>
      </c>
      <c r="C455">
        <v>1</v>
      </c>
    </row>
    <row r="456" spans="1:3" x14ac:dyDescent="0.25">
      <c r="A456">
        <v>424</v>
      </c>
      <c r="B456">
        <v>424</v>
      </c>
      <c r="C456">
        <v>1</v>
      </c>
    </row>
    <row r="457" spans="1:3" x14ac:dyDescent="0.25">
      <c r="A457">
        <v>425</v>
      </c>
      <c r="B457">
        <v>423</v>
      </c>
      <c r="C457">
        <v>1</v>
      </c>
    </row>
    <row r="458" spans="1:3" x14ac:dyDescent="0.25">
      <c r="A458">
        <v>426</v>
      </c>
      <c r="B458">
        <v>382</v>
      </c>
      <c r="C458">
        <v>2.3626000000000002E-4</v>
      </c>
    </row>
    <row r="459" spans="1:3" x14ac:dyDescent="0.25">
      <c r="A459">
        <v>426</v>
      </c>
      <c r="B459">
        <v>383</v>
      </c>
      <c r="C459">
        <v>1.2930000000000002E-5</v>
      </c>
    </row>
    <row r="460" spans="1:3" x14ac:dyDescent="0.25">
      <c r="A460">
        <v>426</v>
      </c>
      <c r="B460">
        <v>422</v>
      </c>
      <c r="C460">
        <v>1.7106000000000001E-4</v>
      </c>
    </row>
    <row r="461" spans="1:3" x14ac:dyDescent="0.25">
      <c r="A461">
        <v>426</v>
      </c>
      <c r="B461">
        <v>426</v>
      </c>
      <c r="C461">
        <v>0.99999998000000001</v>
      </c>
    </row>
    <row r="462" spans="1:3" x14ac:dyDescent="0.25">
      <c r="A462">
        <v>426</v>
      </c>
      <c r="B462">
        <v>427</v>
      </c>
      <c r="C462">
        <v>6.7113999999999997E-4</v>
      </c>
    </row>
    <row r="463" spans="1:3" x14ac:dyDescent="0.25">
      <c r="A463">
        <v>427</v>
      </c>
      <c r="B463">
        <v>426</v>
      </c>
      <c r="C463">
        <v>1.7882799999999999E-3</v>
      </c>
    </row>
    <row r="464" spans="1:3" x14ac:dyDescent="0.25">
      <c r="A464">
        <v>427</v>
      </c>
      <c r="B464">
        <v>427</v>
      </c>
      <c r="C464">
        <v>1</v>
      </c>
    </row>
    <row r="465" spans="1:3" x14ac:dyDescent="0.25">
      <c r="A465">
        <v>428</v>
      </c>
      <c r="B465">
        <v>428</v>
      </c>
      <c r="C465">
        <v>1</v>
      </c>
    </row>
    <row r="466" spans="1:3" x14ac:dyDescent="0.25">
      <c r="A466">
        <v>429</v>
      </c>
      <c r="B466">
        <v>429</v>
      </c>
      <c r="C466">
        <v>1</v>
      </c>
    </row>
    <row r="467" spans="1:3" x14ac:dyDescent="0.25">
      <c r="A467">
        <v>430</v>
      </c>
      <c r="B467">
        <v>430</v>
      </c>
      <c r="C467">
        <v>1</v>
      </c>
    </row>
    <row r="468" spans="1:3" x14ac:dyDescent="0.25">
      <c r="A468">
        <v>431</v>
      </c>
      <c r="B468">
        <v>431</v>
      </c>
      <c r="C468">
        <v>1</v>
      </c>
    </row>
    <row r="469" spans="1:3" x14ac:dyDescent="0.25">
      <c r="A469">
        <v>432</v>
      </c>
      <c r="B469">
        <v>432</v>
      </c>
      <c r="C469">
        <v>1</v>
      </c>
    </row>
    <row r="470" spans="1:3" x14ac:dyDescent="0.25">
      <c r="A470">
        <v>433</v>
      </c>
      <c r="B470">
        <v>433</v>
      </c>
      <c r="C470">
        <v>1</v>
      </c>
    </row>
    <row r="471" spans="1:3" x14ac:dyDescent="0.25">
      <c r="A471">
        <v>434</v>
      </c>
      <c r="B471">
        <v>434</v>
      </c>
      <c r="C471">
        <v>1</v>
      </c>
    </row>
    <row r="472" spans="1:3" x14ac:dyDescent="0.25">
      <c r="A472">
        <v>435</v>
      </c>
      <c r="B472">
        <v>435</v>
      </c>
      <c r="C472">
        <v>1</v>
      </c>
    </row>
    <row r="473" spans="1:3" x14ac:dyDescent="0.25">
      <c r="A473">
        <v>436</v>
      </c>
      <c r="B473">
        <v>436</v>
      </c>
      <c r="C473">
        <v>1</v>
      </c>
    </row>
    <row r="474" spans="1:3" x14ac:dyDescent="0.25">
      <c r="A474">
        <v>437</v>
      </c>
      <c r="B474">
        <v>437</v>
      </c>
      <c r="C474">
        <v>1</v>
      </c>
    </row>
    <row r="475" spans="1:3" x14ac:dyDescent="0.25">
      <c r="A475">
        <v>438</v>
      </c>
      <c r="B475">
        <v>82</v>
      </c>
      <c r="C475">
        <v>0.99999973999999991</v>
      </c>
    </row>
    <row r="476" spans="1:3" x14ac:dyDescent="0.25">
      <c r="A476">
        <v>439</v>
      </c>
      <c r="B476">
        <v>439</v>
      </c>
      <c r="C476">
        <v>1</v>
      </c>
    </row>
    <row r="477" spans="1:3" x14ac:dyDescent="0.25">
      <c r="A477">
        <v>440</v>
      </c>
      <c r="B477">
        <v>249</v>
      </c>
      <c r="C477">
        <v>0.99999965000000002</v>
      </c>
    </row>
    <row r="478" spans="1:3" x14ac:dyDescent="0.25">
      <c r="A478">
        <v>441</v>
      </c>
      <c r="B478">
        <v>310</v>
      </c>
      <c r="C478">
        <v>1</v>
      </c>
    </row>
    <row r="479" spans="1:3" x14ac:dyDescent="0.25">
      <c r="A479">
        <v>442</v>
      </c>
      <c r="B479">
        <v>442</v>
      </c>
      <c r="C479">
        <v>0.99999995999999991</v>
      </c>
    </row>
    <row r="480" spans="1:3" x14ac:dyDescent="0.25">
      <c r="A480">
        <v>443</v>
      </c>
      <c r="B480">
        <v>83</v>
      </c>
      <c r="C480">
        <v>1.5610000000000001E-5</v>
      </c>
    </row>
    <row r="481" spans="1:3" x14ac:dyDescent="0.25">
      <c r="A481">
        <v>443</v>
      </c>
      <c r="B481">
        <v>443</v>
      </c>
      <c r="C481">
        <v>0.99999994999999997</v>
      </c>
    </row>
    <row r="482" spans="1:3" x14ac:dyDescent="0.25">
      <c r="A482">
        <v>444</v>
      </c>
      <c r="B482">
        <v>444</v>
      </c>
      <c r="C482">
        <v>1</v>
      </c>
    </row>
    <row r="483" spans="1:3" x14ac:dyDescent="0.25">
      <c r="A483">
        <v>445</v>
      </c>
      <c r="B483">
        <v>81</v>
      </c>
      <c r="C483">
        <v>1</v>
      </c>
    </row>
    <row r="484" spans="1:3" x14ac:dyDescent="0.25">
      <c r="A484">
        <v>446</v>
      </c>
      <c r="B484">
        <v>81</v>
      </c>
      <c r="C484">
        <v>0.99999981000000004</v>
      </c>
    </row>
    <row r="485" spans="1:3" x14ac:dyDescent="0.25">
      <c r="A485">
        <v>447</v>
      </c>
      <c r="B485">
        <v>43</v>
      </c>
      <c r="C485">
        <v>2.5273499999999998E-3</v>
      </c>
    </row>
    <row r="486" spans="1:3" x14ac:dyDescent="0.25">
      <c r="A486">
        <v>447</v>
      </c>
      <c r="B486">
        <v>48</v>
      </c>
      <c r="C486">
        <v>6.5407999999999992E-4</v>
      </c>
    </row>
    <row r="487" spans="1:3" x14ac:dyDescent="0.25">
      <c r="A487">
        <v>447</v>
      </c>
      <c r="B487">
        <v>49</v>
      </c>
      <c r="C487">
        <v>9.9843999999999996E-4</v>
      </c>
    </row>
    <row r="488" spans="1:3" x14ac:dyDescent="0.25">
      <c r="A488">
        <v>447</v>
      </c>
      <c r="B488">
        <v>447</v>
      </c>
      <c r="C488">
        <v>0.99999984999999991</v>
      </c>
    </row>
    <row r="489" spans="1:3" x14ac:dyDescent="0.25">
      <c r="A489">
        <v>448</v>
      </c>
      <c r="B489">
        <v>354</v>
      </c>
      <c r="C489">
        <v>1</v>
      </c>
    </row>
    <row r="490" spans="1:3" x14ac:dyDescent="0.25">
      <c r="A490">
        <v>449</v>
      </c>
      <c r="B490">
        <v>357</v>
      </c>
      <c r="C490">
        <v>1</v>
      </c>
    </row>
    <row r="491" spans="1:3" x14ac:dyDescent="0.25">
      <c r="A491">
        <v>450</v>
      </c>
      <c r="B491">
        <v>450</v>
      </c>
      <c r="C491">
        <v>1</v>
      </c>
    </row>
    <row r="492" spans="1:3" x14ac:dyDescent="0.25">
      <c r="A492">
        <v>451</v>
      </c>
      <c r="B492">
        <v>419</v>
      </c>
      <c r="C492">
        <v>1.3354E-4</v>
      </c>
    </row>
    <row r="493" spans="1:3" x14ac:dyDescent="0.25">
      <c r="A493">
        <v>451</v>
      </c>
      <c r="B493">
        <v>451</v>
      </c>
      <c r="C493">
        <v>1</v>
      </c>
    </row>
    <row r="494" spans="1:3" x14ac:dyDescent="0.25">
      <c r="A494">
        <v>452</v>
      </c>
      <c r="B494">
        <v>395</v>
      </c>
      <c r="C494">
        <v>0.99999998000000001</v>
      </c>
    </row>
    <row r="495" spans="1:3" x14ac:dyDescent="0.25">
      <c r="A495">
        <v>453</v>
      </c>
      <c r="B495">
        <v>350</v>
      </c>
      <c r="C495">
        <v>6.5599999999999999E-6</v>
      </c>
    </row>
    <row r="496" spans="1:3" x14ac:dyDescent="0.25">
      <c r="A496">
        <v>453</v>
      </c>
      <c r="B496">
        <v>357</v>
      </c>
      <c r="C496">
        <v>1</v>
      </c>
    </row>
    <row r="497" spans="1:3" x14ac:dyDescent="0.25">
      <c r="A497">
        <v>454</v>
      </c>
      <c r="B497">
        <v>368</v>
      </c>
      <c r="C497">
        <v>0.99999972999999998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8CDA-E5EF-47BA-8869-1738086D8D7B}">
  <dimension ref="A1:D431"/>
  <sheetViews>
    <sheetView topLeftCell="A175" workbookViewId="0">
      <selection activeCell="G3" sqref="G3"/>
    </sheetView>
  </sheetViews>
  <sheetFormatPr defaultRowHeight="15" x14ac:dyDescent="0.25"/>
  <cols>
    <col min="3" max="3" width="20.5703125" customWidth="1"/>
  </cols>
  <sheetData>
    <row r="1" spans="1:4" x14ac:dyDescent="0.25">
      <c r="A1" t="s">
        <v>1</v>
      </c>
      <c r="B1" t="s">
        <v>12</v>
      </c>
      <c r="C1" t="s">
        <v>14</v>
      </c>
      <c r="D1" t="s">
        <v>18</v>
      </c>
    </row>
    <row r="2" spans="1:4" x14ac:dyDescent="0.25">
      <c r="A2">
        <v>31</v>
      </c>
      <c r="B2">
        <v>31</v>
      </c>
      <c r="C2" t="s">
        <v>8</v>
      </c>
      <c r="D2">
        <v>1</v>
      </c>
    </row>
    <row r="3" spans="1:4" x14ac:dyDescent="0.25">
      <c r="A3">
        <v>32</v>
      </c>
      <c r="B3">
        <v>43</v>
      </c>
      <c r="C3" t="s">
        <v>8</v>
      </c>
      <c r="D3">
        <v>1</v>
      </c>
    </row>
    <row r="4" spans="1:4" x14ac:dyDescent="0.25">
      <c r="A4">
        <v>33</v>
      </c>
      <c r="B4">
        <v>35</v>
      </c>
      <c r="C4" t="s">
        <v>8</v>
      </c>
      <c r="D4">
        <v>1</v>
      </c>
    </row>
    <row r="5" spans="1:4" x14ac:dyDescent="0.25">
      <c r="A5">
        <v>34</v>
      </c>
      <c r="B5">
        <v>36</v>
      </c>
      <c r="C5" t="s">
        <v>8</v>
      </c>
      <c r="D5">
        <v>1</v>
      </c>
    </row>
    <row r="6" spans="1:4" x14ac:dyDescent="0.25">
      <c r="A6">
        <v>35</v>
      </c>
      <c r="B6">
        <v>37</v>
      </c>
      <c r="C6" t="s">
        <v>8</v>
      </c>
      <c r="D6">
        <v>1</v>
      </c>
    </row>
    <row r="7" spans="1:4" x14ac:dyDescent="0.25">
      <c r="A7">
        <v>36</v>
      </c>
      <c r="B7">
        <v>396</v>
      </c>
      <c r="C7" t="s">
        <v>8</v>
      </c>
      <c r="D7">
        <v>1</v>
      </c>
    </row>
    <row r="8" spans="1:4" x14ac:dyDescent="0.25">
      <c r="A8">
        <v>37</v>
      </c>
      <c r="B8">
        <v>396</v>
      </c>
      <c r="C8" t="s">
        <v>8</v>
      </c>
      <c r="D8">
        <v>1</v>
      </c>
    </row>
    <row r="9" spans="1:4" x14ac:dyDescent="0.25">
      <c r="A9">
        <v>38</v>
      </c>
      <c r="B9">
        <v>406</v>
      </c>
      <c r="C9" t="s">
        <v>8</v>
      </c>
      <c r="D9">
        <v>1</v>
      </c>
    </row>
    <row r="10" spans="1:4" x14ac:dyDescent="0.25">
      <c r="A10">
        <v>39</v>
      </c>
      <c r="B10">
        <v>402</v>
      </c>
      <c r="C10" t="s">
        <v>8</v>
      </c>
      <c r="D10">
        <v>1</v>
      </c>
    </row>
    <row r="11" spans="1:4" x14ac:dyDescent="0.25">
      <c r="A11">
        <v>40</v>
      </c>
      <c r="B11">
        <v>401</v>
      </c>
      <c r="C11" t="s">
        <v>8</v>
      </c>
      <c r="D11">
        <v>1</v>
      </c>
    </row>
    <row r="12" spans="1:4" x14ac:dyDescent="0.25">
      <c r="A12">
        <v>41</v>
      </c>
      <c r="B12">
        <v>401</v>
      </c>
      <c r="C12" t="s">
        <v>8</v>
      </c>
      <c r="D12">
        <v>1</v>
      </c>
    </row>
    <row r="13" spans="1:4" x14ac:dyDescent="0.25">
      <c r="A13">
        <v>42</v>
      </c>
      <c r="B13">
        <v>405</v>
      </c>
      <c r="C13" t="s">
        <v>8</v>
      </c>
      <c r="D13">
        <v>1</v>
      </c>
    </row>
    <row r="14" spans="1:4" x14ac:dyDescent="0.25">
      <c r="A14">
        <v>43</v>
      </c>
      <c r="B14">
        <v>399</v>
      </c>
      <c r="C14" t="s">
        <v>8</v>
      </c>
      <c r="D14">
        <v>1</v>
      </c>
    </row>
    <row r="15" spans="1:4" x14ac:dyDescent="0.25">
      <c r="A15">
        <v>44</v>
      </c>
      <c r="B15">
        <v>405</v>
      </c>
      <c r="C15" t="s">
        <v>8</v>
      </c>
      <c r="D15">
        <v>1</v>
      </c>
    </row>
    <row r="16" spans="1:4" x14ac:dyDescent="0.25">
      <c r="A16">
        <v>45</v>
      </c>
      <c r="B16">
        <v>43</v>
      </c>
      <c r="C16" t="s">
        <v>8</v>
      </c>
      <c r="D16">
        <v>1</v>
      </c>
    </row>
    <row r="17" spans="1:4" x14ac:dyDescent="0.25">
      <c r="A17">
        <v>46</v>
      </c>
      <c r="B17">
        <v>45</v>
      </c>
      <c r="C17" t="s">
        <v>8</v>
      </c>
      <c r="D17">
        <v>1</v>
      </c>
    </row>
    <row r="18" spans="1:4" x14ac:dyDescent="0.25">
      <c r="A18">
        <v>47</v>
      </c>
      <c r="B18">
        <v>46</v>
      </c>
      <c r="C18" t="s">
        <v>8</v>
      </c>
      <c r="D18">
        <v>1</v>
      </c>
    </row>
    <row r="19" spans="1:4" x14ac:dyDescent="0.25">
      <c r="A19">
        <v>48</v>
      </c>
      <c r="B19">
        <v>399</v>
      </c>
      <c r="C19" t="s">
        <v>8</v>
      </c>
      <c r="D19">
        <v>1</v>
      </c>
    </row>
    <row r="20" spans="1:4" x14ac:dyDescent="0.25">
      <c r="A20">
        <v>49</v>
      </c>
      <c r="B20">
        <v>398</v>
      </c>
      <c r="C20" t="s">
        <v>8</v>
      </c>
      <c r="D20">
        <v>1</v>
      </c>
    </row>
    <row r="21" spans="1:4" x14ac:dyDescent="0.25">
      <c r="A21">
        <v>50</v>
      </c>
      <c r="B21">
        <v>43</v>
      </c>
      <c r="C21" t="s">
        <v>8</v>
      </c>
      <c r="D21">
        <v>1</v>
      </c>
    </row>
    <row r="22" spans="1:4" x14ac:dyDescent="0.25">
      <c r="A22">
        <v>51</v>
      </c>
      <c r="B22">
        <v>398</v>
      </c>
      <c r="C22" t="s">
        <v>9</v>
      </c>
      <c r="D22">
        <v>1</v>
      </c>
    </row>
    <row r="23" spans="1:4" x14ac:dyDescent="0.25">
      <c r="A23">
        <v>52</v>
      </c>
      <c r="B23">
        <v>52</v>
      </c>
      <c r="C23" t="s">
        <v>10</v>
      </c>
      <c r="D23">
        <v>1</v>
      </c>
    </row>
    <row r="24" spans="1:4" x14ac:dyDescent="0.25">
      <c r="A24">
        <v>53</v>
      </c>
      <c r="B24">
        <v>399</v>
      </c>
      <c r="C24" t="s">
        <v>8</v>
      </c>
      <c r="D24">
        <v>1</v>
      </c>
    </row>
    <row r="25" spans="1:4" x14ac:dyDescent="0.25">
      <c r="A25">
        <v>54</v>
      </c>
      <c r="B25">
        <v>52</v>
      </c>
      <c r="C25" t="s">
        <v>8</v>
      </c>
      <c r="D25">
        <v>1</v>
      </c>
    </row>
    <row r="26" spans="1:4" x14ac:dyDescent="0.25">
      <c r="A26">
        <v>55</v>
      </c>
      <c r="B26">
        <v>401</v>
      </c>
      <c r="C26" t="s">
        <v>8</v>
      </c>
      <c r="D26">
        <v>1</v>
      </c>
    </row>
    <row r="27" spans="1:4" x14ac:dyDescent="0.25">
      <c r="A27">
        <v>56</v>
      </c>
      <c r="B27">
        <v>401</v>
      </c>
      <c r="C27" t="s">
        <v>8</v>
      </c>
      <c r="D27">
        <v>1</v>
      </c>
    </row>
    <row r="28" spans="1:4" x14ac:dyDescent="0.25">
      <c r="A28">
        <v>57</v>
      </c>
      <c r="B28">
        <v>404</v>
      </c>
      <c r="C28" t="s">
        <v>8</v>
      </c>
      <c r="D28">
        <v>1</v>
      </c>
    </row>
    <row r="29" spans="1:4" x14ac:dyDescent="0.25">
      <c r="A29">
        <v>58</v>
      </c>
      <c r="B29">
        <v>54</v>
      </c>
      <c r="C29" t="s">
        <v>8</v>
      </c>
      <c r="D29">
        <v>1</v>
      </c>
    </row>
    <row r="30" spans="1:4" x14ac:dyDescent="0.25">
      <c r="A30">
        <v>59</v>
      </c>
      <c r="B30">
        <v>53</v>
      </c>
      <c r="C30" t="s">
        <v>8</v>
      </c>
      <c r="D30">
        <v>1</v>
      </c>
    </row>
    <row r="31" spans="1:4" x14ac:dyDescent="0.25">
      <c r="A31">
        <v>60</v>
      </c>
      <c r="B31">
        <v>51</v>
      </c>
      <c r="C31" t="s">
        <v>10</v>
      </c>
      <c r="D31">
        <v>1</v>
      </c>
    </row>
    <row r="32" spans="1:4" x14ac:dyDescent="0.25">
      <c r="A32">
        <v>61</v>
      </c>
      <c r="B32">
        <v>399</v>
      </c>
      <c r="C32" t="s">
        <v>8</v>
      </c>
      <c r="D32">
        <v>1</v>
      </c>
    </row>
    <row r="33" spans="1:4" x14ac:dyDescent="0.25">
      <c r="A33">
        <v>62</v>
      </c>
      <c r="B33">
        <v>399</v>
      </c>
      <c r="C33" t="s">
        <v>8</v>
      </c>
      <c r="D33">
        <v>1</v>
      </c>
    </row>
    <row r="34" spans="1:4" x14ac:dyDescent="0.25">
      <c r="A34">
        <v>63</v>
      </c>
      <c r="B34">
        <v>68</v>
      </c>
      <c r="C34" t="s">
        <v>8</v>
      </c>
      <c r="D34">
        <v>1</v>
      </c>
    </row>
    <row r="35" spans="1:4" x14ac:dyDescent="0.25">
      <c r="A35">
        <v>64</v>
      </c>
      <c r="B35">
        <v>65</v>
      </c>
      <c r="C35" t="s">
        <v>10</v>
      </c>
      <c r="D35">
        <v>1</v>
      </c>
    </row>
    <row r="36" spans="1:4" x14ac:dyDescent="0.25">
      <c r="A36">
        <v>65</v>
      </c>
      <c r="B36">
        <v>65</v>
      </c>
      <c r="C36" t="s">
        <v>10</v>
      </c>
      <c r="D36">
        <v>1</v>
      </c>
    </row>
    <row r="37" spans="1:4" x14ac:dyDescent="0.25">
      <c r="A37">
        <v>66</v>
      </c>
      <c r="B37">
        <v>406</v>
      </c>
      <c r="C37" t="s">
        <v>9</v>
      </c>
      <c r="D37">
        <v>1</v>
      </c>
    </row>
    <row r="38" spans="1:4" x14ac:dyDescent="0.25">
      <c r="A38">
        <v>67</v>
      </c>
      <c r="B38">
        <v>404</v>
      </c>
      <c r="C38" t="s">
        <v>8</v>
      </c>
      <c r="D38">
        <v>1</v>
      </c>
    </row>
    <row r="39" spans="1:4" x14ac:dyDescent="0.25">
      <c r="A39">
        <v>68</v>
      </c>
      <c r="B39">
        <v>404</v>
      </c>
      <c r="C39" t="s">
        <v>8</v>
      </c>
      <c r="D39">
        <v>1</v>
      </c>
    </row>
    <row r="40" spans="1:4" x14ac:dyDescent="0.25">
      <c r="A40">
        <v>69</v>
      </c>
      <c r="B40">
        <v>406</v>
      </c>
      <c r="C40" t="s">
        <v>8</v>
      </c>
      <c r="D40">
        <v>1</v>
      </c>
    </row>
    <row r="41" spans="1:4" x14ac:dyDescent="0.25">
      <c r="A41">
        <v>70</v>
      </c>
      <c r="B41">
        <v>406</v>
      </c>
      <c r="C41" t="s">
        <v>8</v>
      </c>
      <c r="D41">
        <v>1</v>
      </c>
    </row>
    <row r="42" spans="1:4" x14ac:dyDescent="0.25">
      <c r="A42">
        <v>71</v>
      </c>
      <c r="B42">
        <v>407</v>
      </c>
      <c r="C42" t="s">
        <v>8</v>
      </c>
      <c r="D42">
        <v>1</v>
      </c>
    </row>
    <row r="43" spans="1:4" x14ac:dyDescent="0.25">
      <c r="A43">
        <v>72</v>
      </c>
      <c r="B43">
        <v>407</v>
      </c>
      <c r="C43" t="s">
        <v>8</v>
      </c>
      <c r="D43">
        <v>1</v>
      </c>
    </row>
    <row r="44" spans="1:4" x14ac:dyDescent="0.25">
      <c r="A44">
        <v>73</v>
      </c>
      <c r="B44">
        <v>407</v>
      </c>
      <c r="C44" t="s">
        <v>8</v>
      </c>
      <c r="D44">
        <v>1</v>
      </c>
    </row>
    <row r="45" spans="1:4" x14ac:dyDescent="0.25">
      <c r="A45">
        <v>74</v>
      </c>
      <c r="B45">
        <v>407</v>
      </c>
      <c r="C45" t="s">
        <v>9</v>
      </c>
      <c r="D45">
        <v>1</v>
      </c>
    </row>
    <row r="46" spans="1:4" x14ac:dyDescent="0.25">
      <c r="A46">
        <v>75</v>
      </c>
      <c r="B46">
        <v>62</v>
      </c>
      <c r="C46" t="s">
        <v>9</v>
      </c>
      <c r="D46">
        <v>1</v>
      </c>
    </row>
    <row r="47" spans="1:4" x14ac:dyDescent="0.25">
      <c r="A47">
        <v>76</v>
      </c>
      <c r="B47">
        <v>407</v>
      </c>
      <c r="C47" t="s">
        <v>5</v>
      </c>
      <c r="D47">
        <v>1</v>
      </c>
    </row>
    <row r="48" spans="1:4" x14ac:dyDescent="0.25">
      <c r="A48">
        <v>77</v>
      </c>
      <c r="B48">
        <v>64</v>
      </c>
      <c r="C48" t="s">
        <v>10</v>
      </c>
      <c r="D48">
        <v>1</v>
      </c>
    </row>
    <row r="49" spans="1:4" x14ac:dyDescent="0.25">
      <c r="A49">
        <v>78</v>
      </c>
      <c r="B49">
        <v>63</v>
      </c>
      <c r="C49" t="s">
        <v>10</v>
      </c>
      <c r="D49">
        <v>1</v>
      </c>
    </row>
    <row r="50" spans="1:4" x14ac:dyDescent="0.25">
      <c r="A50">
        <v>79</v>
      </c>
      <c r="B50">
        <v>67</v>
      </c>
      <c r="C50" t="s">
        <v>10</v>
      </c>
      <c r="D50">
        <v>1</v>
      </c>
    </row>
    <row r="51" spans="1:4" x14ac:dyDescent="0.25">
      <c r="A51">
        <v>80</v>
      </c>
      <c r="B51">
        <v>79</v>
      </c>
      <c r="C51" t="s">
        <v>8</v>
      </c>
      <c r="D51">
        <v>1</v>
      </c>
    </row>
    <row r="52" spans="1:4" x14ac:dyDescent="0.25">
      <c r="A52">
        <v>81</v>
      </c>
      <c r="B52">
        <v>399</v>
      </c>
      <c r="C52" t="s">
        <v>8</v>
      </c>
      <c r="D52">
        <v>0.99999994000000003</v>
      </c>
    </row>
    <row r="53" spans="1:4" x14ac:dyDescent="0.25">
      <c r="A53">
        <v>82</v>
      </c>
      <c r="B53">
        <v>81</v>
      </c>
      <c r="C53" t="s">
        <v>6</v>
      </c>
      <c r="D53">
        <v>1</v>
      </c>
    </row>
    <row r="54" spans="1:4" x14ac:dyDescent="0.25">
      <c r="A54">
        <v>83</v>
      </c>
      <c r="B54">
        <v>74</v>
      </c>
      <c r="C54" t="s">
        <v>6</v>
      </c>
      <c r="D54">
        <v>1</v>
      </c>
    </row>
    <row r="55" spans="1:4" x14ac:dyDescent="0.25">
      <c r="A55">
        <v>84</v>
      </c>
      <c r="B55">
        <v>73</v>
      </c>
      <c r="C55" t="s">
        <v>6</v>
      </c>
      <c r="D55">
        <v>1</v>
      </c>
    </row>
    <row r="56" spans="1:4" x14ac:dyDescent="0.25">
      <c r="A56">
        <v>85</v>
      </c>
      <c r="B56">
        <v>73</v>
      </c>
      <c r="C56" t="s">
        <v>6</v>
      </c>
      <c r="D56">
        <v>1</v>
      </c>
    </row>
    <row r="57" spans="1:4" x14ac:dyDescent="0.25">
      <c r="A57">
        <v>86</v>
      </c>
      <c r="B57">
        <v>86</v>
      </c>
      <c r="C57" t="s">
        <v>6</v>
      </c>
      <c r="D57">
        <v>1</v>
      </c>
    </row>
    <row r="58" spans="1:4" x14ac:dyDescent="0.25">
      <c r="A58">
        <v>87</v>
      </c>
      <c r="B58">
        <v>74</v>
      </c>
      <c r="C58" t="s">
        <v>6</v>
      </c>
      <c r="D58">
        <v>1</v>
      </c>
    </row>
    <row r="59" spans="1:4" x14ac:dyDescent="0.25">
      <c r="A59">
        <v>88</v>
      </c>
      <c r="B59">
        <v>81</v>
      </c>
      <c r="C59" t="s">
        <v>6</v>
      </c>
      <c r="D59">
        <v>1</v>
      </c>
    </row>
    <row r="60" spans="1:4" x14ac:dyDescent="0.25">
      <c r="A60">
        <v>89</v>
      </c>
      <c r="B60">
        <v>77</v>
      </c>
      <c r="C60" t="s">
        <v>6</v>
      </c>
      <c r="D60">
        <v>1</v>
      </c>
    </row>
    <row r="61" spans="1:4" x14ac:dyDescent="0.25">
      <c r="A61">
        <v>90</v>
      </c>
      <c r="B61">
        <v>81</v>
      </c>
      <c r="C61" t="s">
        <v>7</v>
      </c>
      <c r="D61">
        <v>1</v>
      </c>
    </row>
    <row r="62" spans="1:4" x14ac:dyDescent="0.25">
      <c r="A62">
        <v>91</v>
      </c>
      <c r="B62">
        <v>81</v>
      </c>
      <c r="C62" t="s">
        <v>6</v>
      </c>
      <c r="D62">
        <v>1</v>
      </c>
    </row>
    <row r="63" spans="1:4" x14ac:dyDescent="0.25">
      <c r="A63">
        <v>92</v>
      </c>
      <c r="B63">
        <v>86</v>
      </c>
      <c r="C63" t="s">
        <v>6</v>
      </c>
      <c r="D63">
        <v>1</v>
      </c>
    </row>
    <row r="64" spans="1:4" x14ac:dyDescent="0.25">
      <c r="A64">
        <v>93</v>
      </c>
      <c r="B64">
        <v>85</v>
      </c>
      <c r="C64" t="s">
        <v>6</v>
      </c>
      <c r="D64">
        <v>1</v>
      </c>
    </row>
    <row r="65" spans="1:4" x14ac:dyDescent="0.25">
      <c r="A65">
        <v>94</v>
      </c>
      <c r="B65">
        <v>84</v>
      </c>
      <c r="C65" t="s">
        <v>6</v>
      </c>
      <c r="D65">
        <v>1</v>
      </c>
    </row>
    <row r="66" spans="1:4" x14ac:dyDescent="0.25">
      <c r="A66">
        <v>95</v>
      </c>
      <c r="B66">
        <v>83</v>
      </c>
      <c r="C66" t="s">
        <v>7</v>
      </c>
      <c r="D66">
        <v>1</v>
      </c>
    </row>
    <row r="67" spans="1:4" x14ac:dyDescent="0.25">
      <c r="A67">
        <v>96</v>
      </c>
      <c r="B67">
        <v>81</v>
      </c>
      <c r="C67" t="s">
        <v>6</v>
      </c>
      <c r="D67">
        <v>1</v>
      </c>
    </row>
    <row r="68" spans="1:4" x14ac:dyDescent="0.25">
      <c r="A68">
        <v>97</v>
      </c>
      <c r="B68">
        <v>88</v>
      </c>
      <c r="C68" t="s">
        <v>6</v>
      </c>
      <c r="D68">
        <v>1</v>
      </c>
    </row>
    <row r="69" spans="1:4" x14ac:dyDescent="0.25">
      <c r="A69">
        <v>98</v>
      </c>
      <c r="B69">
        <v>94</v>
      </c>
      <c r="C69" t="s">
        <v>6</v>
      </c>
      <c r="D69">
        <v>1</v>
      </c>
    </row>
    <row r="70" spans="1:4" x14ac:dyDescent="0.25">
      <c r="A70">
        <v>99</v>
      </c>
      <c r="B70">
        <v>94</v>
      </c>
      <c r="C70" t="s">
        <v>6</v>
      </c>
      <c r="D70">
        <v>1</v>
      </c>
    </row>
    <row r="71" spans="1:4" x14ac:dyDescent="0.25">
      <c r="A71">
        <v>100</v>
      </c>
      <c r="B71">
        <v>94</v>
      </c>
      <c r="C71" t="s">
        <v>6</v>
      </c>
      <c r="D71">
        <v>1</v>
      </c>
    </row>
    <row r="72" spans="1:4" x14ac:dyDescent="0.25">
      <c r="A72">
        <v>101</v>
      </c>
      <c r="B72">
        <v>94</v>
      </c>
      <c r="C72" t="s">
        <v>6</v>
      </c>
      <c r="D72">
        <v>1</v>
      </c>
    </row>
    <row r="73" spans="1:4" x14ac:dyDescent="0.25">
      <c r="A73">
        <v>102</v>
      </c>
      <c r="B73">
        <v>100</v>
      </c>
      <c r="C73" t="s">
        <v>6</v>
      </c>
      <c r="D73">
        <v>1</v>
      </c>
    </row>
    <row r="74" spans="1:4" x14ac:dyDescent="0.25">
      <c r="A74">
        <v>103</v>
      </c>
      <c r="B74">
        <v>93</v>
      </c>
      <c r="C74" t="s">
        <v>7</v>
      </c>
      <c r="D74">
        <v>1</v>
      </c>
    </row>
    <row r="75" spans="1:4" x14ac:dyDescent="0.25">
      <c r="A75">
        <v>104</v>
      </c>
      <c r="B75">
        <v>93</v>
      </c>
      <c r="C75" t="s">
        <v>7</v>
      </c>
      <c r="D75">
        <v>1</v>
      </c>
    </row>
    <row r="76" spans="1:4" x14ac:dyDescent="0.25">
      <c r="A76">
        <v>105</v>
      </c>
      <c r="B76">
        <v>90</v>
      </c>
      <c r="C76" t="s">
        <v>7</v>
      </c>
      <c r="D76">
        <v>1</v>
      </c>
    </row>
    <row r="77" spans="1:4" x14ac:dyDescent="0.25">
      <c r="A77">
        <v>106</v>
      </c>
      <c r="B77">
        <v>92</v>
      </c>
      <c r="C77" t="s">
        <v>7</v>
      </c>
      <c r="D77">
        <v>1</v>
      </c>
    </row>
    <row r="78" spans="1:4" x14ac:dyDescent="0.25">
      <c r="A78">
        <v>107</v>
      </c>
      <c r="B78">
        <v>89</v>
      </c>
      <c r="C78" t="s">
        <v>6</v>
      </c>
      <c r="D78">
        <v>1</v>
      </c>
    </row>
    <row r="79" spans="1:4" x14ac:dyDescent="0.25">
      <c r="A79">
        <v>108</v>
      </c>
      <c r="B79">
        <v>89</v>
      </c>
      <c r="C79" t="s">
        <v>6</v>
      </c>
      <c r="D79">
        <v>1</v>
      </c>
    </row>
    <row r="80" spans="1:4" x14ac:dyDescent="0.25">
      <c r="A80">
        <v>109</v>
      </c>
      <c r="B80">
        <v>88</v>
      </c>
      <c r="C80" t="s">
        <v>6</v>
      </c>
      <c r="D80">
        <v>1</v>
      </c>
    </row>
    <row r="81" spans="1:4" x14ac:dyDescent="0.25">
      <c r="A81">
        <v>110</v>
      </c>
      <c r="B81">
        <v>95</v>
      </c>
      <c r="C81" t="s">
        <v>6</v>
      </c>
      <c r="D81">
        <v>0.99999989</v>
      </c>
    </row>
    <row r="82" spans="1:4" x14ac:dyDescent="0.25">
      <c r="A82">
        <v>111</v>
      </c>
      <c r="B82">
        <v>95</v>
      </c>
      <c r="C82" t="s">
        <v>6</v>
      </c>
      <c r="D82">
        <v>1</v>
      </c>
    </row>
    <row r="83" spans="1:4" x14ac:dyDescent="0.25">
      <c r="A83">
        <v>112</v>
      </c>
      <c r="B83">
        <v>97</v>
      </c>
      <c r="C83" t="s">
        <v>7</v>
      </c>
      <c r="D83">
        <v>1</v>
      </c>
    </row>
    <row r="84" spans="1:4" x14ac:dyDescent="0.25">
      <c r="A84">
        <v>113</v>
      </c>
      <c r="B84">
        <v>97</v>
      </c>
      <c r="C84" t="s">
        <v>7</v>
      </c>
      <c r="D84">
        <v>1</v>
      </c>
    </row>
    <row r="85" spans="1:4" x14ac:dyDescent="0.25">
      <c r="A85">
        <v>114</v>
      </c>
      <c r="B85">
        <v>98</v>
      </c>
      <c r="C85" t="s">
        <v>7</v>
      </c>
      <c r="D85">
        <v>1</v>
      </c>
    </row>
    <row r="86" spans="1:4" x14ac:dyDescent="0.25">
      <c r="A86">
        <v>115</v>
      </c>
      <c r="B86">
        <v>99</v>
      </c>
      <c r="C86" t="s">
        <v>7</v>
      </c>
      <c r="D86">
        <v>1</v>
      </c>
    </row>
    <row r="87" spans="1:4" x14ac:dyDescent="0.25">
      <c r="A87">
        <v>116</v>
      </c>
      <c r="B87">
        <v>140</v>
      </c>
      <c r="C87" t="s">
        <v>7</v>
      </c>
      <c r="D87">
        <v>1</v>
      </c>
    </row>
    <row r="88" spans="1:4" x14ac:dyDescent="0.25">
      <c r="A88">
        <v>117</v>
      </c>
      <c r="B88">
        <v>109</v>
      </c>
      <c r="C88" t="s">
        <v>7</v>
      </c>
      <c r="D88">
        <v>1</v>
      </c>
    </row>
    <row r="89" spans="1:4" x14ac:dyDescent="0.25">
      <c r="A89">
        <v>118</v>
      </c>
      <c r="B89">
        <v>107</v>
      </c>
      <c r="C89" t="s">
        <v>7</v>
      </c>
      <c r="D89">
        <v>1</v>
      </c>
    </row>
    <row r="90" spans="1:4" x14ac:dyDescent="0.25">
      <c r="A90">
        <v>119</v>
      </c>
      <c r="B90">
        <v>107</v>
      </c>
      <c r="C90" t="s">
        <v>7</v>
      </c>
      <c r="D90">
        <v>1</v>
      </c>
    </row>
    <row r="91" spans="1:4" x14ac:dyDescent="0.25">
      <c r="A91">
        <v>120</v>
      </c>
      <c r="B91">
        <v>102</v>
      </c>
      <c r="C91" t="s">
        <v>8</v>
      </c>
      <c r="D91">
        <v>1</v>
      </c>
    </row>
    <row r="92" spans="1:4" x14ac:dyDescent="0.25">
      <c r="A92">
        <v>121</v>
      </c>
      <c r="B92">
        <v>399</v>
      </c>
      <c r="C92" t="s">
        <v>8</v>
      </c>
      <c r="D92">
        <v>1</v>
      </c>
    </row>
    <row r="93" spans="1:4" x14ac:dyDescent="0.25">
      <c r="A93">
        <v>122</v>
      </c>
      <c r="B93">
        <v>399</v>
      </c>
      <c r="C93" t="s">
        <v>8</v>
      </c>
      <c r="D93">
        <v>1</v>
      </c>
    </row>
    <row r="94" spans="1:4" x14ac:dyDescent="0.25">
      <c r="A94">
        <v>123</v>
      </c>
      <c r="B94">
        <v>106</v>
      </c>
      <c r="C94" t="s">
        <v>8</v>
      </c>
      <c r="D94">
        <v>1</v>
      </c>
    </row>
    <row r="95" spans="1:4" x14ac:dyDescent="0.25">
      <c r="A95">
        <v>124</v>
      </c>
      <c r="B95">
        <v>399</v>
      </c>
      <c r="C95" t="s">
        <v>8</v>
      </c>
      <c r="D95">
        <v>1</v>
      </c>
    </row>
    <row r="96" spans="1:4" x14ac:dyDescent="0.25">
      <c r="A96">
        <v>125</v>
      </c>
      <c r="B96">
        <v>135</v>
      </c>
      <c r="C96" t="s">
        <v>7</v>
      </c>
      <c r="D96">
        <v>1</v>
      </c>
    </row>
    <row r="97" spans="1:4" x14ac:dyDescent="0.25">
      <c r="A97">
        <v>126</v>
      </c>
      <c r="B97">
        <v>112</v>
      </c>
      <c r="C97" t="s">
        <v>7</v>
      </c>
      <c r="D97">
        <v>1</v>
      </c>
    </row>
    <row r="98" spans="1:4" x14ac:dyDescent="0.25">
      <c r="A98">
        <v>127</v>
      </c>
      <c r="B98">
        <v>109</v>
      </c>
      <c r="C98" t="s">
        <v>7</v>
      </c>
      <c r="D98">
        <v>1</v>
      </c>
    </row>
    <row r="99" spans="1:4" x14ac:dyDescent="0.25">
      <c r="A99">
        <v>128</v>
      </c>
      <c r="B99">
        <v>112</v>
      </c>
      <c r="C99" t="s">
        <v>7</v>
      </c>
      <c r="D99">
        <v>1</v>
      </c>
    </row>
    <row r="100" spans="1:4" x14ac:dyDescent="0.25">
      <c r="A100">
        <v>129</v>
      </c>
      <c r="B100">
        <v>113</v>
      </c>
      <c r="C100" t="s">
        <v>6</v>
      </c>
      <c r="D100">
        <v>1</v>
      </c>
    </row>
    <row r="101" spans="1:4" x14ac:dyDescent="0.25">
      <c r="A101">
        <v>130</v>
      </c>
      <c r="B101">
        <v>116</v>
      </c>
      <c r="C101" t="s">
        <v>6</v>
      </c>
      <c r="D101">
        <v>1</v>
      </c>
    </row>
    <row r="102" spans="1:4" x14ac:dyDescent="0.25">
      <c r="A102">
        <v>131</v>
      </c>
      <c r="B102">
        <v>117</v>
      </c>
      <c r="C102" t="s">
        <v>6</v>
      </c>
      <c r="D102">
        <v>1</v>
      </c>
    </row>
    <row r="103" spans="1:4" x14ac:dyDescent="0.25">
      <c r="A103">
        <v>132</v>
      </c>
      <c r="B103">
        <v>114</v>
      </c>
      <c r="C103" t="s">
        <v>6</v>
      </c>
      <c r="D103">
        <v>1</v>
      </c>
    </row>
    <row r="104" spans="1:4" x14ac:dyDescent="0.25">
      <c r="A104">
        <v>133</v>
      </c>
      <c r="B104">
        <v>120</v>
      </c>
      <c r="C104" t="s">
        <v>6</v>
      </c>
      <c r="D104">
        <v>1</v>
      </c>
    </row>
    <row r="105" spans="1:4" x14ac:dyDescent="0.25">
      <c r="A105">
        <v>134</v>
      </c>
      <c r="B105">
        <v>115</v>
      </c>
      <c r="C105" t="s">
        <v>6</v>
      </c>
      <c r="D105">
        <v>1</v>
      </c>
    </row>
    <row r="106" spans="1:4" x14ac:dyDescent="0.25">
      <c r="A106">
        <v>135</v>
      </c>
      <c r="B106">
        <v>140</v>
      </c>
      <c r="C106" t="s">
        <v>6</v>
      </c>
      <c r="D106">
        <v>1</v>
      </c>
    </row>
    <row r="107" spans="1:4" x14ac:dyDescent="0.25">
      <c r="A107">
        <v>136</v>
      </c>
      <c r="B107">
        <v>119</v>
      </c>
      <c r="C107" t="s">
        <v>6</v>
      </c>
      <c r="D107">
        <v>1</v>
      </c>
    </row>
    <row r="108" spans="1:4" x14ac:dyDescent="0.25">
      <c r="A108">
        <v>137</v>
      </c>
      <c r="B108">
        <v>119</v>
      </c>
      <c r="C108" t="s">
        <v>6</v>
      </c>
      <c r="D108">
        <v>1</v>
      </c>
    </row>
    <row r="109" spans="1:4" x14ac:dyDescent="0.25">
      <c r="A109">
        <v>138</v>
      </c>
      <c r="B109">
        <v>129</v>
      </c>
      <c r="C109" t="s">
        <v>6</v>
      </c>
      <c r="D109">
        <v>1</v>
      </c>
    </row>
    <row r="110" spans="1:4" x14ac:dyDescent="0.25">
      <c r="A110">
        <v>139</v>
      </c>
      <c r="B110">
        <v>133</v>
      </c>
      <c r="C110" t="s">
        <v>6</v>
      </c>
      <c r="D110">
        <v>1</v>
      </c>
    </row>
    <row r="111" spans="1:4" x14ac:dyDescent="0.25">
      <c r="A111">
        <v>140</v>
      </c>
      <c r="B111">
        <v>128</v>
      </c>
      <c r="C111" t="s">
        <v>6</v>
      </c>
      <c r="D111">
        <v>1</v>
      </c>
    </row>
    <row r="112" spans="1:4" x14ac:dyDescent="0.25">
      <c r="A112">
        <v>141</v>
      </c>
      <c r="B112">
        <v>125</v>
      </c>
      <c r="C112" t="s">
        <v>3</v>
      </c>
      <c r="D112">
        <v>1</v>
      </c>
    </row>
    <row r="113" spans="1:4" x14ac:dyDescent="0.25">
      <c r="A113">
        <v>142</v>
      </c>
      <c r="B113">
        <v>123</v>
      </c>
      <c r="C113" t="s">
        <v>3</v>
      </c>
      <c r="D113">
        <v>1</v>
      </c>
    </row>
    <row r="114" spans="1:4" x14ac:dyDescent="0.25">
      <c r="A114">
        <v>143</v>
      </c>
      <c r="B114">
        <v>140</v>
      </c>
      <c r="C114" t="s">
        <v>3</v>
      </c>
      <c r="D114">
        <v>1</v>
      </c>
    </row>
    <row r="115" spans="1:4" x14ac:dyDescent="0.25">
      <c r="A115">
        <v>144</v>
      </c>
      <c r="B115">
        <v>142</v>
      </c>
      <c r="C115" t="s">
        <v>3</v>
      </c>
      <c r="D115">
        <v>1</v>
      </c>
    </row>
    <row r="116" spans="1:4" x14ac:dyDescent="0.25">
      <c r="A116">
        <v>145</v>
      </c>
      <c r="B116">
        <v>142</v>
      </c>
      <c r="C116" t="s">
        <v>3</v>
      </c>
      <c r="D116">
        <v>1</v>
      </c>
    </row>
    <row r="117" spans="1:4" x14ac:dyDescent="0.25">
      <c r="A117">
        <v>146</v>
      </c>
      <c r="B117">
        <v>130</v>
      </c>
      <c r="C117" t="s">
        <v>56</v>
      </c>
      <c r="D117">
        <v>1</v>
      </c>
    </row>
    <row r="118" spans="1:4" x14ac:dyDescent="0.25">
      <c r="A118">
        <v>147</v>
      </c>
      <c r="B118">
        <v>132</v>
      </c>
      <c r="C118" t="s">
        <v>6</v>
      </c>
      <c r="D118">
        <v>1</v>
      </c>
    </row>
    <row r="119" spans="1:4" x14ac:dyDescent="0.25">
      <c r="A119">
        <v>148</v>
      </c>
      <c r="B119">
        <v>237</v>
      </c>
      <c r="C119" t="s">
        <v>6</v>
      </c>
      <c r="D119">
        <v>1</v>
      </c>
    </row>
    <row r="120" spans="1:4" x14ac:dyDescent="0.25">
      <c r="A120">
        <v>149</v>
      </c>
      <c r="B120">
        <v>236</v>
      </c>
      <c r="C120" t="s">
        <v>3</v>
      </c>
      <c r="D120">
        <v>1</v>
      </c>
    </row>
    <row r="121" spans="1:4" x14ac:dyDescent="0.25">
      <c r="A121">
        <v>150</v>
      </c>
      <c r="B121">
        <v>145</v>
      </c>
      <c r="C121" t="s">
        <v>3</v>
      </c>
      <c r="D121">
        <v>1</v>
      </c>
    </row>
    <row r="122" spans="1:4" x14ac:dyDescent="0.25">
      <c r="A122">
        <v>151</v>
      </c>
      <c r="B122">
        <v>150</v>
      </c>
      <c r="C122" t="s">
        <v>3</v>
      </c>
      <c r="D122">
        <v>1</v>
      </c>
    </row>
    <row r="123" spans="1:4" x14ac:dyDescent="0.25">
      <c r="A123">
        <v>152</v>
      </c>
      <c r="B123">
        <v>239</v>
      </c>
      <c r="C123" t="s">
        <v>6</v>
      </c>
      <c r="D123">
        <v>1</v>
      </c>
    </row>
    <row r="124" spans="1:4" x14ac:dyDescent="0.25">
      <c r="A124">
        <v>153</v>
      </c>
      <c r="B124">
        <v>239</v>
      </c>
      <c r="C124" t="s">
        <v>6</v>
      </c>
      <c r="D124">
        <v>1</v>
      </c>
    </row>
    <row r="125" spans="1:4" x14ac:dyDescent="0.25">
      <c r="A125">
        <v>154</v>
      </c>
      <c r="B125">
        <v>237</v>
      </c>
      <c r="C125" t="s">
        <v>6</v>
      </c>
      <c r="D125">
        <v>1</v>
      </c>
    </row>
    <row r="126" spans="1:4" x14ac:dyDescent="0.25">
      <c r="A126">
        <v>155</v>
      </c>
      <c r="B126">
        <v>236</v>
      </c>
      <c r="C126" t="s">
        <v>3</v>
      </c>
      <c r="D126">
        <v>1</v>
      </c>
    </row>
    <row r="127" spans="1:4" x14ac:dyDescent="0.25">
      <c r="A127">
        <v>156</v>
      </c>
      <c r="B127">
        <v>234</v>
      </c>
      <c r="C127" t="s">
        <v>3</v>
      </c>
      <c r="D127">
        <v>1</v>
      </c>
    </row>
    <row r="128" spans="1:4" x14ac:dyDescent="0.25">
      <c r="A128">
        <v>157</v>
      </c>
      <c r="B128">
        <v>232</v>
      </c>
      <c r="C128" t="s">
        <v>3</v>
      </c>
      <c r="D128">
        <v>1</v>
      </c>
    </row>
    <row r="129" spans="1:4" x14ac:dyDescent="0.25">
      <c r="A129">
        <v>158</v>
      </c>
      <c r="B129">
        <v>229</v>
      </c>
      <c r="C129" t="s">
        <v>3</v>
      </c>
      <c r="D129">
        <v>1</v>
      </c>
    </row>
    <row r="130" spans="1:4" x14ac:dyDescent="0.25">
      <c r="A130">
        <v>159</v>
      </c>
      <c r="B130">
        <v>229</v>
      </c>
      <c r="C130" t="s">
        <v>3</v>
      </c>
      <c r="D130">
        <v>1</v>
      </c>
    </row>
    <row r="131" spans="1:4" x14ac:dyDescent="0.25">
      <c r="A131">
        <v>160</v>
      </c>
      <c r="B131">
        <v>231</v>
      </c>
      <c r="C131" t="s">
        <v>3</v>
      </c>
      <c r="D131">
        <v>1</v>
      </c>
    </row>
    <row r="132" spans="1:4" x14ac:dyDescent="0.25">
      <c r="A132">
        <v>161</v>
      </c>
      <c r="B132">
        <v>231</v>
      </c>
      <c r="C132" t="s">
        <v>3</v>
      </c>
      <c r="D132">
        <v>1</v>
      </c>
    </row>
    <row r="133" spans="1:4" x14ac:dyDescent="0.25">
      <c r="A133">
        <v>162</v>
      </c>
      <c r="B133">
        <v>234</v>
      </c>
      <c r="C133" t="s">
        <v>3</v>
      </c>
      <c r="D133">
        <v>1</v>
      </c>
    </row>
    <row r="134" spans="1:4" x14ac:dyDescent="0.25">
      <c r="A134">
        <v>163</v>
      </c>
      <c r="B134">
        <v>235</v>
      </c>
      <c r="C134" t="s">
        <v>3</v>
      </c>
      <c r="D134">
        <v>1</v>
      </c>
    </row>
    <row r="135" spans="1:4" x14ac:dyDescent="0.25">
      <c r="A135">
        <v>164</v>
      </c>
      <c r="B135">
        <v>240</v>
      </c>
      <c r="C135" t="s">
        <v>3</v>
      </c>
      <c r="D135">
        <v>1</v>
      </c>
    </row>
    <row r="136" spans="1:4" x14ac:dyDescent="0.25">
      <c r="A136">
        <v>165</v>
      </c>
      <c r="B136">
        <v>241</v>
      </c>
      <c r="C136" t="s">
        <v>3</v>
      </c>
      <c r="D136">
        <v>1</v>
      </c>
    </row>
    <row r="137" spans="1:4" x14ac:dyDescent="0.25">
      <c r="A137">
        <v>166</v>
      </c>
      <c r="B137">
        <v>245</v>
      </c>
      <c r="C137" t="s">
        <v>3</v>
      </c>
      <c r="D137">
        <v>1</v>
      </c>
    </row>
    <row r="138" spans="1:4" x14ac:dyDescent="0.25">
      <c r="A138">
        <v>167</v>
      </c>
      <c r="B138">
        <v>246</v>
      </c>
      <c r="C138" t="s">
        <v>3</v>
      </c>
      <c r="D138">
        <v>1</v>
      </c>
    </row>
    <row r="139" spans="1:4" x14ac:dyDescent="0.25">
      <c r="A139">
        <v>168</v>
      </c>
      <c r="B139">
        <v>251</v>
      </c>
      <c r="C139" t="s">
        <v>6</v>
      </c>
      <c r="D139">
        <v>1</v>
      </c>
    </row>
    <row r="140" spans="1:4" x14ac:dyDescent="0.25">
      <c r="A140">
        <v>169</v>
      </c>
      <c r="B140">
        <v>253</v>
      </c>
      <c r="C140" t="s">
        <v>6</v>
      </c>
      <c r="D140">
        <v>1</v>
      </c>
    </row>
    <row r="141" spans="1:4" x14ac:dyDescent="0.25">
      <c r="A141">
        <v>170</v>
      </c>
      <c r="B141">
        <v>255</v>
      </c>
      <c r="C141" t="s">
        <v>6</v>
      </c>
      <c r="D141">
        <v>1</v>
      </c>
    </row>
    <row r="142" spans="1:4" x14ac:dyDescent="0.25">
      <c r="A142">
        <v>171</v>
      </c>
      <c r="B142">
        <v>255</v>
      </c>
      <c r="C142" t="s">
        <v>6</v>
      </c>
      <c r="D142">
        <v>1</v>
      </c>
    </row>
    <row r="143" spans="1:4" x14ac:dyDescent="0.25">
      <c r="A143">
        <v>172</v>
      </c>
      <c r="B143">
        <v>252</v>
      </c>
      <c r="C143" t="s">
        <v>6</v>
      </c>
      <c r="D143">
        <v>1</v>
      </c>
    </row>
    <row r="144" spans="1:4" x14ac:dyDescent="0.25">
      <c r="A144">
        <v>173</v>
      </c>
      <c r="B144">
        <v>248</v>
      </c>
      <c r="C144" t="s">
        <v>3</v>
      </c>
      <c r="D144">
        <v>1</v>
      </c>
    </row>
    <row r="145" spans="1:4" x14ac:dyDescent="0.25">
      <c r="A145">
        <v>174</v>
      </c>
      <c r="B145">
        <v>247</v>
      </c>
      <c r="C145" t="s">
        <v>3</v>
      </c>
      <c r="D145">
        <v>1</v>
      </c>
    </row>
    <row r="146" spans="1:4" x14ac:dyDescent="0.25">
      <c r="A146">
        <v>175</v>
      </c>
      <c r="B146">
        <v>243</v>
      </c>
      <c r="C146" t="s">
        <v>3</v>
      </c>
      <c r="D146">
        <v>1</v>
      </c>
    </row>
    <row r="147" spans="1:4" x14ac:dyDescent="0.25">
      <c r="A147">
        <v>176</v>
      </c>
      <c r="B147">
        <v>243</v>
      </c>
      <c r="C147" t="s">
        <v>3</v>
      </c>
      <c r="D147">
        <v>1</v>
      </c>
    </row>
    <row r="148" spans="1:4" x14ac:dyDescent="0.25">
      <c r="A148">
        <v>177</v>
      </c>
      <c r="B148">
        <v>244</v>
      </c>
      <c r="C148" t="s">
        <v>3</v>
      </c>
      <c r="D148">
        <v>1</v>
      </c>
    </row>
    <row r="149" spans="1:4" x14ac:dyDescent="0.25">
      <c r="A149">
        <v>178</v>
      </c>
      <c r="B149">
        <v>250</v>
      </c>
      <c r="C149" t="s">
        <v>3</v>
      </c>
      <c r="D149">
        <v>1</v>
      </c>
    </row>
    <row r="150" spans="1:4" x14ac:dyDescent="0.25">
      <c r="A150">
        <v>179</v>
      </c>
      <c r="B150">
        <v>260</v>
      </c>
      <c r="C150" t="s">
        <v>3</v>
      </c>
      <c r="D150">
        <v>1</v>
      </c>
    </row>
    <row r="151" spans="1:4" x14ac:dyDescent="0.25">
      <c r="A151">
        <v>180</v>
      </c>
      <c r="B151">
        <v>257</v>
      </c>
      <c r="C151" t="s">
        <v>6</v>
      </c>
      <c r="D151">
        <v>1</v>
      </c>
    </row>
    <row r="152" spans="1:4" x14ac:dyDescent="0.25">
      <c r="A152">
        <v>181</v>
      </c>
      <c r="B152">
        <v>257</v>
      </c>
      <c r="C152" t="s">
        <v>6</v>
      </c>
      <c r="D152">
        <v>1</v>
      </c>
    </row>
    <row r="153" spans="1:4" x14ac:dyDescent="0.25">
      <c r="A153">
        <v>182</v>
      </c>
      <c r="B153">
        <v>259</v>
      </c>
      <c r="C153" t="s">
        <v>6</v>
      </c>
      <c r="D153">
        <v>1</v>
      </c>
    </row>
    <row r="154" spans="1:4" x14ac:dyDescent="0.25">
      <c r="A154">
        <v>183</v>
      </c>
      <c r="B154">
        <v>260</v>
      </c>
      <c r="C154" t="s">
        <v>6</v>
      </c>
      <c r="D154">
        <v>1</v>
      </c>
    </row>
    <row r="155" spans="1:4" x14ac:dyDescent="0.25">
      <c r="A155">
        <v>184</v>
      </c>
      <c r="B155">
        <v>265</v>
      </c>
      <c r="C155" t="s">
        <v>6</v>
      </c>
      <c r="D155">
        <v>1</v>
      </c>
    </row>
    <row r="156" spans="1:4" x14ac:dyDescent="0.25">
      <c r="A156">
        <v>185</v>
      </c>
      <c r="B156">
        <v>268</v>
      </c>
      <c r="C156" t="s">
        <v>6</v>
      </c>
      <c r="D156">
        <v>1</v>
      </c>
    </row>
    <row r="157" spans="1:4" x14ac:dyDescent="0.25">
      <c r="A157">
        <v>186</v>
      </c>
      <c r="B157">
        <v>266</v>
      </c>
      <c r="C157" t="s">
        <v>6</v>
      </c>
      <c r="D157">
        <v>1</v>
      </c>
    </row>
    <row r="158" spans="1:4" x14ac:dyDescent="0.25">
      <c r="A158">
        <v>187</v>
      </c>
      <c r="B158">
        <v>265</v>
      </c>
      <c r="C158" t="s">
        <v>6</v>
      </c>
      <c r="D158">
        <v>1</v>
      </c>
    </row>
    <row r="159" spans="1:4" x14ac:dyDescent="0.25">
      <c r="A159">
        <v>188</v>
      </c>
      <c r="B159">
        <v>262</v>
      </c>
      <c r="C159" t="s">
        <v>6</v>
      </c>
      <c r="D159">
        <v>1</v>
      </c>
    </row>
    <row r="160" spans="1:4" x14ac:dyDescent="0.25">
      <c r="A160">
        <v>189</v>
      </c>
      <c r="B160">
        <v>258</v>
      </c>
      <c r="C160" t="s">
        <v>6</v>
      </c>
      <c r="D160">
        <v>1</v>
      </c>
    </row>
    <row r="161" spans="1:4" x14ac:dyDescent="0.25">
      <c r="A161">
        <v>190</v>
      </c>
      <c r="B161">
        <v>264</v>
      </c>
      <c r="C161" t="s">
        <v>6</v>
      </c>
      <c r="D161">
        <v>1</v>
      </c>
    </row>
    <row r="162" spans="1:4" x14ac:dyDescent="0.25">
      <c r="A162">
        <v>191</v>
      </c>
      <c r="B162">
        <v>266</v>
      </c>
      <c r="C162" t="s">
        <v>6</v>
      </c>
      <c r="D162">
        <v>1</v>
      </c>
    </row>
    <row r="163" spans="1:4" x14ac:dyDescent="0.25">
      <c r="A163">
        <v>192</v>
      </c>
      <c r="B163">
        <v>267</v>
      </c>
      <c r="C163" t="s">
        <v>6</v>
      </c>
      <c r="D163">
        <v>1</v>
      </c>
    </row>
    <row r="164" spans="1:4" x14ac:dyDescent="0.25">
      <c r="A164">
        <v>193</v>
      </c>
      <c r="B164">
        <v>280</v>
      </c>
      <c r="C164" t="s">
        <v>6</v>
      </c>
      <c r="D164">
        <v>1</v>
      </c>
    </row>
    <row r="165" spans="1:4" x14ac:dyDescent="0.25">
      <c r="A165">
        <v>194</v>
      </c>
      <c r="B165">
        <v>271</v>
      </c>
      <c r="C165" t="s">
        <v>3</v>
      </c>
      <c r="D165">
        <v>1</v>
      </c>
    </row>
    <row r="166" spans="1:4" x14ac:dyDescent="0.25">
      <c r="A166">
        <v>195</v>
      </c>
      <c r="B166">
        <v>393</v>
      </c>
      <c r="C166" t="s">
        <v>3</v>
      </c>
      <c r="D166">
        <v>1</v>
      </c>
    </row>
    <row r="167" spans="1:4" x14ac:dyDescent="0.25">
      <c r="A167">
        <v>196</v>
      </c>
      <c r="B167">
        <v>273</v>
      </c>
      <c r="C167" t="s">
        <v>6</v>
      </c>
      <c r="D167">
        <v>1</v>
      </c>
    </row>
    <row r="168" spans="1:4" x14ac:dyDescent="0.25">
      <c r="A168">
        <v>197</v>
      </c>
      <c r="B168">
        <v>273</v>
      </c>
      <c r="C168" t="s">
        <v>6</v>
      </c>
      <c r="D168">
        <v>1</v>
      </c>
    </row>
    <row r="169" spans="1:4" x14ac:dyDescent="0.25">
      <c r="A169">
        <v>198</v>
      </c>
      <c r="B169">
        <v>274</v>
      </c>
      <c r="C169" t="s">
        <v>6</v>
      </c>
      <c r="D169">
        <v>1</v>
      </c>
    </row>
    <row r="170" spans="1:4" x14ac:dyDescent="0.25">
      <c r="A170">
        <v>199</v>
      </c>
      <c r="B170">
        <v>276</v>
      </c>
      <c r="C170" t="s">
        <v>6</v>
      </c>
      <c r="D170">
        <v>1</v>
      </c>
    </row>
    <row r="171" spans="1:4" x14ac:dyDescent="0.25">
      <c r="A171">
        <v>200</v>
      </c>
      <c r="B171">
        <v>393</v>
      </c>
      <c r="C171" t="s">
        <v>57</v>
      </c>
      <c r="D171">
        <v>1</v>
      </c>
    </row>
    <row r="172" spans="1:4" x14ac:dyDescent="0.25">
      <c r="A172">
        <v>201</v>
      </c>
      <c r="B172">
        <v>277</v>
      </c>
      <c r="C172" t="s">
        <v>6</v>
      </c>
      <c r="D172">
        <v>1</v>
      </c>
    </row>
    <row r="173" spans="1:4" x14ac:dyDescent="0.25">
      <c r="A173">
        <v>202</v>
      </c>
      <c r="B173">
        <v>279</v>
      </c>
      <c r="C173" t="s">
        <v>6</v>
      </c>
      <c r="D173">
        <v>1</v>
      </c>
    </row>
    <row r="174" spans="1:4" x14ac:dyDescent="0.25">
      <c r="A174">
        <v>203</v>
      </c>
      <c r="B174">
        <v>360</v>
      </c>
      <c r="C174" t="s">
        <v>6</v>
      </c>
      <c r="D174">
        <v>1</v>
      </c>
    </row>
    <row r="175" spans="1:4" x14ac:dyDescent="0.25">
      <c r="A175">
        <v>204</v>
      </c>
      <c r="B175">
        <v>361</v>
      </c>
      <c r="C175" t="s">
        <v>6</v>
      </c>
      <c r="D175">
        <v>1</v>
      </c>
    </row>
    <row r="176" spans="1:4" x14ac:dyDescent="0.25">
      <c r="A176">
        <v>205</v>
      </c>
      <c r="B176">
        <v>282</v>
      </c>
      <c r="C176" t="s">
        <v>6</v>
      </c>
      <c r="D176">
        <v>1</v>
      </c>
    </row>
    <row r="177" spans="1:4" x14ac:dyDescent="0.25">
      <c r="A177">
        <v>206</v>
      </c>
      <c r="B177">
        <v>283</v>
      </c>
      <c r="C177" t="s">
        <v>6</v>
      </c>
      <c r="D177">
        <v>1</v>
      </c>
    </row>
    <row r="178" spans="1:4" x14ac:dyDescent="0.25">
      <c r="A178">
        <v>207</v>
      </c>
      <c r="B178">
        <v>283</v>
      </c>
      <c r="C178" t="s">
        <v>6</v>
      </c>
      <c r="D178">
        <v>1</v>
      </c>
    </row>
    <row r="179" spans="1:4" x14ac:dyDescent="0.25">
      <c r="A179">
        <v>208</v>
      </c>
      <c r="B179">
        <v>408</v>
      </c>
      <c r="C179" t="s">
        <v>6</v>
      </c>
      <c r="D179">
        <v>1</v>
      </c>
    </row>
    <row r="180" spans="1:4" x14ac:dyDescent="0.25">
      <c r="A180">
        <v>209</v>
      </c>
      <c r="B180">
        <v>408</v>
      </c>
      <c r="C180" t="s">
        <v>6</v>
      </c>
      <c r="D180">
        <v>1</v>
      </c>
    </row>
    <row r="181" spans="1:4" x14ac:dyDescent="0.25">
      <c r="A181">
        <v>210</v>
      </c>
      <c r="B181">
        <v>283</v>
      </c>
      <c r="C181" t="s">
        <v>6</v>
      </c>
      <c r="D181">
        <v>1</v>
      </c>
    </row>
    <row r="182" spans="1:4" x14ac:dyDescent="0.25">
      <c r="A182">
        <v>211</v>
      </c>
      <c r="B182">
        <v>140</v>
      </c>
      <c r="C182" t="s">
        <v>7</v>
      </c>
      <c r="D182">
        <v>1</v>
      </c>
    </row>
    <row r="183" spans="1:4" x14ac:dyDescent="0.25">
      <c r="A183">
        <v>212</v>
      </c>
      <c r="B183">
        <v>141</v>
      </c>
      <c r="C183" t="s">
        <v>3</v>
      </c>
      <c r="D183">
        <v>1</v>
      </c>
    </row>
    <row r="184" spans="1:4" x14ac:dyDescent="0.25">
      <c r="A184">
        <v>213</v>
      </c>
      <c r="B184">
        <v>142</v>
      </c>
      <c r="C184" t="s">
        <v>3</v>
      </c>
      <c r="D184">
        <v>1</v>
      </c>
    </row>
    <row r="185" spans="1:4" x14ac:dyDescent="0.25">
      <c r="A185">
        <v>214</v>
      </c>
      <c r="B185">
        <v>150</v>
      </c>
      <c r="C185" t="s">
        <v>3</v>
      </c>
      <c r="D185">
        <v>1</v>
      </c>
    </row>
    <row r="186" spans="1:4" x14ac:dyDescent="0.25">
      <c r="A186">
        <v>215</v>
      </c>
      <c r="B186">
        <v>150</v>
      </c>
      <c r="C186" t="s">
        <v>3</v>
      </c>
      <c r="D186">
        <v>1</v>
      </c>
    </row>
    <row r="187" spans="1:4" x14ac:dyDescent="0.25">
      <c r="A187">
        <v>216</v>
      </c>
      <c r="B187">
        <v>149</v>
      </c>
      <c r="C187" t="s">
        <v>3</v>
      </c>
      <c r="D187">
        <v>1</v>
      </c>
    </row>
    <row r="188" spans="1:4" x14ac:dyDescent="0.25">
      <c r="A188">
        <v>217</v>
      </c>
      <c r="B188">
        <v>149</v>
      </c>
      <c r="C188" t="s">
        <v>3</v>
      </c>
      <c r="D188">
        <v>1</v>
      </c>
    </row>
    <row r="189" spans="1:4" x14ac:dyDescent="0.25">
      <c r="A189">
        <v>218</v>
      </c>
      <c r="B189">
        <v>148</v>
      </c>
      <c r="C189" t="s">
        <v>3</v>
      </c>
      <c r="D189">
        <v>1</v>
      </c>
    </row>
    <row r="190" spans="1:4" x14ac:dyDescent="0.25">
      <c r="A190">
        <v>219</v>
      </c>
      <c r="B190">
        <v>147</v>
      </c>
      <c r="C190" t="s">
        <v>3</v>
      </c>
      <c r="D190">
        <v>1</v>
      </c>
    </row>
    <row r="191" spans="1:4" x14ac:dyDescent="0.25">
      <c r="A191">
        <v>220</v>
      </c>
      <c r="B191">
        <v>141</v>
      </c>
      <c r="C191" t="s">
        <v>3</v>
      </c>
      <c r="D191">
        <v>1</v>
      </c>
    </row>
    <row r="192" spans="1:4" x14ac:dyDescent="0.25">
      <c r="A192">
        <v>221</v>
      </c>
      <c r="B192">
        <v>138</v>
      </c>
      <c r="C192" t="s">
        <v>3</v>
      </c>
      <c r="D192">
        <v>1</v>
      </c>
    </row>
    <row r="193" spans="1:4" x14ac:dyDescent="0.25">
      <c r="A193">
        <v>222</v>
      </c>
      <c r="B193">
        <v>138</v>
      </c>
      <c r="C193" t="s">
        <v>7</v>
      </c>
      <c r="D193">
        <v>1</v>
      </c>
    </row>
    <row r="194" spans="1:4" x14ac:dyDescent="0.25">
      <c r="A194">
        <v>223</v>
      </c>
      <c r="B194">
        <v>138</v>
      </c>
      <c r="C194" t="s">
        <v>7</v>
      </c>
      <c r="D194">
        <v>1</v>
      </c>
    </row>
    <row r="195" spans="1:4" x14ac:dyDescent="0.25">
      <c r="A195">
        <v>224</v>
      </c>
      <c r="B195">
        <v>137</v>
      </c>
      <c r="C195" t="s">
        <v>7</v>
      </c>
      <c r="D195">
        <v>1</v>
      </c>
    </row>
    <row r="196" spans="1:4" x14ac:dyDescent="0.25">
      <c r="A196">
        <v>225</v>
      </c>
      <c r="B196">
        <v>135</v>
      </c>
      <c r="C196" t="s">
        <v>7</v>
      </c>
      <c r="D196">
        <v>1</v>
      </c>
    </row>
    <row r="197" spans="1:4" x14ac:dyDescent="0.25">
      <c r="A197">
        <v>226</v>
      </c>
      <c r="B197">
        <v>399</v>
      </c>
      <c r="C197" t="s">
        <v>8</v>
      </c>
      <c r="D197">
        <v>1</v>
      </c>
    </row>
    <row r="198" spans="1:4" x14ac:dyDescent="0.25">
      <c r="A198">
        <v>227</v>
      </c>
      <c r="B198">
        <v>399</v>
      </c>
      <c r="C198" t="s">
        <v>8</v>
      </c>
      <c r="D198">
        <v>1</v>
      </c>
    </row>
    <row r="199" spans="1:4" x14ac:dyDescent="0.25">
      <c r="A199">
        <v>228</v>
      </c>
      <c r="B199">
        <v>154</v>
      </c>
      <c r="C199" t="s">
        <v>8</v>
      </c>
      <c r="D199">
        <v>1</v>
      </c>
    </row>
    <row r="200" spans="1:4" x14ac:dyDescent="0.25">
      <c r="A200">
        <v>229</v>
      </c>
      <c r="B200">
        <v>136</v>
      </c>
      <c r="C200" t="s">
        <v>7</v>
      </c>
      <c r="D200">
        <v>1</v>
      </c>
    </row>
    <row r="201" spans="1:4" x14ac:dyDescent="0.25">
      <c r="A201">
        <v>230</v>
      </c>
      <c r="B201">
        <v>137</v>
      </c>
      <c r="C201" t="s">
        <v>3</v>
      </c>
      <c r="D201">
        <v>1</v>
      </c>
    </row>
    <row r="202" spans="1:4" x14ac:dyDescent="0.25">
      <c r="A202">
        <v>231</v>
      </c>
      <c r="B202">
        <v>156</v>
      </c>
      <c r="C202" t="s">
        <v>3</v>
      </c>
      <c r="D202">
        <v>1</v>
      </c>
    </row>
    <row r="203" spans="1:4" x14ac:dyDescent="0.25">
      <c r="A203">
        <v>232</v>
      </c>
      <c r="B203">
        <v>157</v>
      </c>
      <c r="C203" t="s">
        <v>3</v>
      </c>
      <c r="D203">
        <v>1</v>
      </c>
    </row>
    <row r="204" spans="1:4" x14ac:dyDescent="0.25">
      <c r="A204">
        <v>233</v>
      </c>
      <c r="B204">
        <v>160</v>
      </c>
      <c r="C204" t="s">
        <v>3</v>
      </c>
      <c r="D204">
        <v>1</v>
      </c>
    </row>
    <row r="205" spans="1:4" x14ac:dyDescent="0.25">
      <c r="A205">
        <v>234</v>
      </c>
      <c r="B205">
        <v>160</v>
      </c>
      <c r="C205" t="s">
        <v>3</v>
      </c>
      <c r="D205">
        <v>1</v>
      </c>
    </row>
    <row r="206" spans="1:4" x14ac:dyDescent="0.25">
      <c r="A206">
        <v>235</v>
      </c>
      <c r="B206">
        <v>159</v>
      </c>
      <c r="C206" t="s">
        <v>3</v>
      </c>
      <c r="D206">
        <v>1</v>
      </c>
    </row>
    <row r="207" spans="1:4" x14ac:dyDescent="0.25">
      <c r="A207">
        <v>236</v>
      </c>
      <c r="B207">
        <v>159</v>
      </c>
      <c r="C207" t="s">
        <v>3</v>
      </c>
      <c r="D207">
        <v>1</v>
      </c>
    </row>
    <row r="208" spans="1:4" x14ac:dyDescent="0.25">
      <c r="A208">
        <v>237</v>
      </c>
      <c r="B208">
        <v>147</v>
      </c>
      <c r="C208" t="s">
        <v>3</v>
      </c>
      <c r="D208">
        <v>1</v>
      </c>
    </row>
    <row r="209" spans="1:4" x14ac:dyDescent="0.25">
      <c r="A209">
        <v>238</v>
      </c>
      <c r="B209">
        <v>180</v>
      </c>
      <c r="C209" t="s">
        <v>10</v>
      </c>
      <c r="D209">
        <v>1</v>
      </c>
    </row>
    <row r="210" spans="1:4" x14ac:dyDescent="0.25">
      <c r="A210">
        <v>239</v>
      </c>
      <c r="B210">
        <v>171</v>
      </c>
      <c r="C210" t="s">
        <v>8</v>
      </c>
      <c r="D210">
        <v>1</v>
      </c>
    </row>
    <row r="211" spans="1:4" x14ac:dyDescent="0.25">
      <c r="A211">
        <v>240</v>
      </c>
      <c r="B211">
        <v>158</v>
      </c>
      <c r="C211" t="s">
        <v>3</v>
      </c>
      <c r="D211">
        <v>1</v>
      </c>
    </row>
    <row r="212" spans="1:4" x14ac:dyDescent="0.25">
      <c r="A212">
        <v>241</v>
      </c>
      <c r="B212">
        <v>173</v>
      </c>
      <c r="C212" t="s">
        <v>3</v>
      </c>
      <c r="D212">
        <v>1</v>
      </c>
    </row>
    <row r="213" spans="1:4" x14ac:dyDescent="0.25">
      <c r="A213">
        <v>242</v>
      </c>
      <c r="B213">
        <v>173</v>
      </c>
      <c r="C213" t="s">
        <v>3</v>
      </c>
      <c r="D213">
        <v>1</v>
      </c>
    </row>
    <row r="214" spans="1:4" x14ac:dyDescent="0.25">
      <c r="A214">
        <v>243</v>
      </c>
      <c r="B214">
        <v>163</v>
      </c>
      <c r="C214" t="s">
        <v>3</v>
      </c>
      <c r="D214">
        <v>1</v>
      </c>
    </row>
    <row r="215" spans="1:4" x14ac:dyDescent="0.25">
      <c r="A215">
        <v>244</v>
      </c>
      <c r="B215">
        <v>201</v>
      </c>
      <c r="C215" t="s">
        <v>3</v>
      </c>
      <c r="D215">
        <v>1</v>
      </c>
    </row>
    <row r="216" spans="1:4" x14ac:dyDescent="0.25">
      <c r="A216">
        <v>245</v>
      </c>
      <c r="B216">
        <v>207</v>
      </c>
      <c r="C216" t="s">
        <v>3</v>
      </c>
      <c r="D216">
        <v>1</v>
      </c>
    </row>
    <row r="217" spans="1:4" x14ac:dyDescent="0.25">
      <c r="A217">
        <v>246</v>
      </c>
      <c r="B217">
        <v>175</v>
      </c>
      <c r="C217" t="s">
        <v>3</v>
      </c>
      <c r="D217">
        <v>1</v>
      </c>
    </row>
    <row r="218" spans="1:4" x14ac:dyDescent="0.25">
      <c r="A218">
        <v>247</v>
      </c>
      <c r="B218">
        <v>176</v>
      </c>
      <c r="C218" t="s">
        <v>10</v>
      </c>
      <c r="D218">
        <v>1</v>
      </c>
    </row>
    <row r="219" spans="1:4" x14ac:dyDescent="0.25">
      <c r="A219">
        <v>248</v>
      </c>
      <c r="B219">
        <v>177</v>
      </c>
      <c r="C219" t="s">
        <v>10</v>
      </c>
      <c r="D219">
        <v>1</v>
      </c>
    </row>
    <row r="220" spans="1:4" x14ac:dyDescent="0.25">
      <c r="A220">
        <v>249</v>
      </c>
      <c r="B220">
        <v>290</v>
      </c>
      <c r="C220" t="s">
        <v>10</v>
      </c>
      <c r="D220">
        <v>1</v>
      </c>
    </row>
    <row r="221" spans="1:4" x14ac:dyDescent="0.25">
      <c r="A221">
        <v>250</v>
      </c>
      <c r="B221">
        <v>182</v>
      </c>
      <c r="C221" t="s">
        <v>10</v>
      </c>
      <c r="D221">
        <v>1</v>
      </c>
    </row>
    <row r="222" spans="1:4" x14ac:dyDescent="0.25">
      <c r="A222">
        <v>251</v>
      </c>
      <c r="B222">
        <v>179</v>
      </c>
      <c r="C222" t="s">
        <v>10</v>
      </c>
      <c r="D222">
        <v>1</v>
      </c>
    </row>
    <row r="223" spans="1:4" x14ac:dyDescent="0.25">
      <c r="A223">
        <v>252</v>
      </c>
      <c r="B223">
        <v>190</v>
      </c>
      <c r="C223" t="s">
        <v>3</v>
      </c>
      <c r="D223">
        <v>1</v>
      </c>
    </row>
    <row r="224" spans="1:4" x14ac:dyDescent="0.25">
      <c r="A224">
        <v>253</v>
      </c>
      <c r="B224">
        <v>175</v>
      </c>
      <c r="C224" t="s">
        <v>3</v>
      </c>
      <c r="D224">
        <v>1</v>
      </c>
    </row>
    <row r="225" spans="1:4" x14ac:dyDescent="0.25">
      <c r="A225">
        <v>254</v>
      </c>
      <c r="B225">
        <v>207</v>
      </c>
      <c r="C225" t="s">
        <v>3</v>
      </c>
      <c r="D225">
        <v>1</v>
      </c>
    </row>
    <row r="226" spans="1:4" x14ac:dyDescent="0.25">
      <c r="A226">
        <v>255</v>
      </c>
      <c r="B226">
        <v>212</v>
      </c>
      <c r="C226" t="s">
        <v>3</v>
      </c>
      <c r="D226">
        <v>1</v>
      </c>
    </row>
    <row r="227" spans="1:4" x14ac:dyDescent="0.25">
      <c r="A227">
        <v>256</v>
      </c>
      <c r="B227">
        <v>218</v>
      </c>
      <c r="C227" t="s">
        <v>3</v>
      </c>
      <c r="D227">
        <v>1</v>
      </c>
    </row>
    <row r="228" spans="1:4" x14ac:dyDescent="0.25">
      <c r="A228">
        <v>257</v>
      </c>
      <c r="B228">
        <v>219</v>
      </c>
      <c r="C228" t="s">
        <v>3</v>
      </c>
      <c r="D228">
        <v>1</v>
      </c>
    </row>
    <row r="229" spans="1:4" x14ac:dyDescent="0.25">
      <c r="A229">
        <v>258</v>
      </c>
      <c r="B229">
        <v>346</v>
      </c>
      <c r="C229" t="s">
        <v>3</v>
      </c>
      <c r="D229">
        <v>1</v>
      </c>
    </row>
    <row r="230" spans="1:4" x14ac:dyDescent="0.25">
      <c r="A230">
        <v>259</v>
      </c>
      <c r="B230">
        <v>298</v>
      </c>
      <c r="C230" t="s">
        <v>3</v>
      </c>
      <c r="D230">
        <v>1</v>
      </c>
    </row>
    <row r="231" spans="1:4" x14ac:dyDescent="0.25">
      <c r="A231">
        <v>260</v>
      </c>
      <c r="B231">
        <v>294</v>
      </c>
      <c r="C231" t="s">
        <v>3</v>
      </c>
      <c r="D231">
        <v>1</v>
      </c>
    </row>
    <row r="232" spans="1:4" x14ac:dyDescent="0.25">
      <c r="A232">
        <v>261</v>
      </c>
      <c r="B232">
        <v>294</v>
      </c>
      <c r="C232" t="s">
        <v>3</v>
      </c>
      <c r="D232">
        <v>1</v>
      </c>
    </row>
    <row r="233" spans="1:4" x14ac:dyDescent="0.25">
      <c r="A233">
        <v>262</v>
      </c>
      <c r="B233">
        <v>200</v>
      </c>
      <c r="C233" t="s">
        <v>3</v>
      </c>
      <c r="D233">
        <v>1</v>
      </c>
    </row>
    <row r="234" spans="1:4" x14ac:dyDescent="0.25">
      <c r="A234">
        <v>263</v>
      </c>
      <c r="B234">
        <v>190</v>
      </c>
      <c r="C234" t="s">
        <v>3</v>
      </c>
      <c r="D234">
        <v>1</v>
      </c>
    </row>
    <row r="235" spans="1:4" x14ac:dyDescent="0.25">
      <c r="A235">
        <v>264</v>
      </c>
      <c r="B235">
        <v>193</v>
      </c>
      <c r="C235" t="s">
        <v>3</v>
      </c>
      <c r="D235">
        <v>1</v>
      </c>
    </row>
    <row r="236" spans="1:4" x14ac:dyDescent="0.25">
      <c r="A236">
        <v>265</v>
      </c>
      <c r="B236">
        <v>188</v>
      </c>
      <c r="C236" t="s">
        <v>10</v>
      </c>
      <c r="D236">
        <v>1</v>
      </c>
    </row>
    <row r="237" spans="1:4" x14ac:dyDescent="0.25">
      <c r="A237">
        <v>266</v>
      </c>
      <c r="B237">
        <v>189</v>
      </c>
      <c r="C237" t="s">
        <v>10</v>
      </c>
      <c r="D237">
        <v>1</v>
      </c>
    </row>
    <row r="238" spans="1:4" x14ac:dyDescent="0.25">
      <c r="A238">
        <v>267</v>
      </c>
      <c r="B238">
        <v>187</v>
      </c>
      <c r="C238" t="s">
        <v>10</v>
      </c>
      <c r="D238">
        <v>1</v>
      </c>
    </row>
    <row r="239" spans="1:4" x14ac:dyDescent="0.25">
      <c r="A239">
        <v>268</v>
      </c>
      <c r="B239">
        <v>199</v>
      </c>
      <c r="C239" t="s">
        <v>10</v>
      </c>
      <c r="D239">
        <v>1</v>
      </c>
    </row>
    <row r="240" spans="1:4" x14ac:dyDescent="0.25">
      <c r="A240">
        <v>269</v>
      </c>
      <c r="B240">
        <v>199</v>
      </c>
      <c r="C240" t="s">
        <v>3</v>
      </c>
      <c r="D240">
        <v>1</v>
      </c>
    </row>
    <row r="241" spans="1:4" x14ac:dyDescent="0.25">
      <c r="A241">
        <v>270</v>
      </c>
      <c r="B241">
        <v>294</v>
      </c>
      <c r="C241" t="s">
        <v>3</v>
      </c>
      <c r="D241">
        <v>1</v>
      </c>
    </row>
    <row r="242" spans="1:4" x14ac:dyDescent="0.25">
      <c r="A242">
        <v>271</v>
      </c>
      <c r="B242">
        <v>198</v>
      </c>
      <c r="C242" t="s">
        <v>3</v>
      </c>
      <c r="D242">
        <v>1</v>
      </c>
    </row>
    <row r="243" spans="1:4" x14ac:dyDescent="0.25">
      <c r="A243">
        <v>272</v>
      </c>
      <c r="B243">
        <v>197</v>
      </c>
      <c r="C243" t="s">
        <v>3</v>
      </c>
      <c r="D243">
        <v>1</v>
      </c>
    </row>
    <row r="244" spans="1:4" x14ac:dyDescent="0.25">
      <c r="A244">
        <v>273</v>
      </c>
      <c r="B244">
        <v>191</v>
      </c>
      <c r="C244" t="s">
        <v>10</v>
      </c>
      <c r="D244">
        <v>1</v>
      </c>
    </row>
    <row r="245" spans="1:4" x14ac:dyDescent="0.25">
      <c r="A245">
        <v>274</v>
      </c>
      <c r="B245">
        <v>185</v>
      </c>
      <c r="C245" t="s">
        <v>10</v>
      </c>
      <c r="D245">
        <v>1</v>
      </c>
    </row>
    <row r="246" spans="1:4" x14ac:dyDescent="0.25">
      <c r="A246">
        <v>275</v>
      </c>
      <c r="B246">
        <v>185</v>
      </c>
      <c r="C246" t="s">
        <v>10</v>
      </c>
      <c r="D246">
        <v>1</v>
      </c>
    </row>
    <row r="247" spans="1:4" x14ac:dyDescent="0.25">
      <c r="A247">
        <v>276</v>
      </c>
      <c r="B247">
        <v>183</v>
      </c>
      <c r="C247" t="s">
        <v>10</v>
      </c>
      <c r="D247">
        <v>1</v>
      </c>
    </row>
    <row r="248" spans="1:4" x14ac:dyDescent="0.25">
      <c r="A248">
        <v>277</v>
      </c>
      <c r="B248">
        <v>184</v>
      </c>
      <c r="C248" t="s">
        <v>10</v>
      </c>
      <c r="D248">
        <v>1</v>
      </c>
    </row>
    <row r="249" spans="1:4" x14ac:dyDescent="0.25">
      <c r="A249">
        <v>278</v>
      </c>
      <c r="B249">
        <v>181</v>
      </c>
      <c r="C249" t="s">
        <v>10</v>
      </c>
      <c r="D249">
        <v>1</v>
      </c>
    </row>
    <row r="250" spans="1:4" x14ac:dyDescent="0.25">
      <c r="A250">
        <v>279</v>
      </c>
      <c r="B250">
        <v>196</v>
      </c>
      <c r="C250" t="s">
        <v>5</v>
      </c>
      <c r="D250">
        <v>1</v>
      </c>
    </row>
    <row r="251" spans="1:4" x14ac:dyDescent="0.25">
      <c r="A251">
        <v>280</v>
      </c>
      <c r="B251">
        <v>293</v>
      </c>
      <c r="C251" t="s">
        <v>5</v>
      </c>
      <c r="D251">
        <v>1</v>
      </c>
    </row>
    <row r="252" spans="1:4" x14ac:dyDescent="0.25">
      <c r="A252">
        <v>281</v>
      </c>
      <c r="B252">
        <v>290</v>
      </c>
      <c r="C252" t="s">
        <v>5</v>
      </c>
      <c r="D252">
        <v>1</v>
      </c>
    </row>
    <row r="253" spans="1:4" x14ac:dyDescent="0.25">
      <c r="A253">
        <v>282</v>
      </c>
      <c r="B253">
        <v>167</v>
      </c>
      <c r="C253" t="s">
        <v>3</v>
      </c>
      <c r="D253">
        <v>1</v>
      </c>
    </row>
    <row r="254" spans="1:4" x14ac:dyDescent="0.25">
      <c r="A254">
        <v>283</v>
      </c>
      <c r="B254">
        <v>166</v>
      </c>
      <c r="C254" t="s">
        <v>3</v>
      </c>
      <c r="D254">
        <v>1</v>
      </c>
    </row>
    <row r="255" spans="1:4" x14ac:dyDescent="0.25">
      <c r="A255">
        <v>284</v>
      </c>
      <c r="B255">
        <v>168</v>
      </c>
      <c r="C255" t="s">
        <v>3</v>
      </c>
      <c r="D255">
        <v>1</v>
      </c>
    </row>
    <row r="256" spans="1:4" x14ac:dyDescent="0.25">
      <c r="A256">
        <v>285</v>
      </c>
      <c r="B256">
        <v>165</v>
      </c>
      <c r="C256" t="s">
        <v>3</v>
      </c>
      <c r="D256">
        <v>1</v>
      </c>
    </row>
    <row r="257" spans="1:4" x14ac:dyDescent="0.25">
      <c r="A257">
        <v>286</v>
      </c>
      <c r="B257">
        <v>167</v>
      </c>
      <c r="C257" t="s">
        <v>3</v>
      </c>
      <c r="D257">
        <v>1</v>
      </c>
    </row>
    <row r="258" spans="1:4" x14ac:dyDescent="0.25">
      <c r="A258">
        <v>287</v>
      </c>
      <c r="B258">
        <v>169</v>
      </c>
      <c r="C258" t="s">
        <v>3</v>
      </c>
      <c r="D258">
        <v>1</v>
      </c>
    </row>
    <row r="259" spans="1:4" x14ac:dyDescent="0.25">
      <c r="A259">
        <v>288</v>
      </c>
      <c r="B259">
        <v>170</v>
      </c>
      <c r="C259" t="s">
        <v>3</v>
      </c>
      <c r="D259">
        <v>1</v>
      </c>
    </row>
    <row r="260" spans="1:4" x14ac:dyDescent="0.25">
      <c r="A260">
        <v>289</v>
      </c>
      <c r="B260">
        <v>208</v>
      </c>
      <c r="C260" t="s">
        <v>3</v>
      </c>
      <c r="D260">
        <v>1</v>
      </c>
    </row>
    <row r="261" spans="1:4" x14ac:dyDescent="0.25">
      <c r="A261">
        <v>290</v>
      </c>
      <c r="B261">
        <v>204</v>
      </c>
      <c r="C261" t="s">
        <v>3</v>
      </c>
      <c r="D261">
        <v>1</v>
      </c>
    </row>
    <row r="262" spans="1:4" x14ac:dyDescent="0.25">
      <c r="A262">
        <v>291</v>
      </c>
      <c r="B262">
        <v>205</v>
      </c>
      <c r="C262" t="s">
        <v>3</v>
      </c>
      <c r="D262">
        <v>1</v>
      </c>
    </row>
    <row r="263" spans="1:4" x14ac:dyDescent="0.25">
      <c r="A263">
        <v>292</v>
      </c>
      <c r="B263">
        <v>205</v>
      </c>
      <c r="C263" t="s">
        <v>3</v>
      </c>
      <c r="D263">
        <v>1</v>
      </c>
    </row>
    <row r="264" spans="1:4" x14ac:dyDescent="0.25">
      <c r="A264">
        <v>293</v>
      </c>
      <c r="B264">
        <v>208</v>
      </c>
      <c r="C264" t="s">
        <v>3</v>
      </c>
      <c r="D264">
        <v>1</v>
      </c>
    </row>
    <row r="265" spans="1:4" x14ac:dyDescent="0.25">
      <c r="A265">
        <v>294</v>
      </c>
      <c r="B265">
        <v>209</v>
      </c>
      <c r="C265" t="s">
        <v>3</v>
      </c>
      <c r="D265">
        <v>1</v>
      </c>
    </row>
    <row r="266" spans="1:4" x14ac:dyDescent="0.25">
      <c r="A266">
        <v>295</v>
      </c>
      <c r="B266">
        <v>210</v>
      </c>
      <c r="C266" t="s">
        <v>3</v>
      </c>
      <c r="D266">
        <v>1</v>
      </c>
    </row>
    <row r="267" spans="1:4" x14ac:dyDescent="0.25">
      <c r="A267">
        <v>296</v>
      </c>
      <c r="B267">
        <v>211</v>
      </c>
      <c r="C267" t="s">
        <v>3</v>
      </c>
      <c r="D267">
        <v>1</v>
      </c>
    </row>
    <row r="268" spans="1:4" x14ac:dyDescent="0.25">
      <c r="A268">
        <v>297</v>
      </c>
      <c r="B268">
        <v>220</v>
      </c>
      <c r="C268" t="s">
        <v>3</v>
      </c>
      <c r="D268">
        <v>1</v>
      </c>
    </row>
    <row r="269" spans="1:4" x14ac:dyDescent="0.25">
      <c r="A269">
        <v>298</v>
      </c>
      <c r="B269">
        <v>223</v>
      </c>
      <c r="C269" t="s">
        <v>3</v>
      </c>
      <c r="D269">
        <v>1</v>
      </c>
    </row>
    <row r="270" spans="1:4" x14ac:dyDescent="0.25">
      <c r="A270">
        <v>299</v>
      </c>
      <c r="B270">
        <v>227</v>
      </c>
      <c r="C270" t="s">
        <v>3</v>
      </c>
      <c r="D270">
        <v>1</v>
      </c>
    </row>
    <row r="271" spans="1:4" x14ac:dyDescent="0.25">
      <c r="A271">
        <v>300</v>
      </c>
      <c r="B271">
        <v>216</v>
      </c>
      <c r="C271" t="s">
        <v>3</v>
      </c>
      <c r="D271">
        <v>1</v>
      </c>
    </row>
    <row r="272" spans="1:4" x14ac:dyDescent="0.25">
      <c r="A272">
        <v>301</v>
      </c>
      <c r="B272">
        <v>348</v>
      </c>
      <c r="C272" t="s">
        <v>3</v>
      </c>
      <c r="D272">
        <v>1</v>
      </c>
    </row>
    <row r="273" spans="1:4" x14ac:dyDescent="0.25">
      <c r="A273">
        <v>302</v>
      </c>
      <c r="B273">
        <v>222</v>
      </c>
      <c r="C273" t="s">
        <v>3</v>
      </c>
      <c r="D273">
        <v>1</v>
      </c>
    </row>
    <row r="274" spans="1:4" x14ac:dyDescent="0.25">
      <c r="A274">
        <v>303</v>
      </c>
      <c r="B274">
        <v>349</v>
      </c>
      <c r="C274" t="s">
        <v>3</v>
      </c>
      <c r="D274">
        <v>1</v>
      </c>
    </row>
    <row r="275" spans="1:4" x14ac:dyDescent="0.25">
      <c r="A275">
        <v>304</v>
      </c>
      <c r="B275">
        <v>224</v>
      </c>
      <c r="C275" t="s">
        <v>3</v>
      </c>
      <c r="D275">
        <v>1</v>
      </c>
    </row>
    <row r="276" spans="1:4" x14ac:dyDescent="0.25">
      <c r="A276">
        <v>305</v>
      </c>
      <c r="B276">
        <v>353</v>
      </c>
      <c r="C276" t="s">
        <v>3</v>
      </c>
      <c r="D276">
        <v>1</v>
      </c>
    </row>
    <row r="277" spans="1:4" x14ac:dyDescent="0.25">
      <c r="A277">
        <v>306</v>
      </c>
      <c r="B277">
        <v>226</v>
      </c>
      <c r="C277" t="s">
        <v>3</v>
      </c>
      <c r="D277">
        <v>1</v>
      </c>
    </row>
    <row r="278" spans="1:4" x14ac:dyDescent="0.25">
      <c r="A278">
        <v>307</v>
      </c>
      <c r="B278">
        <v>353</v>
      </c>
      <c r="C278" t="s">
        <v>3</v>
      </c>
      <c r="D278">
        <v>1</v>
      </c>
    </row>
    <row r="279" spans="1:4" x14ac:dyDescent="0.25">
      <c r="A279">
        <v>308</v>
      </c>
      <c r="B279">
        <v>353</v>
      </c>
      <c r="C279" t="s">
        <v>3</v>
      </c>
      <c r="D279">
        <v>1</v>
      </c>
    </row>
    <row r="280" spans="1:4" x14ac:dyDescent="0.25">
      <c r="A280">
        <v>309</v>
      </c>
      <c r="B280">
        <v>292</v>
      </c>
      <c r="C280" t="s">
        <v>5</v>
      </c>
      <c r="D280">
        <v>1</v>
      </c>
    </row>
    <row r="281" spans="1:4" x14ac:dyDescent="0.25">
      <c r="A281">
        <v>310</v>
      </c>
      <c r="B281">
        <v>293</v>
      </c>
      <c r="C281" t="s">
        <v>3</v>
      </c>
      <c r="D281">
        <v>1</v>
      </c>
    </row>
    <row r="282" spans="1:4" x14ac:dyDescent="0.25">
      <c r="A282">
        <v>311</v>
      </c>
      <c r="B282">
        <v>296</v>
      </c>
      <c r="C282" t="s">
        <v>3</v>
      </c>
      <c r="D282">
        <v>1</v>
      </c>
    </row>
    <row r="283" spans="1:4" x14ac:dyDescent="0.25">
      <c r="A283">
        <v>312</v>
      </c>
      <c r="B283">
        <v>333</v>
      </c>
      <c r="C283" t="s">
        <v>3</v>
      </c>
      <c r="D283">
        <v>1</v>
      </c>
    </row>
    <row r="284" spans="1:4" x14ac:dyDescent="0.25">
      <c r="A284">
        <v>313</v>
      </c>
      <c r="B284">
        <v>346</v>
      </c>
      <c r="C284" t="s">
        <v>3</v>
      </c>
      <c r="D284">
        <v>1</v>
      </c>
    </row>
    <row r="285" spans="1:4" x14ac:dyDescent="0.25">
      <c r="A285">
        <v>314</v>
      </c>
      <c r="B285">
        <v>300</v>
      </c>
      <c r="C285" t="s">
        <v>5</v>
      </c>
      <c r="D285">
        <v>1</v>
      </c>
    </row>
    <row r="286" spans="1:4" x14ac:dyDescent="0.25">
      <c r="A286">
        <v>315</v>
      </c>
      <c r="B286">
        <v>295</v>
      </c>
      <c r="C286" t="s">
        <v>3</v>
      </c>
      <c r="D286">
        <v>1</v>
      </c>
    </row>
    <row r="287" spans="1:4" x14ac:dyDescent="0.25">
      <c r="A287">
        <v>316</v>
      </c>
      <c r="B287">
        <v>297</v>
      </c>
      <c r="C287" t="s">
        <v>3</v>
      </c>
      <c r="D287">
        <v>1</v>
      </c>
    </row>
    <row r="288" spans="1:4" x14ac:dyDescent="0.25">
      <c r="A288">
        <v>317</v>
      </c>
      <c r="B288">
        <v>297</v>
      </c>
      <c r="C288" t="s">
        <v>3</v>
      </c>
      <c r="D288">
        <v>1</v>
      </c>
    </row>
    <row r="289" spans="1:4" x14ac:dyDescent="0.25">
      <c r="A289">
        <v>318</v>
      </c>
      <c r="B289">
        <v>348</v>
      </c>
      <c r="C289" t="s">
        <v>3</v>
      </c>
      <c r="D289">
        <v>1</v>
      </c>
    </row>
    <row r="290" spans="1:4" x14ac:dyDescent="0.25">
      <c r="A290">
        <v>319</v>
      </c>
      <c r="B290">
        <v>350</v>
      </c>
      <c r="C290" t="s">
        <v>3</v>
      </c>
      <c r="D290">
        <v>1</v>
      </c>
    </row>
    <row r="291" spans="1:4" x14ac:dyDescent="0.25">
      <c r="A291">
        <v>320</v>
      </c>
      <c r="B291">
        <v>350</v>
      </c>
      <c r="C291" t="s">
        <v>3</v>
      </c>
      <c r="D291">
        <v>1</v>
      </c>
    </row>
    <row r="292" spans="1:4" x14ac:dyDescent="0.25">
      <c r="A292">
        <v>321</v>
      </c>
      <c r="B292">
        <v>350</v>
      </c>
      <c r="C292" t="s">
        <v>3</v>
      </c>
      <c r="D292">
        <v>1</v>
      </c>
    </row>
    <row r="293" spans="1:4" x14ac:dyDescent="0.25">
      <c r="A293">
        <v>322</v>
      </c>
      <c r="B293">
        <v>309</v>
      </c>
      <c r="C293" t="s">
        <v>5</v>
      </c>
      <c r="D293">
        <v>1</v>
      </c>
    </row>
    <row r="294" spans="1:4" x14ac:dyDescent="0.25">
      <c r="A294">
        <v>323</v>
      </c>
      <c r="B294">
        <v>301</v>
      </c>
      <c r="C294" t="s">
        <v>5</v>
      </c>
      <c r="D294">
        <v>1</v>
      </c>
    </row>
    <row r="295" spans="1:4" x14ac:dyDescent="0.25">
      <c r="A295">
        <v>324</v>
      </c>
      <c r="B295">
        <v>302</v>
      </c>
      <c r="C295" t="s">
        <v>5</v>
      </c>
      <c r="D295">
        <v>1</v>
      </c>
    </row>
    <row r="296" spans="1:4" x14ac:dyDescent="0.25">
      <c r="A296">
        <v>325</v>
      </c>
      <c r="B296">
        <v>303</v>
      </c>
      <c r="C296" t="s">
        <v>5</v>
      </c>
      <c r="D296">
        <v>1</v>
      </c>
    </row>
    <row r="297" spans="1:4" x14ac:dyDescent="0.25">
      <c r="A297">
        <v>326</v>
      </c>
      <c r="B297">
        <v>307</v>
      </c>
      <c r="C297" t="s">
        <v>5</v>
      </c>
      <c r="D297">
        <v>1</v>
      </c>
    </row>
    <row r="298" spans="1:4" x14ac:dyDescent="0.25">
      <c r="A298">
        <v>327</v>
      </c>
      <c r="B298">
        <v>307</v>
      </c>
      <c r="C298" t="s">
        <v>5</v>
      </c>
      <c r="D298">
        <v>1</v>
      </c>
    </row>
    <row r="299" spans="1:4" x14ac:dyDescent="0.25">
      <c r="A299">
        <v>328</v>
      </c>
      <c r="B299">
        <v>327</v>
      </c>
      <c r="C299" t="s">
        <v>5</v>
      </c>
      <c r="D299">
        <v>1</v>
      </c>
    </row>
    <row r="300" spans="1:4" x14ac:dyDescent="0.25">
      <c r="A300">
        <v>329</v>
      </c>
      <c r="B300">
        <v>307</v>
      </c>
      <c r="C300" t="s">
        <v>5</v>
      </c>
      <c r="D300">
        <v>1</v>
      </c>
    </row>
    <row r="301" spans="1:4" x14ac:dyDescent="0.25">
      <c r="A301">
        <v>330</v>
      </c>
      <c r="B301">
        <v>333</v>
      </c>
      <c r="C301" t="s">
        <v>5</v>
      </c>
      <c r="D301">
        <v>1</v>
      </c>
    </row>
    <row r="302" spans="1:4" x14ac:dyDescent="0.25">
      <c r="A302">
        <v>331</v>
      </c>
      <c r="B302">
        <v>354</v>
      </c>
      <c r="C302" t="s">
        <v>5</v>
      </c>
      <c r="D302">
        <v>1</v>
      </c>
    </row>
    <row r="303" spans="1:4" x14ac:dyDescent="0.25">
      <c r="A303">
        <v>332</v>
      </c>
      <c r="B303">
        <v>309</v>
      </c>
      <c r="C303" t="s">
        <v>5</v>
      </c>
      <c r="D303">
        <v>1</v>
      </c>
    </row>
    <row r="304" spans="1:4" x14ac:dyDescent="0.25">
      <c r="A304">
        <v>333</v>
      </c>
      <c r="B304">
        <v>311</v>
      </c>
      <c r="C304" t="s">
        <v>5</v>
      </c>
      <c r="D304">
        <v>1</v>
      </c>
    </row>
    <row r="305" spans="1:4" x14ac:dyDescent="0.25">
      <c r="A305">
        <v>334</v>
      </c>
      <c r="B305">
        <v>311</v>
      </c>
      <c r="C305" t="s">
        <v>5</v>
      </c>
      <c r="D305">
        <v>1</v>
      </c>
    </row>
    <row r="306" spans="1:4" x14ac:dyDescent="0.25">
      <c r="A306">
        <v>335</v>
      </c>
      <c r="B306">
        <v>318</v>
      </c>
      <c r="C306" t="s">
        <v>5</v>
      </c>
      <c r="D306">
        <v>1</v>
      </c>
    </row>
    <row r="307" spans="1:4" x14ac:dyDescent="0.25">
      <c r="A307">
        <v>336</v>
      </c>
      <c r="B307">
        <v>328</v>
      </c>
      <c r="C307" t="s">
        <v>5</v>
      </c>
      <c r="D307">
        <v>1</v>
      </c>
    </row>
    <row r="308" spans="1:4" x14ac:dyDescent="0.25">
      <c r="A308">
        <v>337</v>
      </c>
      <c r="B308">
        <v>330</v>
      </c>
      <c r="C308" t="s">
        <v>5</v>
      </c>
      <c r="D308">
        <v>1</v>
      </c>
    </row>
    <row r="309" spans="1:4" x14ac:dyDescent="0.25">
      <c r="A309">
        <v>338</v>
      </c>
      <c r="B309">
        <v>333</v>
      </c>
      <c r="C309" t="s">
        <v>5</v>
      </c>
      <c r="D309">
        <v>1</v>
      </c>
    </row>
    <row r="310" spans="1:4" x14ac:dyDescent="0.25">
      <c r="A310">
        <v>339</v>
      </c>
      <c r="B310">
        <v>319</v>
      </c>
      <c r="C310" t="s">
        <v>5</v>
      </c>
      <c r="D310">
        <v>1</v>
      </c>
    </row>
    <row r="311" spans="1:4" x14ac:dyDescent="0.25">
      <c r="A311">
        <v>340</v>
      </c>
      <c r="B311">
        <v>330</v>
      </c>
      <c r="C311" t="s">
        <v>5</v>
      </c>
      <c r="D311">
        <v>1</v>
      </c>
    </row>
    <row r="312" spans="1:4" x14ac:dyDescent="0.25">
      <c r="A312">
        <v>341</v>
      </c>
      <c r="B312">
        <v>330</v>
      </c>
      <c r="C312" t="s">
        <v>5</v>
      </c>
      <c r="D312">
        <v>1</v>
      </c>
    </row>
    <row r="313" spans="1:4" x14ac:dyDescent="0.25">
      <c r="A313">
        <v>342</v>
      </c>
      <c r="B313">
        <v>339</v>
      </c>
      <c r="C313" t="s">
        <v>5</v>
      </c>
      <c r="D313">
        <v>1</v>
      </c>
    </row>
    <row r="314" spans="1:4" x14ac:dyDescent="0.25">
      <c r="A314">
        <v>343</v>
      </c>
      <c r="B314">
        <v>354</v>
      </c>
      <c r="C314" t="s">
        <v>5</v>
      </c>
      <c r="D314">
        <v>1</v>
      </c>
    </row>
    <row r="315" spans="1:4" x14ac:dyDescent="0.25">
      <c r="A315">
        <v>344</v>
      </c>
      <c r="B315">
        <v>354</v>
      </c>
      <c r="C315" t="s">
        <v>5</v>
      </c>
      <c r="D315">
        <v>1</v>
      </c>
    </row>
    <row r="316" spans="1:4" x14ac:dyDescent="0.25">
      <c r="A316">
        <v>345</v>
      </c>
      <c r="B316">
        <v>289</v>
      </c>
      <c r="C316" t="s">
        <v>6</v>
      </c>
      <c r="D316">
        <v>1</v>
      </c>
    </row>
    <row r="317" spans="1:4" x14ac:dyDescent="0.25">
      <c r="A317">
        <v>346</v>
      </c>
      <c r="B317">
        <v>311</v>
      </c>
      <c r="C317" t="s">
        <v>5</v>
      </c>
      <c r="D317">
        <v>1</v>
      </c>
    </row>
    <row r="318" spans="1:4" x14ac:dyDescent="0.25">
      <c r="A318">
        <v>347</v>
      </c>
      <c r="B318">
        <v>312</v>
      </c>
      <c r="C318" t="s">
        <v>5</v>
      </c>
      <c r="D318">
        <v>1</v>
      </c>
    </row>
    <row r="319" spans="1:4" x14ac:dyDescent="0.25">
      <c r="A319">
        <v>348</v>
      </c>
      <c r="B319">
        <v>320</v>
      </c>
      <c r="C319" t="s">
        <v>5</v>
      </c>
      <c r="D319">
        <v>1</v>
      </c>
    </row>
    <row r="320" spans="1:4" x14ac:dyDescent="0.25">
      <c r="A320">
        <v>349</v>
      </c>
      <c r="B320">
        <v>322</v>
      </c>
      <c r="C320" t="s">
        <v>5</v>
      </c>
      <c r="D320">
        <v>1</v>
      </c>
    </row>
    <row r="321" spans="1:4" x14ac:dyDescent="0.25">
      <c r="A321">
        <v>350</v>
      </c>
      <c r="B321">
        <v>338</v>
      </c>
      <c r="C321" t="s">
        <v>5</v>
      </c>
      <c r="D321">
        <v>1</v>
      </c>
    </row>
    <row r="322" spans="1:4" x14ac:dyDescent="0.25">
      <c r="A322">
        <v>351</v>
      </c>
      <c r="B322">
        <v>341</v>
      </c>
      <c r="C322" t="s">
        <v>5</v>
      </c>
      <c r="D322">
        <v>1</v>
      </c>
    </row>
    <row r="323" spans="1:4" x14ac:dyDescent="0.25">
      <c r="A323">
        <v>352</v>
      </c>
      <c r="B323">
        <v>342</v>
      </c>
      <c r="C323" t="s">
        <v>5</v>
      </c>
      <c r="D323">
        <v>1</v>
      </c>
    </row>
    <row r="324" spans="1:4" x14ac:dyDescent="0.25">
      <c r="A324">
        <v>353</v>
      </c>
      <c r="B324">
        <v>337</v>
      </c>
      <c r="C324" t="s">
        <v>5</v>
      </c>
      <c r="D324">
        <v>1</v>
      </c>
    </row>
    <row r="325" spans="1:4" x14ac:dyDescent="0.25">
      <c r="A325">
        <v>354</v>
      </c>
      <c r="B325">
        <v>342</v>
      </c>
      <c r="C325" t="s">
        <v>3</v>
      </c>
      <c r="D325">
        <v>1</v>
      </c>
    </row>
    <row r="326" spans="1:4" x14ac:dyDescent="0.25">
      <c r="A326">
        <v>355</v>
      </c>
      <c r="B326">
        <v>341</v>
      </c>
      <c r="C326" t="s">
        <v>5</v>
      </c>
      <c r="D326">
        <v>1</v>
      </c>
    </row>
    <row r="327" spans="1:4" x14ac:dyDescent="0.25">
      <c r="A327">
        <v>356</v>
      </c>
      <c r="B327">
        <v>341</v>
      </c>
      <c r="C327" t="s">
        <v>5</v>
      </c>
      <c r="D327">
        <v>1</v>
      </c>
    </row>
    <row r="328" spans="1:4" x14ac:dyDescent="0.25">
      <c r="A328">
        <v>357</v>
      </c>
      <c r="B328">
        <v>344</v>
      </c>
      <c r="C328" t="s">
        <v>3</v>
      </c>
      <c r="D328">
        <v>1.0999999999999999E-7</v>
      </c>
    </row>
    <row r="329" spans="1:4" x14ac:dyDescent="0.25">
      <c r="A329">
        <v>357</v>
      </c>
      <c r="B329">
        <v>344</v>
      </c>
      <c r="C329" t="s">
        <v>5</v>
      </c>
      <c r="D329">
        <v>1</v>
      </c>
    </row>
    <row r="330" spans="1:4" x14ac:dyDescent="0.25">
      <c r="A330">
        <v>358</v>
      </c>
      <c r="B330">
        <v>325</v>
      </c>
      <c r="C330" t="s">
        <v>5</v>
      </c>
      <c r="D330">
        <v>1</v>
      </c>
    </row>
    <row r="331" spans="1:4" x14ac:dyDescent="0.25">
      <c r="A331">
        <v>359</v>
      </c>
      <c r="B331">
        <v>324</v>
      </c>
      <c r="C331" t="s">
        <v>5</v>
      </c>
      <c r="D331">
        <v>1</v>
      </c>
    </row>
    <row r="332" spans="1:4" x14ac:dyDescent="0.25">
      <c r="A332">
        <v>360</v>
      </c>
      <c r="B332">
        <v>315</v>
      </c>
      <c r="C332" t="s">
        <v>5</v>
      </c>
      <c r="D332">
        <v>1</v>
      </c>
    </row>
    <row r="333" spans="1:4" x14ac:dyDescent="0.25">
      <c r="A333">
        <v>361</v>
      </c>
      <c r="B333">
        <v>310</v>
      </c>
      <c r="C333" t="s">
        <v>5</v>
      </c>
      <c r="D333">
        <v>1</v>
      </c>
    </row>
    <row r="334" spans="1:4" x14ac:dyDescent="0.25">
      <c r="A334">
        <v>362</v>
      </c>
      <c r="B334">
        <v>314</v>
      </c>
      <c r="C334" t="s">
        <v>6</v>
      </c>
      <c r="D334">
        <v>1</v>
      </c>
    </row>
    <row r="335" spans="1:4" x14ac:dyDescent="0.25">
      <c r="A335">
        <v>363</v>
      </c>
      <c r="B335">
        <v>369</v>
      </c>
      <c r="C335" t="s">
        <v>5</v>
      </c>
      <c r="D335">
        <v>1</v>
      </c>
    </row>
    <row r="336" spans="1:4" x14ac:dyDescent="0.25">
      <c r="A336">
        <v>364</v>
      </c>
      <c r="B336">
        <v>315</v>
      </c>
      <c r="C336" t="s">
        <v>5</v>
      </c>
      <c r="D336">
        <v>1</v>
      </c>
    </row>
    <row r="337" spans="1:4" x14ac:dyDescent="0.25">
      <c r="A337">
        <v>365</v>
      </c>
      <c r="B337">
        <v>370</v>
      </c>
      <c r="C337" t="s">
        <v>5</v>
      </c>
      <c r="D337">
        <v>1</v>
      </c>
    </row>
    <row r="338" spans="1:4" x14ac:dyDescent="0.25">
      <c r="A338">
        <v>366</v>
      </c>
      <c r="B338">
        <v>371</v>
      </c>
      <c r="C338" t="s">
        <v>5</v>
      </c>
      <c r="D338">
        <v>1</v>
      </c>
    </row>
    <row r="339" spans="1:4" x14ac:dyDescent="0.25">
      <c r="A339">
        <v>367</v>
      </c>
      <c r="B339">
        <v>371</v>
      </c>
      <c r="C339" t="s">
        <v>5</v>
      </c>
      <c r="D339">
        <v>1</v>
      </c>
    </row>
    <row r="340" spans="1:4" x14ac:dyDescent="0.25">
      <c r="A340">
        <v>368</v>
      </c>
      <c r="B340">
        <v>372</v>
      </c>
      <c r="C340" t="s">
        <v>5</v>
      </c>
      <c r="D340">
        <v>1</v>
      </c>
    </row>
    <row r="341" spans="1:4" x14ac:dyDescent="0.25">
      <c r="A341">
        <v>369</v>
      </c>
      <c r="B341">
        <v>377</v>
      </c>
      <c r="C341" t="s">
        <v>5</v>
      </c>
      <c r="D341">
        <v>1</v>
      </c>
    </row>
    <row r="342" spans="1:4" x14ac:dyDescent="0.25">
      <c r="A342">
        <v>370</v>
      </c>
      <c r="B342">
        <v>344</v>
      </c>
      <c r="C342" t="s">
        <v>5</v>
      </c>
      <c r="D342">
        <v>1</v>
      </c>
    </row>
    <row r="343" spans="1:4" x14ac:dyDescent="0.25">
      <c r="A343">
        <v>371</v>
      </c>
      <c r="B343">
        <v>378</v>
      </c>
      <c r="C343" t="s">
        <v>5</v>
      </c>
      <c r="D343">
        <v>1</v>
      </c>
    </row>
    <row r="344" spans="1:4" x14ac:dyDescent="0.25">
      <c r="A344">
        <v>372</v>
      </c>
      <c r="B344">
        <v>378</v>
      </c>
      <c r="C344" t="s">
        <v>5</v>
      </c>
      <c r="D344">
        <v>1</v>
      </c>
    </row>
    <row r="345" spans="1:4" x14ac:dyDescent="0.25">
      <c r="A345">
        <v>373</v>
      </c>
      <c r="B345">
        <v>381</v>
      </c>
      <c r="C345" t="s">
        <v>6</v>
      </c>
      <c r="D345">
        <v>1</v>
      </c>
    </row>
    <row r="346" spans="1:4" x14ac:dyDescent="0.25">
      <c r="A346">
        <v>374</v>
      </c>
      <c r="B346">
        <v>381</v>
      </c>
      <c r="C346" t="s">
        <v>5</v>
      </c>
      <c r="D346">
        <v>1</v>
      </c>
    </row>
    <row r="347" spans="1:4" x14ac:dyDescent="0.25">
      <c r="A347">
        <v>375</v>
      </c>
      <c r="B347">
        <v>378</v>
      </c>
      <c r="C347" t="s">
        <v>5</v>
      </c>
      <c r="D347">
        <v>1</v>
      </c>
    </row>
    <row r="348" spans="1:4" x14ac:dyDescent="0.25">
      <c r="A348">
        <v>376</v>
      </c>
      <c r="B348">
        <v>374</v>
      </c>
      <c r="C348" t="s">
        <v>5</v>
      </c>
      <c r="D348">
        <v>1</v>
      </c>
    </row>
    <row r="349" spans="1:4" x14ac:dyDescent="0.25">
      <c r="A349">
        <v>377</v>
      </c>
      <c r="B349">
        <v>374</v>
      </c>
      <c r="C349" t="s">
        <v>5</v>
      </c>
      <c r="D349">
        <v>1</v>
      </c>
    </row>
    <row r="350" spans="1:4" x14ac:dyDescent="0.25">
      <c r="A350">
        <v>378</v>
      </c>
      <c r="B350">
        <v>385</v>
      </c>
      <c r="C350" t="s">
        <v>5</v>
      </c>
      <c r="D350">
        <v>1</v>
      </c>
    </row>
    <row r="351" spans="1:4" x14ac:dyDescent="0.25">
      <c r="A351">
        <v>379</v>
      </c>
      <c r="B351">
        <v>371</v>
      </c>
      <c r="C351" t="s">
        <v>5</v>
      </c>
      <c r="D351">
        <v>1</v>
      </c>
    </row>
    <row r="352" spans="1:4" x14ac:dyDescent="0.25">
      <c r="A352">
        <v>380</v>
      </c>
      <c r="B352">
        <v>370</v>
      </c>
      <c r="C352" t="s">
        <v>5</v>
      </c>
      <c r="D352">
        <v>1</v>
      </c>
    </row>
    <row r="353" spans="1:4" x14ac:dyDescent="0.25">
      <c r="A353">
        <v>381</v>
      </c>
      <c r="B353">
        <v>369</v>
      </c>
      <c r="C353" t="s">
        <v>5</v>
      </c>
      <c r="D353">
        <v>1</v>
      </c>
    </row>
    <row r="354" spans="1:4" x14ac:dyDescent="0.25">
      <c r="A354">
        <v>382</v>
      </c>
      <c r="B354">
        <v>385</v>
      </c>
      <c r="C354" t="s">
        <v>6</v>
      </c>
      <c r="D354">
        <v>1</v>
      </c>
    </row>
    <row r="355" spans="1:4" x14ac:dyDescent="0.25">
      <c r="A355">
        <v>383</v>
      </c>
      <c r="B355">
        <v>385</v>
      </c>
      <c r="C355" t="s">
        <v>6</v>
      </c>
      <c r="D355">
        <v>2.7540000000000001E-5</v>
      </c>
    </row>
    <row r="356" spans="1:4" x14ac:dyDescent="0.25">
      <c r="A356">
        <v>383</v>
      </c>
      <c r="B356">
        <v>385</v>
      </c>
      <c r="C356" t="s">
        <v>5</v>
      </c>
      <c r="D356">
        <v>1</v>
      </c>
    </row>
    <row r="357" spans="1:4" x14ac:dyDescent="0.25">
      <c r="A357">
        <v>384</v>
      </c>
      <c r="B357">
        <v>385</v>
      </c>
      <c r="C357" t="s">
        <v>5</v>
      </c>
      <c r="D357">
        <v>1</v>
      </c>
    </row>
    <row r="358" spans="1:4" x14ac:dyDescent="0.25">
      <c r="A358">
        <v>385</v>
      </c>
      <c r="B358">
        <v>376</v>
      </c>
      <c r="C358" t="s">
        <v>5</v>
      </c>
      <c r="D358">
        <v>1</v>
      </c>
    </row>
    <row r="359" spans="1:4" x14ac:dyDescent="0.25">
      <c r="A359">
        <v>386</v>
      </c>
      <c r="B359">
        <v>380</v>
      </c>
      <c r="C359" t="s">
        <v>5</v>
      </c>
      <c r="D359">
        <v>1</v>
      </c>
    </row>
    <row r="360" spans="1:4" x14ac:dyDescent="0.25">
      <c r="A360">
        <v>387</v>
      </c>
      <c r="B360">
        <v>381</v>
      </c>
      <c r="C360" t="s">
        <v>5</v>
      </c>
      <c r="D360">
        <v>1</v>
      </c>
    </row>
    <row r="361" spans="1:4" x14ac:dyDescent="0.25">
      <c r="A361">
        <v>388</v>
      </c>
      <c r="B361">
        <v>397</v>
      </c>
      <c r="C361" t="s">
        <v>6</v>
      </c>
      <c r="D361">
        <v>1</v>
      </c>
    </row>
    <row r="362" spans="1:4" x14ac:dyDescent="0.25">
      <c r="A362">
        <v>389</v>
      </c>
      <c r="B362">
        <v>397</v>
      </c>
      <c r="C362" t="s">
        <v>6</v>
      </c>
      <c r="D362">
        <v>1</v>
      </c>
    </row>
    <row r="363" spans="1:4" x14ac:dyDescent="0.25">
      <c r="A363">
        <v>390</v>
      </c>
      <c r="B363">
        <v>389</v>
      </c>
      <c r="C363" t="s">
        <v>6</v>
      </c>
      <c r="D363">
        <v>2.5431999999999999E-4</v>
      </c>
    </row>
    <row r="364" spans="1:4" x14ac:dyDescent="0.25">
      <c r="A364">
        <v>390</v>
      </c>
      <c r="B364">
        <v>389</v>
      </c>
      <c r="C364" t="s">
        <v>5</v>
      </c>
      <c r="D364">
        <v>1</v>
      </c>
    </row>
    <row r="365" spans="1:4" x14ac:dyDescent="0.25">
      <c r="A365">
        <v>391</v>
      </c>
      <c r="B365">
        <v>355</v>
      </c>
      <c r="C365" t="s">
        <v>3</v>
      </c>
      <c r="D365">
        <v>1</v>
      </c>
    </row>
    <row r="366" spans="1:4" x14ac:dyDescent="0.25">
      <c r="A366">
        <v>392</v>
      </c>
      <c r="B366">
        <v>358</v>
      </c>
      <c r="C366" t="s">
        <v>3</v>
      </c>
      <c r="D366">
        <v>1</v>
      </c>
    </row>
    <row r="367" spans="1:4" x14ac:dyDescent="0.25">
      <c r="A367">
        <v>393</v>
      </c>
      <c r="B367">
        <v>352</v>
      </c>
      <c r="C367" t="s">
        <v>3</v>
      </c>
      <c r="D367">
        <v>1</v>
      </c>
    </row>
    <row r="368" spans="1:4" x14ac:dyDescent="0.25">
      <c r="A368">
        <v>394</v>
      </c>
      <c r="B368">
        <v>393</v>
      </c>
      <c r="C368" t="s">
        <v>3</v>
      </c>
      <c r="D368">
        <v>1</v>
      </c>
    </row>
    <row r="369" spans="1:4" x14ac:dyDescent="0.25">
      <c r="A369">
        <v>395</v>
      </c>
      <c r="B369">
        <v>400</v>
      </c>
      <c r="C369" t="s">
        <v>6</v>
      </c>
      <c r="D369">
        <v>1</v>
      </c>
    </row>
    <row r="370" spans="1:4" x14ac:dyDescent="0.25">
      <c r="A370">
        <v>396</v>
      </c>
      <c r="B370">
        <v>393</v>
      </c>
      <c r="C370" t="s">
        <v>6</v>
      </c>
      <c r="D370">
        <v>1</v>
      </c>
    </row>
    <row r="371" spans="1:4" x14ac:dyDescent="0.25">
      <c r="A371">
        <v>397</v>
      </c>
      <c r="B371">
        <v>400</v>
      </c>
      <c r="C371" t="s">
        <v>6</v>
      </c>
      <c r="D371">
        <v>1</v>
      </c>
    </row>
    <row r="372" spans="1:4" x14ac:dyDescent="0.25">
      <c r="A372">
        <v>398</v>
      </c>
      <c r="B372">
        <v>408</v>
      </c>
      <c r="C372" t="s">
        <v>6</v>
      </c>
      <c r="D372">
        <v>1</v>
      </c>
    </row>
    <row r="373" spans="1:4" x14ac:dyDescent="0.25">
      <c r="A373">
        <v>399</v>
      </c>
      <c r="B373">
        <v>358</v>
      </c>
      <c r="C373" t="s">
        <v>3</v>
      </c>
      <c r="D373">
        <v>1</v>
      </c>
    </row>
    <row r="374" spans="1:4" x14ac:dyDescent="0.25">
      <c r="A374">
        <v>400</v>
      </c>
      <c r="B374">
        <v>356</v>
      </c>
      <c r="C374" t="s">
        <v>3</v>
      </c>
      <c r="D374">
        <v>1</v>
      </c>
    </row>
    <row r="375" spans="1:4" x14ac:dyDescent="0.25">
      <c r="A375">
        <v>400</v>
      </c>
      <c r="B375">
        <v>356</v>
      </c>
      <c r="C375" t="s">
        <v>5</v>
      </c>
      <c r="D375">
        <v>1.2000000000000002E-7</v>
      </c>
    </row>
    <row r="376" spans="1:4" x14ac:dyDescent="0.25">
      <c r="A376">
        <v>401</v>
      </c>
      <c r="B376">
        <v>357</v>
      </c>
      <c r="C376" t="s">
        <v>3</v>
      </c>
      <c r="D376">
        <v>1</v>
      </c>
    </row>
    <row r="377" spans="1:4" x14ac:dyDescent="0.25">
      <c r="A377">
        <v>402</v>
      </c>
      <c r="B377">
        <v>358</v>
      </c>
      <c r="C377" t="s">
        <v>3</v>
      </c>
      <c r="D377">
        <v>1</v>
      </c>
    </row>
    <row r="378" spans="1:4" x14ac:dyDescent="0.25">
      <c r="A378">
        <v>403</v>
      </c>
      <c r="B378">
        <v>382</v>
      </c>
      <c r="C378" t="s">
        <v>6</v>
      </c>
      <c r="D378">
        <v>1</v>
      </c>
    </row>
    <row r="379" spans="1:4" x14ac:dyDescent="0.25">
      <c r="A379">
        <v>404</v>
      </c>
      <c r="B379">
        <v>397</v>
      </c>
      <c r="C379" t="s">
        <v>6</v>
      </c>
      <c r="D379">
        <v>1</v>
      </c>
    </row>
    <row r="380" spans="1:4" x14ac:dyDescent="0.25">
      <c r="A380">
        <v>405</v>
      </c>
      <c r="B380">
        <v>362</v>
      </c>
      <c r="C380" t="s">
        <v>6</v>
      </c>
      <c r="D380">
        <v>1</v>
      </c>
    </row>
    <row r="381" spans="1:4" x14ac:dyDescent="0.25">
      <c r="A381">
        <v>406</v>
      </c>
      <c r="B381">
        <v>400</v>
      </c>
      <c r="C381" t="s">
        <v>6</v>
      </c>
      <c r="D381">
        <v>1</v>
      </c>
    </row>
    <row r="382" spans="1:4" x14ac:dyDescent="0.25">
      <c r="A382">
        <v>407</v>
      </c>
      <c r="B382">
        <v>400</v>
      </c>
      <c r="C382" t="s">
        <v>6</v>
      </c>
      <c r="D382">
        <v>1</v>
      </c>
    </row>
    <row r="383" spans="1:4" x14ac:dyDescent="0.25">
      <c r="A383">
        <v>408</v>
      </c>
      <c r="B383">
        <v>400</v>
      </c>
      <c r="C383" t="s">
        <v>6</v>
      </c>
      <c r="D383">
        <v>1</v>
      </c>
    </row>
    <row r="384" spans="1:4" x14ac:dyDescent="0.25">
      <c r="A384">
        <v>409</v>
      </c>
      <c r="B384">
        <v>400</v>
      </c>
      <c r="C384" t="s">
        <v>6</v>
      </c>
      <c r="D384">
        <v>1</v>
      </c>
    </row>
    <row r="385" spans="1:4" x14ac:dyDescent="0.25">
      <c r="A385">
        <v>410</v>
      </c>
      <c r="B385">
        <v>400</v>
      </c>
      <c r="C385" t="s">
        <v>6</v>
      </c>
      <c r="D385">
        <v>1</v>
      </c>
    </row>
    <row r="386" spans="1:4" x14ac:dyDescent="0.25">
      <c r="A386">
        <v>411</v>
      </c>
      <c r="B386">
        <v>382</v>
      </c>
      <c r="C386" t="s">
        <v>5</v>
      </c>
      <c r="D386">
        <v>1</v>
      </c>
    </row>
    <row r="387" spans="1:4" x14ac:dyDescent="0.25">
      <c r="A387">
        <v>412</v>
      </c>
      <c r="B387">
        <v>400</v>
      </c>
      <c r="C387" t="s">
        <v>6</v>
      </c>
      <c r="D387">
        <v>1</v>
      </c>
    </row>
    <row r="388" spans="1:4" x14ac:dyDescent="0.25">
      <c r="A388">
        <v>413</v>
      </c>
      <c r="B388">
        <v>400</v>
      </c>
      <c r="C388" t="s">
        <v>6</v>
      </c>
      <c r="D388">
        <v>1</v>
      </c>
    </row>
    <row r="389" spans="1:4" x14ac:dyDescent="0.25">
      <c r="A389">
        <v>414</v>
      </c>
      <c r="B389">
        <v>408</v>
      </c>
      <c r="C389" t="s">
        <v>6</v>
      </c>
      <c r="D389">
        <v>1</v>
      </c>
    </row>
    <row r="390" spans="1:4" x14ac:dyDescent="0.25">
      <c r="A390">
        <v>415</v>
      </c>
      <c r="B390">
        <v>395</v>
      </c>
      <c r="C390" t="s">
        <v>6</v>
      </c>
      <c r="D390">
        <v>1</v>
      </c>
    </row>
    <row r="391" spans="1:4" x14ac:dyDescent="0.25">
      <c r="A391">
        <v>416</v>
      </c>
      <c r="B391">
        <v>395</v>
      </c>
      <c r="C391" t="s">
        <v>6</v>
      </c>
      <c r="D391">
        <v>1</v>
      </c>
    </row>
    <row r="392" spans="1:4" x14ac:dyDescent="0.25">
      <c r="A392">
        <v>417</v>
      </c>
      <c r="B392">
        <v>395</v>
      </c>
      <c r="C392" t="s">
        <v>6</v>
      </c>
      <c r="D392">
        <v>1</v>
      </c>
    </row>
    <row r="393" spans="1:4" x14ac:dyDescent="0.25">
      <c r="A393">
        <v>418</v>
      </c>
      <c r="B393">
        <v>367</v>
      </c>
      <c r="C393" t="s">
        <v>6</v>
      </c>
      <c r="D393">
        <v>1</v>
      </c>
    </row>
    <row r="394" spans="1:4" x14ac:dyDescent="0.25">
      <c r="A394">
        <v>419</v>
      </c>
      <c r="B394">
        <v>366</v>
      </c>
      <c r="C394" t="s">
        <v>6</v>
      </c>
      <c r="D394">
        <v>1</v>
      </c>
    </row>
    <row r="395" spans="1:4" x14ac:dyDescent="0.25">
      <c r="A395">
        <v>420</v>
      </c>
      <c r="B395">
        <v>397</v>
      </c>
      <c r="C395" t="s">
        <v>6</v>
      </c>
      <c r="D395">
        <v>1</v>
      </c>
    </row>
    <row r="396" spans="1:4" x14ac:dyDescent="0.25">
      <c r="A396">
        <v>421</v>
      </c>
      <c r="B396">
        <v>390</v>
      </c>
      <c r="C396" t="s">
        <v>6</v>
      </c>
      <c r="D396">
        <v>1</v>
      </c>
    </row>
    <row r="397" spans="1:4" x14ac:dyDescent="0.25">
      <c r="A397">
        <v>421</v>
      </c>
      <c r="B397">
        <v>390</v>
      </c>
      <c r="C397" t="s">
        <v>5</v>
      </c>
      <c r="D397">
        <v>4.7674000000000002E-4</v>
      </c>
    </row>
    <row r="398" spans="1:4" x14ac:dyDescent="0.25">
      <c r="A398">
        <v>422</v>
      </c>
      <c r="B398">
        <v>409</v>
      </c>
      <c r="C398" t="s">
        <v>6</v>
      </c>
      <c r="D398">
        <v>1</v>
      </c>
    </row>
    <row r="399" spans="1:4" x14ac:dyDescent="0.25">
      <c r="A399">
        <v>423</v>
      </c>
      <c r="B399">
        <v>409</v>
      </c>
      <c r="C399" t="s">
        <v>6</v>
      </c>
      <c r="D399">
        <v>1</v>
      </c>
    </row>
    <row r="400" spans="1:4" x14ac:dyDescent="0.25">
      <c r="A400">
        <v>424</v>
      </c>
      <c r="B400">
        <v>409</v>
      </c>
      <c r="C400" t="s">
        <v>6</v>
      </c>
      <c r="D400">
        <v>1</v>
      </c>
    </row>
    <row r="401" spans="1:4" x14ac:dyDescent="0.25">
      <c r="A401">
        <v>425</v>
      </c>
      <c r="B401">
        <v>409</v>
      </c>
      <c r="C401" t="s">
        <v>6</v>
      </c>
      <c r="D401">
        <v>1</v>
      </c>
    </row>
    <row r="402" spans="1:4" x14ac:dyDescent="0.25">
      <c r="A402">
        <v>426</v>
      </c>
      <c r="B402">
        <v>390</v>
      </c>
      <c r="C402" t="s">
        <v>6</v>
      </c>
      <c r="D402">
        <v>1</v>
      </c>
    </row>
    <row r="403" spans="1:4" x14ac:dyDescent="0.25">
      <c r="A403">
        <v>426</v>
      </c>
      <c r="B403">
        <v>390</v>
      </c>
      <c r="C403" t="s">
        <v>5</v>
      </c>
      <c r="D403">
        <v>1.2930000000000002E-5</v>
      </c>
    </row>
    <row r="404" spans="1:4" x14ac:dyDescent="0.25">
      <c r="A404">
        <v>427</v>
      </c>
      <c r="B404">
        <v>390</v>
      </c>
      <c r="C404" t="s">
        <v>6</v>
      </c>
      <c r="D404">
        <v>1</v>
      </c>
    </row>
    <row r="405" spans="1:4" x14ac:dyDescent="0.25">
      <c r="A405">
        <v>428</v>
      </c>
      <c r="B405">
        <v>388</v>
      </c>
      <c r="C405" t="s">
        <v>6</v>
      </c>
      <c r="D405">
        <v>1</v>
      </c>
    </row>
    <row r="406" spans="1:4" x14ac:dyDescent="0.25">
      <c r="A406">
        <v>429</v>
      </c>
      <c r="B406">
        <v>384</v>
      </c>
      <c r="C406" t="s">
        <v>6</v>
      </c>
      <c r="D406">
        <v>1</v>
      </c>
    </row>
    <row r="407" spans="1:4" x14ac:dyDescent="0.25">
      <c r="A407">
        <v>430</v>
      </c>
      <c r="B407">
        <v>384</v>
      </c>
      <c r="C407" t="s">
        <v>6</v>
      </c>
      <c r="D407">
        <v>1</v>
      </c>
    </row>
    <row r="408" spans="1:4" x14ac:dyDescent="0.25">
      <c r="A408">
        <v>431</v>
      </c>
      <c r="B408">
        <v>313</v>
      </c>
      <c r="C408" t="s">
        <v>6</v>
      </c>
      <c r="D408">
        <v>1</v>
      </c>
    </row>
    <row r="409" spans="1:4" x14ac:dyDescent="0.25">
      <c r="A409">
        <v>432</v>
      </c>
      <c r="B409">
        <v>287</v>
      </c>
      <c r="C409" t="s">
        <v>6</v>
      </c>
      <c r="D409">
        <v>1</v>
      </c>
    </row>
    <row r="410" spans="1:4" x14ac:dyDescent="0.25">
      <c r="A410">
        <v>433</v>
      </c>
      <c r="B410">
        <v>287</v>
      </c>
      <c r="C410" t="s">
        <v>6</v>
      </c>
      <c r="D410">
        <v>1</v>
      </c>
    </row>
    <row r="411" spans="1:4" x14ac:dyDescent="0.25">
      <c r="A411">
        <v>434</v>
      </c>
      <c r="B411">
        <v>289</v>
      </c>
      <c r="C411" t="s">
        <v>6</v>
      </c>
      <c r="D411">
        <v>1</v>
      </c>
    </row>
    <row r="412" spans="1:4" x14ac:dyDescent="0.25">
      <c r="A412">
        <v>435</v>
      </c>
      <c r="B412">
        <v>396</v>
      </c>
      <c r="C412" t="s">
        <v>8</v>
      </c>
      <c r="D412">
        <v>1</v>
      </c>
    </row>
    <row r="413" spans="1:4" x14ac:dyDescent="0.25">
      <c r="A413">
        <v>436</v>
      </c>
      <c r="B413">
        <v>290</v>
      </c>
      <c r="C413" t="s">
        <v>10</v>
      </c>
      <c r="D413">
        <v>1</v>
      </c>
    </row>
    <row r="414" spans="1:4" x14ac:dyDescent="0.25">
      <c r="A414">
        <v>437</v>
      </c>
      <c r="B414">
        <v>392</v>
      </c>
      <c r="C414" t="s">
        <v>6</v>
      </c>
      <c r="D414">
        <v>1</v>
      </c>
    </row>
    <row r="415" spans="1:4" x14ac:dyDescent="0.25">
      <c r="A415">
        <v>438</v>
      </c>
      <c r="B415">
        <v>81</v>
      </c>
      <c r="C415" t="s">
        <v>6</v>
      </c>
      <c r="D415">
        <v>1</v>
      </c>
    </row>
    <row r="416" spans="1:4" x14ac:dyDescent="0.25">
      <c r="A416">
        <v>439</v>
      </c>
      <c r="B416">
        <v>160</v>
      </c>
      <c r="C416" t="s">
        <v>3</v>
      </c>
      <c r="D416">
        <v>1</v>
      </c>
    </row>
    <row r="417" spans="1:4" x14ac:dyDescent="0.25">
      <c r="A417">
        <v>440</v>
      </c>
      <c r="B417">
        <v>194</v>
      </c>
      <c r="C417" t="s">
        <v>10</v>
      </c>
      <c r="D417">
        <v>1</v>
      </c>
    </row>
    <row r="418" spans="1:4" x14ac:dyDescent="0.25">
      <c r="A418">
        <v>441</v>
      </c>
      <c r="B418">
        <v>293</v>
      </c>
      <c r="C418" t="s">
        <v>3</v>
      </c>
      <c r="D418">
        <v>1</v>
      </c>
    </row>
    <row r="419" spans="1:4" x14ac:dyDescent="0.25">
      <c r="A419">
        <v>442</v>
      </c>
      <c r="B419">
        <v>300</v>
      </c>
      <c r="C419" t="s">
        <v>5</v>
      </c>
      <c r="D419">
        <v>1</v>
      </c>
    </row>
    <row r="420" spans="1:4" x14ac:dyDescent="0.25">
      <c r="A420">
        <v>443</v>
      </c>
      <c r="B420" t="s">
        <v>13</v>
      </c>
      <c r="C420" t="s">
        <v>6</v>
      </c>
      <c r="D420">
        <v>1</v>
      </c>
    </row>
    <row r="421" spans="1:4" x14ac:dyDescent="0.25">
      <c r="A421">
        <v>444</v>
      </c>
      <c r="B421" t="s">
        <v>13</v>
      </c>
      <c r="C421" t="s">
        <v>6</v>
      </c>
      <c r="D421">
        <v>1</v>
      </c>
    </row>
    <row r="422" spans="1:4" x14ac:dyDescent="0.25">
      <c r="A422">
        <v>445</v>
      </c>
      <c r="B422">
        <v>79</v>
      </c>
      <c r="C422" t="s">
        <v>8</v>
      </c>
      <c r="D422">
        <v>1</v>
      </c>
    </row>
    <row r="423" spans="1:4" x14ac:dyDescent="0.25">
      <c r="A423">
        <v>446</v>
      </c>
      <c r="B423">
        <v>399</v>
      </c>
      <c r="C423" t="s">
        <v>8</v>
      </c>
      <c r="D423">
        <v>1</v>
      </c>
    </row>
    <row r="424" spans="1:4" x14ac:dyDescent="0.25">
      <c r="A424">
        <v>447</v>
      </c>
      <c r="B424">
        <v>399</v>
      </c>
      <c r="C424" t="s">
        <v>8</v>
      </c>
      <c r="D424">
        <v>1</v>
      </c>
    </row>
    <row r="425" spans="1:4" x14ac:dyDescent="0.25">
      <c r="A425">
        <v>448</v>
      </c>
      <c r="B425">
        <v>357</v>
      </c>
      <c r="C425" t="s">
        <v>3</v>
      </c>
      <c r="D425">
        <v>1</v>
      </c>
    </row>
    <row r="426" spans="1:4" x14ac:dyDescent="0.25">
      <c r="A426">
        <v>449</v>
      </c>
      <c r="B426">
        <v>377</v>
      </c>
      <c r="C426" t="s">
        <v>5</v>
      </c>
      <c r="D426">
        <v>0.99999992999999998</v>
      </c>
    </row>
    <row r="427" spans="1:4" x14ac:dyDescent="0.25">
      <c r="A427">
        <v>450</v>
      </c>
      <c r="B427">
        <v>392</v>
      </c>
      <c r="C427" t="s">
        <v>6</v>
      </c>
      <c r="D427">
        <v>1</v>
      </c>
    </row>
    <row r="428" spans="1:4" x14ac:dyDescent="0.25">
      <c r="A428">
        <v>451</v>
      </c>
      <c r="B428">
        <v>397</v>
      </c>
      <c r="C428" t="s">
        <v>6</v>
      </c>
      <c r="D428">
        <v>1</v>
      </c>
    </row>
    <row r="429" spans="1:4" x14ac:dyDescent="0.25">
      <c r="A429">
        <v>452</v>
      </c>
      <c r="B429">
        <v>400</v>
      </c>
      <c r="C429" t="s">
        <v>6</v>
      </c>
      <c r="D429">
        <v>0.99999998000000001</v>
      </c>
    </row>
    <row r="430" spans="1:4" x14ac:dyDescent="0.25">
      <c r="A430">
        <v>453</v>
      </c>
      <c r="B430">
        <v>343</v>
      </c>
      <c r="C430" t="s">
        <v>5</v>
      </c>
      <c r="D430">
        <v>1</v>
      </c>
    </row>
    <row r="431" spans="1:4" x14ac:dyDescent="0.25">
      <c r="A431">
        <v>454</v>
      </c>
      <c r="B431">
        <v>373</v>
      </c>
      <c r="C431" t="s">
        <v>5</v>
      </c>
      <c r="D431">
        <v>0.99999992000000004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45AF-6937-4B45-BB48-61304EA28148}">
  <dimension ref="A1:C992"/>
  <sheetViews>
    <sheetView workbookViewId="0">
      <selection activeCell="J24" sqref="J24"/>
    </sheetView>
  </sheetViews>
  <sheetFormatPr defaultRowHeight="15" x14ac:dyDescent="0.25"/>
  <cols>
    <col min="1" max="1" width="11" bestFit="1" customWidth="1"/>
    <col min="2" max="2" width="6.42578125" bestFit="1" customWidth="1"/>
    <col min="3" max="3" width="11" bestFit="1" customWidth="1"/>
  </cols>
  <sheetData>
    <row r="1" spans="1:3" x14ac:dyDescent="0.25">
      <c r="A1" t="s">
        <v>0</v>
      </c>
      <c r="B1" t="s">
        <v>11</v>
      </c>
      <c r="C1" t="s">
        <v>17</v>
      </c>
    </row>
    <row r="2" spans="1:3" x14ac:dyDescent="0.25">
      <c r="A2">
        <v>410470002001</v>
      </c>
      <c r="B2">
        <v>61</v>
      </c>
      <c r="C2">
        <v>1.1469720000000001E-2</v>
      </c>
    </row>
    <row r="3" spans="1:3" x14ac:dyDescent="0.25">
      <c r="A3">
        <v>410470002001</v>
      </c>
      <c r="B3">
        <v>227</v>
      </c>
      <c r="C3">
        <v>3.4635100000000004E-3</v>
      </c>
    </row>
    <row r="4" spans="1:3" x14ac:dyDescent="0.25">
      <c r="A4">
        <v>410470002001</v>
      </c>
      <c r="B4">
        <v>232</v>
      </c>
      <c r="C4">
        <v>1.9694000000000001E-3</v>
      </c>
    </row>
    <row r="5" spans="1:3" x14ac:dyDescent="0.25">
      <c r="A5">
        <v>410470002001</v>
      </c>
      <c r="B5">
        <v>238</v>
      </c>
      <c r="C5">
        <v>0.97389972000000002</v>
      </c>
    </row>
    <row r="6" spans="1:3" x14ac:dyDescent="0.25">
      <c r="A6">
        <v>410470002001</v>
      </c>
      <c r="B6">
        <v>249</v>
      </c>
      <c r="C6">
        <v>9.1976499999999999E-3</v>
      </c>
    </row>
    <row r="7" spans="1:3" x14ac:dyDescent="0.25">
      <c r="A7">
        <v>410470002002</v>
      </c>
      <c r="B7">
        <v>61</v>
      </c>
      <c r="C7">
        <v>8.92773E-3</v>
      </c>
    </row>
    <row r="8" spans="1:3" x14ac:dyDescent="0.25">
      <c r="A8">
        <v>410470002002</v>
      </c>
      <c r="B8">
        <v>238</v>
      </c>
      <c r="C8">
        <v>1.2745999999999999E-3</v>
      </c>
    </row>
    <row r="9" spans="1:3" x14ac:dyDescent="0.25">
      <c r="A9">
        <v>410470002002</v>
      </c>
      <c r="B9">
        <v>249</v>
      </c>
      <c r="C9">
        <v>0.96031118000000004</v>
      </c>
    </row>
    <row r="10" spans="1:3" x14ac:dyDescent="0.25">
      <c r="A10">
        <v>410470002002</v>
      </c>
      <c r="B10">
        <v>260</v>
      </c>
      <c r="C10">
        <v>1.23598E-3</v>
      </c>
    </row>
    <row r="11" spans="1:3" x14ac:dyDescent="0.25">
      <c r="A11">
        <v>410470002002</v>
      </c>
      <c r="B11">
        <v>261</v>
      </c>
      <c r="C11">
        <v>3.4599600000000002E-3</v>
      </c>
    </row>
    <row r="12" spans="1:3" x14ac:dyDescent="0.25">
      <c r="A12">
        <v>410470002002</v>
      </c>
      <c r="B12">
        <v>279</v>
      </c>
      <c r="C12">
        <v>6.4899999999999997E-6</v>
      </c>
    </row>
    <row r="13" spans="1:3" x14ac:dyDescent="0.25">
      <c r="A13">
        <v>410470002002</v>
      </c>
      <c r="B13">
        <v>281</v>
      </c>
      <c r="C13">
        <v>1.2899910000000001E-2</v>
      </c>
    </row>
    <row r="14" spans="1:3" x14ac:dyDescent="0.25">
      <c r="A14">
        <v>410470002002</v>
      </c>
      <c r="B14">
        <v>309</v>
      </c>
      <c r="C14">
        <v>3.4645000000000005E-4</v>
      </c>
    </row>
    <row r="15" spans="1:3" x14ac:dyDescent="0.25">
      <c r="A15">
        <v>410470002002</v>
      </c>
      <c r="B15">
        <v>436</v>
      </c>
      <c r="C15">
        <v>1.15377E-2</v>
      </c>
    </row>
    <row r="16" spans="1:3" x14ac:dyDescent="0.25">
      <c r="A16">
        <v>410470002003</v>
      </c>
      <c r="B16">
        <v>232</v>
      </c>
      <c r="C16">
        <v>2.4725000000000002E-4</v>
      </c>
    </row>
    <row r="17" spans="1:3" x14ac:dyDescent="0.25">
      <c r="A17">
        <v>410470002003</v>
      </c>
      <c r="B17">
        <v>238</v>
      </c>
      <c r="C17">
        <v>4.7843299999999998E-3</v>
      </c>
    </row>
    <row r="18" spans="1:3" x14ac:dyDescent="0.25">
      <c r="A18">
        <v>410470002003</v>
      </c>
      <c r="B18">
        <v>242</v>
      </c>
      <c r="C18">
        <v>7.8401999999999996E-4</v>
      </c>
    </row>
    <row r="19" spans="1:3" x14ac:dyDescent="0.25">
      <c r="A19">
        <v>410470002003</v>
      </c>
      <c r="B19">
        <v>245</v>
      </c>
      <c r="C19">
        <v>7.7457999999999997E-4</v>
      </c>
    </row>
    <row r="20" spans="1:3" x14ac:dyDescent="0.25">
      <c r="A20">
        <v>410470002003</v>
      </c>
      <c r="B20">
        <v>246</v>
      </c>
      <c r="C20">
        <v>0.26974644999999997</v>
      </c>
    </row>
    <row r="21" spans="1:3" x14ac:dyDescent="0.25">
      <c r="A21">
        <v>410470002003</v>
      </c>
      <c r="B21">
        <v>249</v>
      </c>
      <c r="C21">
        <v>9.703380000000001E-3</v>
      </c>
    </row>
    <row r="22" spans="1:3" x14ac:dyDescent="0.25">
      <c r="A22">
        <v>410470002003</v>
      </c>
      <c r="B22">
        <v>254</v>
      </c>
      <c r="C22">
        <v>3.66753E-3</v>
      </c>
    </row>
    <row r="23" spans="1:3" x14ac:dyDescent="0.25">
      <c r="A23">
        <v>410470002003</v>
      </c>
      <c r="B23">
        <v>256</v>
      </c>
      <c r="C23">
        <v>2.0309799999999999E-3</v>
      </c>
    </row>
    <row r="24" spans="1:3" x14ac:dyDescent="0.25">
      <c r="A24">
        <v>410470002003</v>
      </c>
      <c r="B24">
        <v>259</v>
      </c>
      <c r="C24">
        <v>3.5971100000000002E-3</v>
      </c>
    </row>
    <row r="25" spans="1:3" x14ac:dyDescent="0.25">
      <c r="A25">
        <v>410470002003</v>
      </c>
      <c r="B25">
        <v>260</v>
      </c>
      <c r="C25">
        <v>0.27171198000000002</v>
      </c>
    </row>
    <row r="26" spans="1:3" x14ac:dyDescent="0.25">
      <c r="A26">
        <v>410470002003</v>
      </c>
      <c r="B26">
        <v>261</v>
      </c>
      <c r="C26">
        <v>0.34790391999999998</v>
      </c>
    </row>
    <row r="27" spans="1:3" x14ac:dyDescent="0.25">
      <c r="A27">
        <v>410470002003</v>
      </c>
      <c r="B27">
        <v>279</v>
      </c>
      <c r="C27">
        <v>2.424991E-2</v>
      </c>
    </row>
    <row r="28" spans="1:3" x14ac:dyDescent="0.25">
      <c r="A28">
        <v>410470002003</v>
      </c>
      <c r="B28">
        <v>280</v>
      </c>
      <c r="C28">
        <v>2.9430830000000002E-2</v>
      </c>
    </row>
    <row r="29" spans="1:3" x14ac:dyDescent="0.25">
      <c r="A29">
        <v>410470002003</v>
      </c>
      <c r="B29">
        <v>281</v>
      </c>
      <c r="C29">
        <v>2.8415099999999999E-2</v>
      </c>
    </row>
    <row r="30" spans="1:3" x14ac:dyDescent="0.25">
      <c r="A30">
        <v>410470002003</v>
      </c>
      <c r="B30">
        <v>309</v>
      </c>
      <c r="C30">
        <v>6.8605000000000001E-4</v>
      </c>
    </row>
    <row r="31" spans="1:3" x14ac:dyDescent="0.25">
      <c r="A31">
        <v>410470002003</v>
      </c>
      <c r="B31">
        <v>310</v>
      </c>
      <c r="C31">
        <v>2.2665699999999999E-3</v>
      </c>
    </row>
    <row r="32" spans="1:3" x14ac:dyDescent="0.25">
      <c r="A32">
        <v>410470003001</v>
      </c>
      <c r="B32">
        <v>220</v>
      </c>
      <c r="C32">
        <v>1.18805E-3</v>
      </c>
    </row>
    <row r="33" spans="1:3" x14ac:dyDescent="0.25">
      <c r="A33">
        <v>410470003001</v>
      </c>
      <c r="B33">
        <v>230</v>
      </c>
      <c r="C33">
        <v>1.4590999999999999E-4</v>
      </c>
    </row>
    <row r="34" spans="1:3" x14ac:dyDescent="0.25">
      <c r="A34">
        <v>410470003001</v>
      </c>
      <c r="B34">
        <v>231</v>
      </c>
      <c r="C34">
        <v>7.0903999999999997E-4</v>
      </c>
    </row>
    <row r="35" spans="1:3" x14ac:dyDescent="0.25">
      <c r="A35">
        <v>410470003001</v>
      </c>
      <c r="B35">
        <v>232</v>
      </c>
      <c r="C35">
        <v>8.2666100000000006E-3</v>
      </c>
    </row>
    <row r="36" spans="1:3" x14ac:dyDescent="0.25">
      <c r="A36">
        <v>410470003001</v>
      </c>
      <c r="B36">
        <v>233</v>
      </c>
      <c r="C36">
        <v>0.33535130000000002</v>
      </c>
    </row>
    <row r="37" spans="1:3" x14ac:dyDescent="0.25">
      <c r="A37">
        <v>410470003001</v>
      </c>
      <c r="B37">
        <v>234</v>
      </c>
      <c r="C37">
        <v>0.20415075000000002</v>
      </c>
    </row>
    <row r="38" spans="1:3" x14ac:dyDescent="0.25">
      <c r="A38">
        <v>410470003001</v>
      </c>
      <c r="B38">
        <v>235</v>
      </c>
      <c r="C38">
        <v>3.0424000000000002E-3</v>
      </c>
    </row>
    <row r="39" spans="1:3" x14ac:dyDescent="0.25">
      <c r="A39">
        <v>410470003001</v>
      </c>
      <c r="B39">
        <v>236</v>
      </c>
      <c r="C39">
        <v>1.355847E-2</v>
      </c>
    </row>
    <row r="40" spans="1:3" x14ac:dyDescent="0.25">
      <c r="A40">
        <v>410470003001</v>
      </c>
      <c r="B40">
        <v>242</v>
      </c>
      <c r="C40">
        <v>0.33201262999999998</v>
      </c>
    </row>
    <row r="41" spans="1:3" x14ac:dyDescent="0.25">
      <c r="A41">
        <v>410470003001</v>
      </c>
      <c r="B41">
        <v>243</v>
      </c>
      <c r="C41">
        <v>1.8153289999999999E-2</v>
      </c>
    </row>
    <row r="42" spans="1:3" x14ac:dyDescent="0.25">
      <c r="A42">
        <v>410470003001</v>
      </c>
      <c r="B42">
        <v>244</v>
      </c>
      <c r="C42">
        <v>7.9899999999999997E-6</v>
      </c>
    </row>
    <row r="43" spans="1:3" x14ac:dyDescent="0.25">
      <c r="A43">
        <v>410470003001</v>
      </c>
      <c r="B43">
        <v>439</v>
      </c>
      <c r="C43">
        <v>8.3413550000000003E-2</v>
      </c>
    </row>
    <row r="44" spans="1:3" x14ac:dyDescent="0.25">
      <c r="A44">
        <v>410470003002</v>
      </c>
      <c r="B44">
        <v>232</v>
      </c>
      <c r="C44">
        <v>0.28091229000000001</v>
      </c>
    </row>
    <row r="45" spans="1:3" x14ac:dyDescent="0.25">
      <c r="A45">
        <v>410470003002</v>
      </c>
      <c r="B45">
        <v>233</v>
      </c>
      <c r="C45">
        <v>9.0063000000000003E-4</v>
      </c>
    </row>
    <row r="46" spans="1:3" x14ac:dyDescent="0.25">
      <c r="A46">
        <v>410470003002</v>
      </c>
      <c r="B46">
        <v>242</v>
      </c>
      <c r="C46">
        <v>0.71176759000000001</v>
      </c>
    </row>
    <row r="47" spans="1:3" x14ac:dyDescent="0.25">
      <c r="A47">
        <v>410470003002</v>
      </c>
      <c r="B47">
        <v>244</v>
      </c>
      <c r="C47">
        <v>6.41948E-3</v>
      </c>
    </row>
    <row r="48" spans="1:3" x14ac:dyDescent="0.25">
      <c r="A48">
        <v>410470003003</v>
      </c>
      <c r="B48">
        <v>43</v>
      </c>
      <c r="C48">
        <v>2.3225799999999998E-2</v>
      </c>
    </row>
    <row r="49" spans="1:3" x14ac:dyDescent="0.25">
      <c r="A49">
        <v>410470003003</v>
      </c>
      <c r="B49">
        <v>61</v>
      </c>
      <c r="C49">
        <v>9.9423000000000003E-4</v>
      </c>
    </row>
    <row r="50" spans="1:3" x14ac:dyDescent="0.25">
      <c r="A50">
        <v>410470003003</v>
      </c>
      <c r="B50">
        <v>226</v>
      </c>
      <c r="C50">
        <v>5.3648999999999995E-2</v>
      </c>
    </row>
    <row r="51" spans="1:3" x14ac:dyDescent="0.25">
      <c r="A51">
        <v>410470003003</v>
      </c>
      <c r="B51">
        <v>227</v>
      </c>
      <c r="C51">
        <v>0.87399680000000002</v>
      </c>
    </row>
    <row r="52" spans="1:3" x14ac:dyDescent="0.25">
      <c r="A52">
        <v>410470003003</v>
      </c>
      <c r="B52">
        <v>229</v>
      </c>
      <c r="C52">
        <v>6.2827999999999994E-4</v>
      </c>
    </row>
    <row r="53" spans="1:3" x14ac:dyDescent="0.25">
      <c r="A53">
        <v>410470003003</v>
      </c>
      <c r="B53">
        <v>232</v>
      </c>
      <c r="C53">
        <v>9.9970000000000007E-5</v>
      </c>
    </row>
    <row r="54" spans="1:3" x14ac:dyDescent="0.25">
      <c r="A54">
        <v>410470003003</v>
      </c>
      <c r="B54">
        <v>238</v>
      </c>
      <c r="C54">
        <v>4.7467189999999999E-2</v>
      </c>
    </row>
    <row r="55" spans="1:3" x14ac:dyDescent="0.25">
      <c r="A55">
        <v>410470003004</v>
      </c>
      <c r="B55">
        <v>227</v>
      </c>
      <c r="C55">
        <v>6.3420200000000003E-3</v>
      </c>
    </row>
    <row r="56" spans="1:3" x14ac:dyDescent="0.25">
      <c r="A56">
        <v>410470003004</v>
      </c>
      <c r="B56">
        <v>229</v>
      </c>
      <c r="C56">
        <v>1.0709999999999999E-5</v>
      </c>
    </row>
    <row r="57" spans="1:3" x14ac:dyDescent="0.25">
      <c r="A57">
        <v>410470003004</v>
      </c>
      <c r="B57">
        <v>230</v>
      </c>
      <c r="C57">
        <v>4.7562E-4</v>
      </c>
    </row>
    <row r="58" spans="1:3" x14ac:dyDescent="0.25">
      <c r="A58">
        <v>410470003004</v>
      </c>
      <c r="B58">
        <v>231</v>
      </c>
      <c r="C58">
        <v>0.24610738000000001</v>
      </c>
    </row>
    <row r="59" spans="1:3" x14ac:dyDescent="0.25">
      <c r="A59">
        <v>410470003004</v>
      </c>
      <c r="B59">
        <v>232</v>
      </c>
      <c r="C59">
        <v>0.74667141000000004</v>
      </c>
    </row>
    <row r="60" spans="1:3" x14ac:dyDescent="0.25">
      <c r="A60">
        <v>410470003004</v>
      </c>
      <c r="B60">
        <v>233</v>
      </c>
      <c r="C60">
        <v>1.9522000000000002E-4</v>
      </c>
    </row>
    <row r="61" spans="1:3" x14ac:dyDescent="0.25">
      <c r="A61">
        <v>410470003004</v>
      </c>
      <c r="B61">
        <v>234</v>
      </c>
      <c r="C61">
        <v>1.9766E-4</v>
      </c>
    </row>
    <row r="62" spans="1:3" x14ac:dyDescent="0.25">
      <c r="A62">
        <v>410470004001</v>
      </c>
      <c r="B62">
        <v>43</v>
      </c>
      <c r="C62">
        <v>7.7712000000000007E-4</v>
      </c>
    </row>
    <row r="63" spans="1:3" x14ac:dyDescent="0.25">
      <c r="A63">
        <v>410470004001</v>
      </c>
      <c r="B63">
        <v>118</v>
      </c>
      <c r="C63">
        <v>3.9759999999999996E-4</v>
      </c>
    </row>
    <row r="64" spans="1:3" x14ac:dyDescent="0.25">
      <c r="A64">
        <v>410470004001</v>
      </c>
      <c r="B64">
        <v>120</v>
      </c>
      <c r="C64">
        <v>1.8955390000000003E-2</v>
      </c>
    </row>
    <row r="65" spans="1:3" x14ac:dyDescent="0.25">
      <c r="A65">
        <v>410470004001</v>
      </c>
      <c r="B65">
        <v>124</v>
      </c>
      <c r="C65">
        <v>0.34199793999999994</v>
      </c>
    </row>
    <row r="66" spans="1:3" x14ac:dyDescent="0.25">
      <c r="A66">
        <v>410470004001</v>
      </c>
      <c r="B66">
        <v>125</v>
      </c>
      <c r="C66">
        <v>0.13770373999999999</v>
      </c>
    </row>
    <row r="67" spans="1:3" x14ac:dyDescent="0.25">
      <c r="A67">
        <v>410470004001</v>
      </c>
      <c r="B67">
        <v>126</v>
      </c>
      <c r="C67">
        <v>6.6401999999999997E-4</v>
      </c>
    </row>
    <row r="68" spans="1:3" x14ac:dyDescent="0.25">
      <c r="A68">
        <v>410470004001</v>
      </c>
      <c r="B68">
        <v>225</v>
      </c>
      <c r="C68">
        <v>0.10625802999999999</v>
      </c>
    </row>
    <row r="69" spans="1:3" x14ac:dyDescent="0.25">
      <c r="A69">
        <v>410470004001</v>
      </c>
      <c r="B69">
        <v>226</v>
      </c>
      <c r="C69">
        <v>0.26655007000000003</v>
      </c>
    </row>
    <row r="70" spans="1:3" x14ac:dyDescent="0.25">
      <c r="A70">
        <v>410470004001</v>
      </c>
      <c r="B70">
        <v>227</v>
      </c>
      <c r="C70">
        <v>1.0767E-4</v>
      </c>
    </row>
    <row r="71" spans="1:3" x14ac:dyDescent="0.25">
      <c r="A71">
        <v>410470004001</v>
      </c>
      <c r="B71">
        <v>229</v>
      </c>
      <c r="C71">
        <v>0.12658873000000001</v>
      </c>
    </row>
    <row r="72" spans="1:3" x14ac:dyDescent="0.25">
      <c r="A72">
        <v>410470004002</v>
      </c>
      <c r="B72">
        <v>125</v>
      </c>
      <c r="C72">
        <v>8.6236800000000002E-2</v>
      </c>
    </row>
    <row r="73" spans="1:3" x14ac:dyDescent="0.25">
      <c r="A73">
        <v>410470004002</v>
      </c>
      <c r="B73">
        <v>126</v>
      </c>
      <c r="C73">
        <v>0.12391627</v>
      </c>
    </row>
    <row r="74" spans="1:3" x14ac:dyDescent="0.25">
      <c r="A74">
        <v>410470004002</v>
      </c>
      <c r="B74">
        <v>128</v>
      </c>
      <c r="C74">
        <v>3.6036900000000001E-3</v>
      </c>
    </row>
    <row r="75" spans="1:3" x14ac:dyDescent="0.25">
      <c r="A75">
        <v>410470004002</v>
      </c>
      <c r="B75">
        <v>221</v>
      </c>
      <c r="C75">
        <v>3.2893699999999998E-3</v>
      </c>
    </row>
    <row r="76" spans="1:3" x14ac:dyDescent="0.25">
      <c r="A76">
        <v>410470004002</v>
      </c>
      <c r="B76">
        <v>222</v>
      </c>
      <c r="C76">
        <v>8.5179189999999988E-2</v>
      </c>
    </row>
    <row r="77" spans="1:3" x14ac:dyDescent="0.25">
      <c r="A77">
        <v>410470004002</v>
      </c>
      <c r="B77">
        <v>223</v>
      </c>
      <c r="C77">
        <v>0.28900037000000001</v>
      </c>
    </row>
    <row r="78" spans="1:3" x14ac:dyDescent="0.25">
      <c r="A78">
        <v>410470004002</v>
      </c>
      <c r="B78">
        <v>224</v>
      </c>
      <c r="C78">
        <v>0.22496334999999998</v>
      </c>
    </row>
    <row r="79" spans="1:3" x14ac:dyDescent="0.25">
      <c r="A79">
        <v>410470004002</v>
      </c>
      <c r="B79">
        <v>225</v>
      </c>
      <c r="C79">
        <v>3.5256000000000003E-4</v>
      </c>
    </row>
    <row r="80" spans="1:3" x14ac:dyDescent="0.25">
      <c r="A80">
        <v>410470004002</v>
      </c>
      <c r="B80">
        <v>229</v>
      </c>
      <c r="C80">
        <v>1.11465E-3</v>
      </c>
    </row>
    <row r="81" spans="1:3" x14ac:dyDescent="0.25">
      <c r="A81">
        <v>410470004002</v>
      </c>
      <c r="B81">
        <v>230</v>
      </c>
      <c r="C81">
        <v>0.18072640000000001</v>
      </c>
    </row>
    <row r="82" spans="1:3" x14ac:dyDescent="0.25">
      <c r="A82">
        <v>410470004002</v>
      </c>
      <c r="B82">
        <v>231</v>
      </c>
      <c r="C82">
        <v>1.1269999999999999E-5</v>
      </c>
    </row>
    <row r="83" spans="1:3" x14ac:dyDescent="0.25">
      <c r="A83">
        <v>410470004002</v>
      </c>
      <c r="B83">
        <v>235</v>
      </c>
      <c r="C83">
        <v>1.60604E-3</v>
      </c>
    </row>
    <row r="84" spans="1:3" x14ac:dyDescent="0.25">
      <c r="A84">
        <v>410470004003</v>
      </c>
      <c r="B84">
        <v>144</v>
      </c>
      <c r="C84">
        <v>1.84E-6</v>
      </c>
    </row>
    <row r="85" spans="1:3" x14ac:dyDescent="0.25">
      <c r="A85">
        <v>410470004003</v>
      </c>
      <c r="B85">
        <v>211</v>
      </c>
      <c r="C85">
        <v>0.19508496</v>
      </c>
    </row>
    <row r="86" spans="1:3" x14ac:dyDescent="0.25">
      <c r="A86">
        <v>410470004003</v>
      </c>
      <c r="B86">
        <v>212</v>
      </c>
      <c r="C86">
        <v>0.15268938000000001</v>
      </c>
    </row>
    <row r="87" spans="1:3" x14ac:dyDescent="0.25">
      <c r="A87">
        <v>410470004003</v>
      </c>
      <c r="B87">
        <v>213</v>
      </c>
      <c r="C87">
        <v>4.1585499999999996E-3</v>
      </c>
    </row>
    <row r="88" spans="1:3" x14ac:dyDescent="0.25">
      <c r="A88">
        <v>410470004003</v>
      </c>
      <c r="B88">
        <v>220</v>
      </c>
      <c r="C88">
        <v>0.17709703999999998</v>
      </c>
    </row>
    <row r="89" spans="1:3" x14ac:dyDescent="0.25">
      <c r="A89">
        <v>410470004003</v>
      </c>
      <c r="B89">
        <v>221</v>
      </c>
      <c r="C89">
        <v>0.31727040000000001</v>
      </c>
    </row>
    <row r="90" spans="1:3" x14ac:dyDescent="0.25">
      <c r="A90">
        <v>410470004003</v>
      </c>
      <c r="B90">
        <v>223</v>
      </c>
      <c r="C90">
        <v>1.0869E-4</v>
      </c>
    </row>
    <row r="91" spans="1:3" x14ac:dyDescent="0.25">
      <c r="A91">
        <v>410470004003</v>
      </c>
      <c r="B91">
        <v>224</v>
      </c>
      <c r="C91">
        <v>1.5869000000000001E-4</v>
      </c>
    </row>
    <row r="92" spans="1:3" x14ac:dyDescent="0.25">
      <c r="A92">
        <v>410470004003</v>
      </c>
      <c r="B92">
        <v>230</v>
      </c>
      <c r="C92">
        <v>2.749799E-2</v>
      </c>
    </row>
    <row r="93" spans="1:3" x14ac:dyDescent="0.25">
      <c r="A93">
        <v>410470004003</v>
      </c>
      <c r="B93">
        <v>231</v>
      </c>
      <c r="C93">
        <v>4.7300000000000005E-6</v>
      </c>
    </row>
    <row r="94" spans="1:3" x14ac:dyDescent="0.25">
      <c r="A94">
        <v>410470004003</v>
      </c>
      <c r="B94">
        <v>234</v>
      </c>
      <c r="C94">
        <v>1.2042E-4</v>
      </c>
    </row>
    <row r="95" spans="1:3" x14ac:dyDescent="0.25">
      <c r="A95">
        <v>410470004003</v>
      </c>
      <c r="B95">
        <v>235</v>
      </c>
      <c r="C95">
        <v>0.12434061</v>
      </c>
    </row>
    <row r="96" spans="1:3" x14ac:dyDescent="0.25">
      <c r="A96">
        <v>410470004003</v>
      </c>
      <c r="B96">
        <v>439</v>
      </c>
      <c r="C96">
        <v>1.4667E-3</v>
      </c>
    </row>
    <row r="97" spans="1:3" x14ac:dyDescent="0.25">
      <c r="A97">
        <v>410470005011</v>
      </c>
      <c r="B97">
        <v>214</v>
      </c>
      <c r="C97">
        <v>5.1245000000000001E-4</v>
      </c>
    </row>
    <row r="98" spans="1:3" x14ac:dyDescent="0.25">
      <c r="A98">
        <v>410470005011</v>
      </c>
      <c r="B98">
        <v>236</v>
      </c>
      <c r="C98">
        <v>1.7809200000000001E-3</v>
      </c>
    </row>
    <row r="99" spans="1:3" x14ac:dyDescent="0.25">
      <c r="A99">
        <v>410470005011</v>
      </c>
      <c r="B99">
        <v>237</v>
      </c>
      <c r="C99">
        <v>5.4932000000000006E-4</v>
      </c>
    </row>
    <row r="100" spans="1:3" x14ac:dyDescent="0.25">
      <c r="A100">
        <v>410470005011</v>
      </c>
      <c r="B100">
        <v>243</v>
      </c>
      <c r="C100">
        <v>0.19726173</v>
      </c>
    </row>
    <row r="101" spans="1:3" x14ac:dyDescent="0.25">
      <c r="A101">
        <v>410470005011</v>
      </c>
      <c r="B101">
        <v>244</v>
      </c>
      <c r="C101">
        <v>7.4434000000000002E-4</v>
      </c>
    </row>
    <row r="102" spans="1:3" x14ac:dyDescent="0.25">
      <c r="A102">
        <v>410470005011</v>
      </c>
      <c r="B102">
        <v>282</v>
      </c>
      <c r="C102">
        <v>0.45582424000000005</v>
      </c>
    </row>
    <row r="103" spans="1:3" x14ac:dyDescent="0.25">
      <c r="A103">
        <v>410470005011</v>
      </c>
      <c r="B103">
        <v>283</v>
      </c>
      <c r="C103">
        <v>0.34268839000000001</v>
      </c>
    </row>
    <row r="104" spans="1:3" x14ac:dyDescent="0.25">
      <c r="A104">
        <v>410470005011</v>
      </c>
      <c r="B104">
        <v>286</v>
      </c>
      <c r="C104">
        <v>6.3862000000000001E-4</v>
      </c>
    </row>
    <row r="105" spans="1:3" x14ac:dyDescent="0.25">
      <c r="A105">
        <v>410470005012</v>
      </c>
      <c r="B105">
        <v>283</v>
      </c>
      <c r="C105">
        <v>1.2192929999999999E-2</v>
      </c>
    </row>
    <row r="106" spans="1:3" x14ac:dyDescent="0.25">
      <c r="A106">
        <v>410470005012</v>
      </c>
      <c r="B106">
        <v>284</v>
      </c>
      <c r="C106">
        <v>0.98522295000000004</v>
      </c>
    </row>
    <row r="107" spans="1:3" x14ac:dyDescent="0.25">
      <c r="A107">
        <v>410470005012</v>
      </c>
      <c r="B107">
        <v>286</v>
      </c>
      <c r="C107">
        <v>2.5840800000000003E-3</v>
      </c>
    </row>
    <row r="108" spans="1:3" x14ac:dyDescent="0.25">
      <c r="A108">
        <v>410470005021</v>
      </c>
      <c r="B108">
        <v>214</v>
      </c>
      <c r="C108">
        <v>1.4578E-4</v>
      </c>
    </row>
    <row r="109" spans="1:3" x14ac:dyDescent="0.25">
      <c r="A109">
        <v>410470005021</v>
      </c>
      <c r="B109">
        <v>220</v>
      </c>
      <c r="C109">
        <v>1.489325E-2</v>
      </c>
    </row>
    <row r="110" spans="1:3" x14ac:dyDescent="0.25">
      <c r="A110">
        <v>410470005021</v>
      </c>
      <c r="B110">
        <v>236</v>
      </c>
      <c r="C110">
        <v>0.49108649999999998</v>
      </c>
    </row>
    <row r="111" spans="1:3" x14ac:dyDescent="0.25">
      <c r="A111">
        <v>410470005021</v>
      </c>
      <c r="B111">
        <v>237</v>
      </c>
      <c r="C111">
        <v>0.49120148000000002</v>
      </c>
    </row>
    <row r="112" spans="1:3" x14ac:dyDescent="0.25">
      <c r="A112">
        <v>410470005021</v>
      </c>
      <c r="B112">
        <v>243</v>
      </c>
      <c r="C112">
        <v>1.63411E-3</v>
      </c>
    </row>
    <row r="113" spans="1:3" x14ac:dyDescent="0.25">
      <c r="A113">
        <v>410470005021</v>
      </c>
      <c r="B113">
        <v>282</v>
      </c>
      <c r="C113">
        <v>1.0388999999999999E-3</v>
      </c>
    </row>
    <row r="114" spans="1:3" x14ac:dyDescent="0.25">
      <c r="A114">
        <v>410470005022</v>
      </c>
      <c r="B114">
        <v>214</v>
      </c>
      <c r="C114">
        <v>0.86099853999999998</v>
      </c>
    </row>
    <row r="115" spans="1:3" x14ac:dyDescent="0.25">
      <c r="A115">
        <v>410470005022</v>
      </c>
      <c r="B115">
        <v>220</v>
      </c>
      <c r="C115">
        <v>4.7393800000000005E-3</v>
      </c>
    </row>
    <row r="116" spans="1:3" x14ac:dyDescent="0.25">
      <c r="A116">
        <v>410470005022</v>
      </c>
      <c r="B116">
        <v>237</v>
      </c>
      <c r="C116">
        <v>0.13282706999999999</v>
      </c>
    </row>
    <row r="117" spans="1:3" x14ac:dyDescent="0.25">
      <c r="A117">
        <v>410470005022</v>
      </c>
      <c r="B117">
        <v>283</v>
      </c>
      <c r="C117">
        <v>3.3016999999999996E-4</v>
      </c>
    </row>
    <row r="118" spans="1:3" x14ac:dyDescent="0.25">
      <c r="A118">
        <v>410470005022</v>
      </c>
      <c r="B118">
        <v>284</v>
      </c>
      <c r="C118">
        <v>1.1048500000000001E-3</v>
      </c>
    </row>
    <row r="119" spans="1:3" x14ac:dyDescent="0.25">
      <c r="A119">
        <v>410470005023</v>
      </c>
      <c r="B119">
        <v>212</v>
      </c>
      <c r="C119">
        <v>4.6473700000000005E-3</v>
      </c>
    </row>
    <row r="120" spans="1:3" x14ac:dyDescent="0.25">
      <c r="A120">
        <v>410470005023</v>
      </c>
      <c r="B120">
        <v>213</v>
      </c>
      <c r="C120">
        <v>0.51339234</v>
      </c>
    </row>
    <row r="121" spans="1:3" x14ac:dyDescent="0.25">
      <c r="A121">
        <v>410470005023</v>
      </c>
      <c r="B121">
        <v>214</v>
      </c>
      <c r="C121">
        <v>0.46817272000000004</v>
      </c>
    </row>
    <row r="122" spans="1:3" x14ac:dyDescent="0.25">
      <c r="A122">
        <v>410470005023</v>
      </c>
      <c r="B122">
        <v>220</v>
      </c>
      <c r="C122">
        <v>1.197486E-2</v>
      </c>
    </row>
    <row r="123" spans="1:3" x14ac:dyDescent="0.25">
      <c r="A123">
        <v>410470005023</v>
      </c>
      <c r="B123">
        <v>284</v>
      </c>
      <c r="C123">
        <v>1.8127199999999999E-3</v>
      </c>
    </row>
    <row r="124" spans="1:3" x14ac:dyDescent="0.25">
      <c r="A124">
        <v>410470006001</v>
      </c>
      <c r="B124">
        <v>242</v>
      </c>
      <c r="C124">
        <v>5.7658999999999998E-4</v>
      </c>
    </row>
    <row r="125" spans="1:3" x14ac:dyDescent="0.25">
      <c r="A125">
        <v>410470006001</v>
      </c>
      <c r="B125">
        <v>243</v>
      </c>
      <c r="C125">
        <v>2.2277400000000002E-3</v>
      </c>
    </row>
    <row r="126" spans="1:3" x14ac:dyDescent="0.25">
      <c r="A126">
        <v>410470006001</v>
      </c>
      <c r="B126">
        <v>244</v>
      </c>
      <c r="C126">
        <v>0.39046754</v>
      </c>
    </row>
    <row r="127" spans="1:3" x14ac:dyDescent="0.25">
      <c r="A127">
        <v>410470006001</v>
      </c>
      <c r="B127">
        <v>282</v>
      </c>
      <c r="C127">
        <v>0.10653848</v>
      </c>
    </row>
    <row r="128" spans="1:3" x14ac:dyDescent="0.25">
      <c r="A128">
        <v>410470006001</v>
      </c>
      <c r="B128">
        <v>285</v>
      </c>
      <c r="C128">
        <v>0.36565465000000003</v>
      </c>
    </row>
    <row r="129" spans="1:3" x14ac:dyDescent="0.25">
      <c r="A129">
        <v>410470006001</v>
      </c>
      <c r="B129">
        <v>286</v>
      </c>
      <c r="C129">
        <v>0.13453503</v>
      </c>
    </row>
    <row r="130" spans="1:3" x14ac:dyDescent="0.25">
      <c r="A130">
        <v>410470006002</v>
      </c>
      <c r="B130">
        <v>242</v>
      </c>
      <c r="C130">
        <v>1.543E-5</v>
      </c>
    </row>
    <row r="131" spans="1:3" x14ac:dyDescent="0.25">
      <c r="A131">
        <v>410470006002</v>
      </c>
      <c r="B131">
        <v>244</v>
      </c>
      <c r="C131">
        <v>2.3113700000000001E-3</v>
      </c>
    </row>
    <row r="132" spans="1:3" x14ac:dyDescent="0.25">
      <c r="A132">
        <v>410470006002</v>
      </c>
      <c r="B132">
        <v>245</v>
      </c>
      <c r="C132">
        <v>0.39359632</v>
      </c>
    </row>
    <row r="133" spans="1:3" x14ac:dyDescent="0.25">
      <c r="A133">
        <v>410470006002</v>
      </c>
      <c r="B133">
        <v>246</v>
      </c>
      <c r="C133">
        <v>1.70452E-3</v>
      </c>
    </row>
    <row r="134" spans="1:3" x14ac:dyDescent="0.25">
      <c r="A134">
        <v>410470006002</v>
      </c>
      <c r="B134">
        <v>254</v>
      </c>
      <c r="C134">
        <v>5.3990000000000003E-5</v>
      </c>
    </row>
    <row r="135" spans="1:3" x14ac:dyDescent="0.25">
      <c r="A135">
        <v>410470006002</v>
      </c>
      <c r="B135">
        <v>285</v>
      </c>
      <c r="C135">
        <v>3.81927E-3</v>
      </c>
    </row>
    <row r="136" spans="1:3" x14ac:dyDescent="0.25">
      <c r="A136">
        <v>410470006002</v>
      </c>
      <c r="B136">
        <v>289</v>
      </c>
      <c r="C136">
        <v>0.59832764999999999</v>
      </c>
    </row>
    <row r="137" spans="1:3" x14ac:dyDescent="0.25">
      <c r="A137">
        <v>410470006002</v>
      </c>
      <c r="B137">
        <v>290</v>
      </c>
      <c r="C137">
        <v>1.7144E-4</v>
      </c>
    </row>
    <row r="138" spans="1:3" x14ac:dyDescent="0.25">
      <c r="A138">
        <v>410470006003</v>
      </c>
      <c r="B138">
        <v>245</v>
      </c>
      <c r="C138">
        <v>3.4211699999999999E-3</v>
      </c>
    </row>
    <row r="139" spans="1:3" x14ac:dyDescent="0.25">
      <c r="A139">
        <v>410470006003</v>
      </c>
      <c r="B139">
        <v>254</v>
      </c>
      <c r="C139">
        <v>0.98697497000000001</v>
      </c>
    </row>
    <row r="140" spans="1:3" x14ac:dyDescent="0.25">
      <c r="A140">
        <v>410470006003</v>
      </c>
      <c r="B140">
        <v>256</v>
      </c>
      <c r="C140">
        <v>2.56683E-3</v>
      </c>
    </row>
    <row r="141" spans="1:3" x14ac:dyDescent="0.25">
      <c r="A141">
        <v>410470006003</v>
      </c>
      <c r="B141">
        <v>289</v>
      </c>
      <c r="C141">
        <v>7.0270000000000003E-3</v>
      </c>
    </row>
    <row r="142" spans="1:3" x14ac:dyDescent="0.25">
      <c r="A142">
        <v>410470006003</v>
      </c>
      <c r="B142">
        <v>298</v>
      </c>
      <c r="C142">
        <v>8.0599999999999991E-6</v>
      </c>
    </row>
    <row r="143" spans="1:3" x14ac:dyDescent="0.25">
      <c r="A143">
        <v>410470006003</v>
      </c>
      <c r="B143">
        <v>299</v>
      </c>
      <c r="C143">
        <v>1.9699999999999998E-6</v>
      </c>
    </row>
    <row r="144" spans="1:3" x14ac:dyDescent="0.25">
      <c r="A144">
        <v>410470007021</v>
      </c>
      <c r="B144">
        <v>254</v>
      </c>
      <c r="C144">
        <v>3.1968679999999999E-2</v>
      </c>
    </row>
    <row r="145" spans="1:3" x14ac:dyDescent="0.25">
      <c r="A145">
        <v>410470007021</v>
      </c>
      <c r="B145">
        <v>286</v>
      </c>
      <c r="C145">
        <v>0.10273375</v>
      </c>
    </row>
    <row r="146" spans="1:3" x14ac:dyDescent="0.25">
      <c r="A146">
        <v>410470007021</v>
      </c>
      <c r="B146">
        <v>289</v>
      </c>
      <c r="C146">
        <v>2.9018E-3</v>
      </c>
    </row>
    <row r="147" spans="1:3" x14ac:dyDescent="0.25">
      <c r="A147">
        <v>410470007021</v>
      </c>
      <c r="B147">
        <v>290</v>
      </c>
      <c r="C147">
        <v>0.16416619000000002</v>
      </c>
    </row>
    <row r="148" spans="1:3" x14ac:dyDescent="0.25">
      <c r="A148">
        <v>410470007021</v>
      </c>
      <c r="B148">
        <v>294</v>
      </c>
      <c r="C148">
        <v>0.19487755000000001</v>
      </c>
    </row>
    <row r="149" spans="1:3" x14ac:dyDescent="0.25">
      <c r="A149">
        <v>410470007021</v>
      </c>
      <c r="B149">
        <v>295</v>
      </c>
      <c r="C149">
        <v>0.25320410999999998</v>
      </c>
    </row>
    <row r="150" spans="1:3" x14ac:dyDescent="0.25">
      <c r="A150">
        <v>410470007021</v>
      </c>
      <c r="B150">
        <v>296</v>
      </c>
      <c r="C150">
        <v>3.7139229999999995E-2</v>
      </c>
    </row>
    <row r="151" spans="1:3" x14ac:dyDescent="0.25">
      <c r="A151">
        <v>410470007021</v>
      </c>
      <c r="B151">
        <v>299</v>
      </c>
      <c r="C151">
        <v>1.2031999999999999E-4</v>
      </c>
    </row>
    <row r="152" spans="1:3" x14ac:dyDescent="0.25">
      <c r="A152">
        <v>410470007021</v>
      </c>
      <c r="B152">
        <v>300</v>
      </c>
      <c r="C152">
        <v>0.21288834000000001</v>
      </c>
    </row>
    <row r="153" spans="1:3" x14ac:dyDescent="0.25">
      <c r="A153">
        <v>410470007022</v>
      </c>
      <c r="B153">
        <v>254</v>
      </c>
      <c r="C153">
        <v>8.5540000000000011E-5</v>
      </c>
    </row>
    <row r="154" spans="1:3" x14ac:dyDescent="0.25">
      <c r="A154">
        <v>410470007022</v>
      </c>
      <c r="B154">
        <v>294</v>
      </c>
      <c r="C154">
        <v>1.4536E-4</v>
      </c>
    </row>
    <row r="155" spans="1:3" x14ac:dyDescent="0.25">
      <c r="A155">
        <v>410470007022</v>
      </c>
      <c r="B155">
        <v>295</v>
      </c>
      <c r="C155">
        <v>2.4594999999999999E-4</v>
      </c>
    </row>
    <row r="156" spans="1:3" x14ac:dyDescent="0.25">
      <c r="A156">
        <v>410470007022</v>
      </c>
      <c r="B156">
        <v>298</v>
      </c>
      <c r="C156">
        <v>5.3689720000000003E-2</v>
      </c>
    </row>
    <row r="157" spans="1:3" x14ac:dyDescent="0.25">
      <c r="A157">
        <v>410470007022</v>
      </c>
      <c r="B157">
        <v>299</v>
      </c>
      <c r="C157">
        <v>0.86464693999999997</v>
      </c>
    </row>
    <row r="158" spans="1:3" x14ac:dyDescent="0.25">
      <c r="A158">
        <v>410470007022</v>
      </c>
      <c r="B158">
        <v>300</v>
      </c>
      <c r="C158">
        <v>7.9360769999999997E-2</v>
      </c>
    </row>
    <row r="159" spans="1:3" x14ac:dyDescent="0.25">
      <c r="A159">
        <v>410470007022</v>
      </c>
      <c r="B159">
        <v>302</v>
      </c>
      <c r="C159">
        <v>6.64E-6</v>
      </c>
    </row>
    <row r="160" spans="1:3" x14ac:dyDescent="0.25">
      <c r="A160">
        <v>410470007022</v>
      </c>
      <c r="B160">
        <v>304</v>
      </c>
      <c r="C160">
        <v>1.8190600000000002E-3</v>
      </c>
    </row>
    <row r="161" spans="1:3" x14ac:dyDescent="0.25">
      <c r="A161">
        <v>410470007031</v>
      </c>
      <c r="B161">
        <v>285</v>
      </c>
      <c r="C161">
        <v>1.1156E-4</v>
      </c>
    </row>
    <row r="162" spans="1:3" x14ac:dyDescent="0.25">
      <c r="A162">
        <v>410470007031</v>
      </c>
      <c r="B162">
        <v>286</v>
      </c>
      <c r="C162">
        <v>0.86296023000000011</v>
      </c>
    </row>
    <row r="163" spans="1:3" x14ac:dyDescent="0.25">
      <c r="A163">
        <v>410470007031</v>
      </c>
      <c r="B163">
        <v>289</v>
      </c>
      <c r="C163">
        <v>2.0322599999999997E-3</v>
      </c>
    </row>
    <row r="164" spans="1:3" x14ac:dyDescent="0.25">
      <c r="A164">
        <v>410470007031</v>
      </c>
      <c r="B164">
        <v>290</v>
      </c>
      <c r="C164">
        <v>0.13489596000000001</v>
      </c>
    </row>
    <row r="165" spans="1:3" x14ac:dyDescent="0.25">
      <c r="A165">
        <v>410470009001</v>
      </c>
      <c r="B165">
        <v>256</v>
      </c>
      <c r="C165">
        <v>1.30584E-3</v>
      </c>
    </row>
    <row r="166" spans="1:3" x14ac:dyDescent="0.25">
      <c r="A166">
        <v>410470009001</v>
      </c>
      <c r="B166">
        <v>298</v>
      </c>
      <c r="C166">
        <v>6.9345199999999996E-3</v>
      </c>
    </row>
    <row r="167" spans="1:3" x14ac:dyDescent="0.25">
      <c r="A167">
        <v>410470009001</v>
      </c>
      <c r="B167">
        <v>301</v>
      </c>
      <c r="C167">
        <v>0.42175852999999996</v>
      </c>
    </row>
    <row r="168" spans="1:3" x14ac:dyDescent="0.25">
      <c r="A168">
        <v>410470009001</v>
      </c>
      <c r="B168">
        <v>302</v>
      </c>
      <c r="C168">
        <v>0.42282764</v>
      </c>
    </row>
    <row r="169" spans="1:3" x14ac:dyDescent="0.25">
      <c r="A169">
        <v>410470009001</v>
      </c>
      <c r="B169">
        <v>303</v>
      </c>
      <c r="C169">
        <v>0.14717347</v>
      </c>
    </row>
    <row r="170" spans="1:3" x14ac:dyDescent="0.25">
      <c r="A170">
        <v>410470009002</v>
      </c>
      <c r="B170">
        <v>258</v>
      </c>
      <c r="C170">
        <v>2.561894E-2</v>
      </c>
    </row>
    <row r="171" spans="1:3" x14ac:dyDescent="0.25">
      <c r="A171">
        <v>410470009002</v>
      </c>
      <c r="B171">
        <v>301</v>
      </c>
      <c r="C171">
        <v>0.32793615000000004</v>
      </c>
    </row>
    <row r="172" spans="1:3" x14ac:dyDescent="0.25">
      <c r="A172">
        <v>410470009002</v>
      </c>
      <c r="B172">
        <v>303</v>
      </c>
      <c r="C172">
        <v>0.64143125999999995</v>
      </c>
    </row>
    <row r="173" spans="1:3" x14ac:dyDescent="0.25">
      <c r="A173">
        <v>410470009002</v>
      </c>
      <c r="B173">
        <v>304</v>
      </c>
      <c r="C173">
        <v>1.0567999999999999E-4</v>
      </c>
    </row>
    <row r="174" spans="1:3" x14ac:dyDescent="0.25">
      <c r="A174">
        <v>410470009002</v>
      </c>
      <c r="B174">
        <v>313</v>
      </c>
      <c r="C174">
        <v>4.9079700000000002E-3</v>
      </c>
    </row>
    <row r="175" spans="1:3" x14ac:dyDescent="0.25">
      <c r="A175">
        <v>410470009003</v>
      </c>
      <c r="B175">
        <v>257</v>
      </c>
      <c r="C175">
        <v>0.22641817</v>
      </c>
    </row>
    <row r="176" spans="1:3" x14ac:dyDescent="0.25">
      <c r="A176">
        <v>410470009003</v>
      </c>
      <c r="B176">
        <v>258</v>
      </c>
      <c r="C176">
        <v>0.23319593000000002</v>
      </c>
    </row>
    <row r="177" spans="1:3" x14ac:dyDescent="0.25">
      <c r="A177">
        <v>410470009003</v>
      </c>
      <c r="B177">
        <v>259</v>
      </c>
      <c r="C177">
        <v>0.27656466000000002</v>
      </c>
    </row>
    <row r="178" spans="1:3" x14ac:dyDescent="0.25">
      <c r="A178">
        <v>410470009003</v>
      </c>
      <c r="B178">
        <v>301</v>
      </c>
      <c r="C178">
        <v>0.26252985000000001</v>
      </c>
    </row>
    <row r="179" spans="1:3" x14ac:dyDescent="0.25">
      <c r="A179">
        <v>410470009003</v>
      </c>
      <c r="B179">
        <v>313</v>
      </c>
      <c r="C179">
        <v>1.29137E-3</v>
      </c>
    </row>
    <row r="180" spans="1:3" x14ac:dyDescent="0.25">
      <c r="A180">
        <v>410470009004</v>
      </c>
      <c r="B180">
        <v>256</v>
      </c>
      <c r="C180">
        <v>7.0628899999999996E-3</v>
      </c>
    </row>
    <row r="181" spans="1:3" x14ac:dyDescent="0.25">
      <c r="A181">
        <v>410470009004</v>
      </c>
      <c r="B181">
        <v>257</v>
      </c>
      <c r="C181">
        <v>0.38212763999999999</v>
      </c>
    </row>
    <row r="182" spans="1:3" x14ac:dyDescent="0.25">
      <c r="A182">
        <v>410470009004</v>
      </c>
      <c r="B182">
        <v>259</v>
      </c>
      <c r="C182">
        <v>0.24586898000000001</v>
      </c>
    </row>
    <row r="183" spans="1:3" x14ac:dyDescent="0.25">
      <c r="A183">
        <v>410470009004</v>
      </c>
      <c r="B183">
        <v>301</v>
      </c>
      <c r="C183">
        <v>0.36494048000000001</v>
      </c>
    </row>
    <row r="184" spans="1:3" x14ac:dyDescent="0.25">
      <c r="A184">
        <v>410470009005</v>
      </c>
      <c r="B184">
        <v>254</v>
      </c>
      <c r="C184">
        <v>3.6897000000000002E-3</v>
      </c>
    </row>
    <row r="185" spans="1:3" x14ac:dyDescent="0.25">
      <c r="A185">
        <v>410470009005</v>
      </c>
      <c r="B185">
        <v>256</v>
      </c>
      <c r="C185">
        <v>1.969402E-2</v>
      </c>
    </row>
    <row r="186" spans="1:3" x14ac:dyDescent="0.25">
      <c r="A186">
        <v>410470009005</v>
      </c>
      <c r="B186">
        <v>298</v>
      </c>
      <c r="C186">
        <v>0.97661627999999989</v>
      </c>
    </row>
    <row r="187" spans="1:3" x14ac:dyDescent="0.25">
      <c r="A187">
        <v>410470009006</v>
      </c>
      <c r="B187">
        <v>254</v>
      </c>
      <c r="C187">
        <v>9.6423299999999993E-3</v>
      </c>
    </row>
    <row r="188" spans="1:3" x14ac:dyDescent="0.25">
      <c r="A188">
        <v>410470009006</v>
      </c>
      <c r="B188">
        <v>256</v>
      </c>
      <c r="C188">
        <v>0.98953884000000003</v>
      </c>
    </row>
    <row r="189" spans="1:3" x14ac:dyDescent="0.25">
      <c r="A189">
        <v>410470009006</v>
      </c>
      <c r="B189">
        <v>259</v>
      </c>
      <c r="C189">
        <v>8.1881E-4</v>
      </c>
    </row>
    <row r="190" spans="1:3" x14ac:dyDescent="0.25">
      <c r="A190">
        <v>410470010001</v>
      </c>
      <c r="B190">
        <v>258</v>
      </c>
      <c r="C190">
        <v>5.9300299999999993E-3</v>
      </c>
    </row>
    <row r="191" spans="1:3" x14ac:dyDescent="0.25">
      <c r="A191">
        <v>410470010001</v>
      </c>
      <c r="B191">
        <v>301</v>
      </c>
      <c r="C191">
        <v>8.9085999999999994E-4</v>
      </c>
    </row>
    <row r="192" spans="1:3" x14ac:dyDescent="0.25">
      <c r="A192">
        <v>410470010001</v>
      </c>
      <c r="B192">
        <v>303</v>
      </c>
      <c r="C192">
        <v>2.6918199999999997E-3</v>
      </c>
    </row>
    <row r="193" spans="1:3" x14ac:dyDescent="0.25">
      <c r="A193">
        <v>410470010001</v>
      </c>
      <c r="B193">
        <v>312</v>
      </c>
      <c r="C193">
        <v>6.6618999999999999E-4</v>
      </c>
    </row>
    <row r="194" spans="1:3" x14ac:dyDescent="0.25">
      <c r="A194">
        <v>410470010001</v>
      </c>
      <c r="B194">
        <v>313</v>
      </c>
      <c r="C194">
        <v>0.98895790000000006</v>
      </c>
    </row>
    <row r="195" spans="1:3" x14ac:dyDescent="0.25">
      <c r="A195">
        <v>410470010001</v>
      </c>
      <c r="B195">
        <v>354</v>
      </c>
      <c r="C195">
        <v>8.6319999999999995E-4</v>
      </c>
    </row>
    <row r="196" spans="1:3" x14ac:dyDescent="0.25">
      <c r="A196">
        <v>410470010002</v>
      </c>
      <c r="B196">
        <v>258</v>
      </c>
      <c r="C196">
        <v>5.223E-5</v>
      </c>
    </row>
    <row r="197" spans="1:3" x14ac:dyDescent="0.25">
      <c r="A197">
        <v>410470010002</v>
      </c>
      <c r="B197">
        <v>259</v>
      </c>
      <c r="C197">
        <v>2.1064199999999999E-3</v>
      </c>
    </row>
    <row r="198" spans="1:3" x14ac:dyDescent="0.25">
      <c r="A198">
        <v>410470010002</v>
      </c>
      <c r="B198">
        <v>312</v>
      </c>
      <c r="C198">
        <v>0.16704494</v>
      </c>
    </row>
    <row r="199" spans="1:3" x14ac:dyDescent="0.25">
      <c r="A199">
        <v>410470010002</v>
      </c>
      <c r="B199">
        <v>313</v>
      </c>
      <c r="C199">
        <v>9.4661399999999996E-3</v>
      </c>
    </row>
    <row r="200" spans="1:3" x14ac:dyDescent="0.25">
      <c r="A200">
        <v>410470010002</v>
      </c>
      <c r="B200">
        <v>330</v>
      </c>
      <c r="C200">
        <v>0.77168141000000001</v>
      </c>
    </row>
    <row r="201" spans="1:3" x14ac:dyDescent="0.25">
      <c r="A201">
        <v>410470010002</v>
      </c>
      <c r="B201">
        <v>338</v>
      </c>
      <c r="C201">
        <v>4.6445819999999999E-2</v>
      </c>
    </row>
    <row r="202" spans="1:3" x14ac:dyDescent="0.25">
      <c r="A202">
        <v>410470010002</v>
      </c>
      <c r="B202">
        <v>354</v>
      </c>
      <c r="C202">
        <v>3.2030500000000003E-3</v>
      </c>
    </row>
    <row r="203" spans="1:3" x14ac:dyDescent="0.25">
      <c r="A203">
        <v>410470010003</v>
      </c>
      <c r="B203">
        <v>298</v>
      </c>
      <c r="C203">
        <v>9.3999999999999998E-6</v>
      </c>
    </row>
    <row r="204" spans="1:3" x14ac:dyDescent="0.25">
      <c r="A204">
        <v>410470010003</v>
      </c>
      <c r="B204">
        <v>299</v>
      </c>
      <c r="C204">
        <v>3.1683999999999998E-4</v>
      </c>
    </row>
    <row r="205" spans="1:3" x14ac:dyDescent="0.25">
      <c r="A205">
        <v>410470010003</v>
      </c>
      <c r="B205">
        <v>302</v>
      </c>
      <c r="C205">
        <v>3.1958099999999999E-3</v>
      </c>
    </row>
    <row r="206" spans="1:3" x14ac:dyDescent="0.25">
      <c r="A206">
        <v>410470010003</v>
      </c>
      <c r="B206">
        <v>303</v>
      </c>
      <c r="C206">
        <v>5.3886400000000001E-3</v>
      </c>
    </row>
    <row r="207" spans="1:3" x14ac:dyDescent="0.25">
      <c r="A207">
        <v>410470010003</v>
      </c>
      <c r="B207">
        <v>304</v>
      </c>
      <c r="C207">
        <v>0.16604398000000001</v>
      </c>
    </row>
    <row r="208" spans="1:3" x14ac:dyDescent="0.25">
      <c r="A208">
        <v>410470010003</v>
      </c>
      <c r="B208">
        <v>313</v>
      </c>
      <c r="C208">
        <v>2.4890000000000001E-5</v>
      </c>
    </row>
    <row r="209" spans="1:3" x14ac:dyDescent="0.25">
      <c r="A209">
        <v>410470010003</v>
      </c>
      <c r="B209">
        <v>330</v>
      </c>
      <c r="C209">
        <v>1.9649000000000001E-4</v>
      </c>
    </row>
    <row r="210" spans="1:3" x14ac:dyDescent="0.25">
      <c r="A210">
        <v>410470010003</v>
      </c>
      <c r="B210">
        <v>350</v>
      </c>
      <c r="C210">
        <v>7.3439100000000004E-3</v>
      </c>
    </row>
    <row r="211" spans="1:3" x14ac:dyDescent="0.25">
      <c r="A211">
        <v>410470010003</v>
      </c>
      <c r="B211">
        <v>354</v>
      </c>
      <c r="C211">
        <v>0.81679495000000002</v>
      </c>
    </row>
    <row r="212" spans="1:3" x14ac:dyDescent="0.25">
      <c r="A212">
        <v>410470010003</v>
      </c>
      <c r="B212">
        <v>373</v>
      </c>
      <c r="C212">
        <v>5.9102999999999998E-4</v>
      </c>
    </row>
    <row r="213" spans="1:3" x14ac:dyDescent="0.25">
      <c r="A213">
        <v>410470010003</v>
      </c>
      <c r="B213">
        <v>395</v>
      </c>
      <c r="C213">
        <v>9.4059999999999991E-5</v>
      </c>
    </row>
    <row r="214" spans="1:3" x14ac:dyDescent="0.25">
      <c r="A214">
        <v>410470011001</v>
      </c>
      <c r="B214">
        <v>324</v>
      </c>
      <c r="C214">
        <v>2.0430499999999998E-3</v>
      </c>
    </row>
    <row r="215" spans="1:3" x14ac:dyDescent="0.25">
      <c r="A215">
        <v>410470011001</v>
      </c>
      <c r="B215">
        <v>330</v>
      </c>
      <c r="C215">
        <v>1.2975730000000001E-2</v>
      </c>
    </row>
    <row r="216" spans="1:3" x14ac:dyDescent="0.25">
      <c r="A216">
        <v>410470011001</v>
      </c>
      <c r="B216">
        <v>336</v>
      </c>
      <c r="C216">
        <v>0.1985352</v>
      </c>
    </row>
    <row r="217" spans="1:3" x14ac:dyDescent="0.25">
      <c r="A217">
        <v>410470011001</v>
      </c>
      <c r="B217">
        <v>338</v>
      </c>
      <c r="C217">
        <v>0.78536947000000001</v>
      </c>
    </row>
    <row r="218" spans="1:3" x14ac:dyDescent="0.25">
      <c r="A218">
        <v>410470011002</v>
      </c>
      <c r="B218">
        <v>330</v>
      </c>
      <c r="C218">
        <v>3.4104700000000001E-3</v>
      </c>
    </row>
    <row r="219" spans="1:3" x14ac:dyDescent="0.25">
      <c r="A219">
        <v>410470011002</v>
      </c>
      <c r="B219">
        <v>336</v>
      </c>
      <c r="C219">
        <v>2.6526499999999999E-3</v>
      </c>
    </row>
    <row r="220" spans="1:3" x14ac:dyDescent="0.25">
      <c r="A220">
        <v>410470011002</v>
      </c>
      <c r="B220">
        <v>338</v>
      </c>
      <c r="C220">
        <v>6.8797299999999997E-3</v>
      </c>
    </row>
    <row r="221" spans="1:3" x14ac:dyDescent="0.25">
      <c r="A221">
        <v>410470011002</v>
      </c>
      <c r="B221">
        <v>350</v>
      </c>
      <c r="C221">
        <v>0.97783485000000003</v>
      </c>
    </row>
    <row r="222" spans="1:3" x14ac:dyDescent="0.25">
      <c r="A222">
        <v>410470011002</v>
      </c>
      <c r="B222">
        <v>354</v>
      </c>
      <c r="C222">
        <v>3.9150399999999998E-3</v>
      </c>
    </row>
    <row r="223" spans="1:3" x14ac:dyDescent="0.25">
      <c r="A223">
        <v>410470011002</v>
      </c>
      <c r="B223">
        <v>357</v>
      </c>
      <c r="C223">
        <v>5.3249100000000004E-3</v>
      </c>
    </row>
    <row r="224" spans="1:3" x14ac:dyDescent="0.25">
      <c r="A224">
        <v>410470011003</v>
      </c>
      <c r="B224">
        <v>324</v>
      </c>
      <c r="C224">
        <v>1.4011299999999998E-3</v>
      </c>
    </row>
    <row r="225" spans="1:3" x14ac:dyDescent="0.25">
      <c r="A225">
        <v>410470011003</v>
      </c>
      <c r="B225">
        <v>336</v>
      </c>
      <c r="C225">
        <v>0.99633488999999997</v>
      </c>
    </row>
    <row r="226" spans="1:3" x14ac:dyDescent="0.25">
      <c r="A226">
        <v>410470011003</v>
      </c>
      <c r="B226">
        <v>338</v>
      </c>
      <c r="C226">
        <v>1.3496000000000001E-3</v>
      </c>
    </row>
    <row r="227" spans="1:3" x14ac:dyDescent="0.25">
      <c r="A227">
        <v>410470011003</v>
      </c>
      <c r="B227">
        <v>350</v>
      </c>
      <c r="C227">
        <v>9.1442999999999993E-4</v>
      </c>
    </row>
    <row r="228" spans="1:3" x14ac:dyDescent="0.25">
      <c r="A228">
        <v>410470012001</v>
      </c>
      <c r="B228">
        <v>259</v>
      </c>
      <c r="C228">
        <v>2.3809999999999997E-5</v>
      </c>
    </row>
    <row r="229" spans="1:3" x14ac:dyDescent="0.25">
      <c r="A229">
        <v>410470012001</v>
      </c>
      <c r="B229">
        <v>260</v>
      </c>
      <c r="C229">
        <v>9.2976000000000007E-4</v>
      </c>
    </row>
    <row r="230" spans="1:3" x14ac:dyDescent="0.25">
      <c r="A230">
        <v>410470012001</v>
      </c>
      <c r="B230">
        <v>261</v>
      </c>
      <c r="C230">
        <v>1.2651000000000001E-4</v>
      </c>
    </row>
    <row r="231" spans="1:3" x14ac:dyDescent="0.25">
      <c r="A231">
        <v>410470012001</v>
      </c>
      <c r="B231">
        <v>309</v>
      </c>
      <c r="C231">
        <v>2.5694999999999998E-4</v>
      </c>
    </row>
    <row r="232" spans="1:3" x14ac:dyDescent="0.25">
      <c r="A232">
        <v>410470012001</v>
      </c>
      <c r="B232">
        <v>310</v>
      </c>
      <c r="C232">
        <v>0.99169770000000002</v>
      </c>
    </row>
    <row r="233" spans="1:3" x14ac:dyDescent="0.25">
      <c r="A233">
        <v>410470012001</v>
      </c>
      <c r="B233">
        <v>312</v>
      </c>
      <c r="C233">
        <v>5.4117000000000002E-3</v>
      </c>
    </row>
    <row r="234" spans="1:3" x14ac:dyDescent="0.25">
      <c r="A234">
        <v>410470012001</v>
      </c>
      <c r="B234">
        <v>314</v>
      </c>
      <c r="C234">
        <v>1.2612999999999999E-4</v>
      </c>
    </row>
    <row r="235" spans="1:3" x14ac:dyDescent="0.25">
      <c r="A235">
        <v>410470012001</v>
      </c>
      <c r="B235">
        <v>324</v>
      </c>
      <c r="C235">
        <v>1.4274300000000001E-3</v>
      </c>
    </row>
    <row r="236" spans="1:3" x14ac:dyDescent="0.25">
      <c r="A236">
        <v>410470012002</v>
      </c>
      <c r="B236">
        <v>310</v>
      </c>
      <c r="C236">
        <v>9.2292999999999997E-4</v>
      </c>
    </row>
    <row r="237" spans="1:3" x14ac:dyDescent="0.25">
      <c r="A237">
        <v>410470012002</v>
      </c>
      <c r="B237">
        <v>312</v>
      </c>
      <c r="C237">
        <v>4.8469400000000001E-3</v>
      </c>
    </row>
    <row r="238" spans="1:3" x14ac:dyDescent="0.25">
      <c r="A238">
        <v>410470012002</v>
      </c>
      <c r="B238">
        <v>324</v>
      </c>
      <c r="C238">
        <v>0.99129772000000005</v>
      </c>
    </row>
    <row r="239" spans="1:3" x14ac:dyDescent="0.25">
      <c r="A239">
        <v>410470012002</v>
      </c>
      <c r="B239">
        <v>336</v>
      </c>
      <c r="C239">
        <v>4.7669000000000005E-4</v>
      </c>
    </row>
    <row r="240" spans="1:3" x14ac:dyDescent="0.25">
      <c r="A240">
        <v>410470012002</v>
      </c>
      <c r="B240">
        <v>338</v>
      </c>
      <c r="C240">
        <v>2.4557300000000002E-3</v>
      </c>
    </row>
    <row r="241" spans="1:3" x14ac:dyDescent="0.25">
      <c r="A241">
        <v>410470013001</v>
      </c>
      <c r="B241">
        <v>61</v>
      </c>
      <c r="C241">
        <v>6.0744E-4</v>
      </c>
    </row>
    <row r="242" spans="1:3" x14ac:dyDescent="0.25">
      <c r="A242">
        <v>410470013001</v>
      </c>
      <c r="B242">
        <v>64</v>
      </c>
      <c r="C242">
        <v>1.06766E-3</v>
      </c>
    </row>
    <row r="243" spans="1:3" x14ac:dyDescent="0.25">
      <c r="A243">
        <v>410470013001</v>
      </c>
      <c r="B243">
        <v>76</v>
      </c>
      <c r="C243">
        <v>1.8547999999999999E-4</v>
      </c>
    </row>
    <row r="244" spans="1:3" x14ac:dyDescent="0.25">
      <c r="A244">
        <v>410470013001</v>
      </c>
      <c r="B244">
        <v>77</v>
      </c>
      <c r="C244">
        <v>6.2319999999999997E-4</v>
      </c>
    </row>
    <row r="245" spans="1:3" x14ac:dyDescent="0.25">
      <c r="A245">
        <v>410470013001</v>
      </c>
      <c r="B245">
        <v>249</v>
      </c>
      <c r="C245">
        <v>7.6869999999999998E-4</v>
      </c>
    </row>
    <row r="246" spans="1:3" x14ac:dyDescent="0.25">
      <c r="A246">
        <v>410470013001</v>
      </c>
      <c r="B246">
        <v>281</v>
      </c>
      <c r="C246">
        <v>1.294E-5</v>
      </c>
    </row>
    <row r="247" spans="1:3" x14ac:dyDescent="0.25">
      <c r="A247">
        <v>410470013001</v>
      </c>
      <c r="B247">
        <v>309</v>
      </c>
      <c r="C247">
        <v>7.8948000000000006E-4</v>
      </c>
    </row>
    <row r="248" spans="1:3" x14ac:dyDescent="0.25">
      <c r="A248">
        <v>410470013001</v>
      </c>
      <c r="B248">
        <v>310</v>
      </c>
      <c r="C248">
        <v>1.02E-6</v>
      </c>
    </row>
    <row r="249" spans="1:3" x14ac:dyDescent="0.25">
      <c r="A249">
        <v>410470013001</v>
      </c>
      <c r="B249">
        <v>314</v>
      </c>
      <c r="C249">
        <v>5.4730819999999999E-2</v>
      </c>
    </row>
    <row r="250" spans="1:3" x14ac:dyDescent="0.25">
      <c r="A250">
        <v>410470013001</v>
      </c>
      <c r="B250">
        <v>322</v>
      </c>
      <c r="C250">
        <v>6.6390789999999991E-2</v>
      </c>
    </row>
    <row r="251" spans="1:3" x14ac:dyDescent="0.25">
      <c r="A251">
        <v>410470013001</v>
      </c>
      <c r="B251">
        <v>323</v>
      </c>
      <c r="C251">
        <v>6.5959999999999999E-5</v>
      </c>
    </row>
    <row r="252" spans="1:3" x14ac:dyDescent="0.25">
      <c r="A252">
        <v>410470013001</v>
      </c>
      <c r="B252">
        <v>324</v>
      </c>
      <c r="C252">
        <v>2.1632999999999998E-4</v>
      </c>
    </row>
    <row r="253" spans="1:3" x14ac:dyDescent="0.25">
      <c r="A253">
        <v>410470013001</v>
      </c>
      <c r="B253">
        <v>332</v>
      </c>
      <c r="C253">
        <v>5.9313299999999999E-2</v>
      </c>
    </row>
    <row r="254" spans="1:3" x14ac:dyDescent="0.25">
      <c r="A254">
        <v>410470013001</v>
      </c>
      <c r="B254">
        <v>333</v>
      </c>
      <c r="C254">
        <v>5.1676000000000001E-4</v>
      </c>
    </row>
    <row r="255" spans="1:3" x14ac:dyDescent="0.25">
      <c r="A255">
        <v>410470013001</v>
      </c>
      <c r="B255">
        <v>435</v>
      </c>
      <c r="C255">
        <v>6.2801070000000001E-2</v>
      </c>
    </row>
    <row r="256" spans="1:3" x14ac:dyDescent="0.25">
      <c r="A256">
        <v>410470013001</v>
      </c>
      <c r="B256">
        <v>436</v>
      </c>
      <c r="C256">
        <v>0.71476374000000009</v>
      </c>
    </row>
    <row r="257" spans="1:3" x14ac:dyDescent="0.25">
      <c r="A257">
        <v>410470013001</v>
      </c>
      <c r="B257">
        <v>442</v>
      </c>
      <c r="C257">
        <v>3.7145320000000003E-2</v>
      </c>
    </row>
    <row r="258" spans="1:3" x14ac:dyDescent="0.25">
      <c r="A258">
        <v>410470013002</v>
      </c>
      <c r="B258">
        <v>309</v>
      </c>
      <c r="C258">
        <v>0.20011153000000001</v>
      </c>
    </row>
    <row r="259" spans="1:3" x14ac:dyDescent="0.25">
      <c r="A259">
        <v>410470013002</v>
      </c>
      <c r="B259">
        <v>310</v>
      </c>
      <c r="C259">
        <v>1.91293E-3</v>
      </c>
    </row>
    <row r="260" spans="1:3" x14ac:dyDescent="0.25">
      <c r="A260">
        <v>410470013002</v>
      </c>
      <c r="B260">
        <v>314</v>
      </c>
      <c r="C260">
        <v>0.79680571999999994</v>
      </c>
    </row>
    <row r="261" spans="1:3" x14ac:dyDescent="0.25">
      <c r="A261">
        <v>410470013002</v>
      </c>
      <c r="B261">
        <v>436</v>
      </c>
      <c r="C261">
        <v>1.1698100000000001E-3</v>
      </c>
    </row>
    <row r="262" spans="1:3" x14ac:dyDescent="0.25">
      <c r="A262">
        <v>410470013003</v>
      </c>
      <c r="B262">
        <v>322</v>
      </c>
      <c r="C262">
        <v>0.81883629999999996</v>
      </c>
    </row>
    <row r="263" spans="1:3" x14ac:dyDescent="0.25">
      <c r="A263">
        <v>410470013003</v>
      </c>
      <c r="B263">
        <v>323</v>
      </c>
      <c r="C263">
        <v>0.17437579</v>
      </c>
    </row>
    <row r="264" spans="1:3" x14ac:dyDescent="0.25">
      <c r="A264">
        <v>410470013003</v>
      </c>
      <c r="B264">
        <v>324</v>
      </c>
      <c r="C264">
        <v>5.1106900000000002E-3</v>
      </c>
    </row>
    <row r="265" spans="1:3" x14ac:dyDescent="0.25">
      <c r="A265">
        <v>410470013003</v>
      </c>
      <c r="B265">
        <v>334</v>
      </c>
      <c r="C265">
        <v>1.4186799999999999E-3</v>
      </c>
    </row>
    <row r="266" spans="1:3" x14ac:dyDescent="0.25">
      <c r="A266">
        <v>410470013003</v>
      </c>
      <c r="B266">
        <v>335</v>
      </c>
      <c r="C266">
        <v>1E-8</v>
      </c>
    </row>
    <row r="267" spans="1:3" x14ac:dyDescent="0.25">
      <c r="A267">
        <v>410470013003</v>
      </c>
      <c r="B267">
        <v>336</v>
      </c>
      <c r="C267">
        <v>2.3175000000000002E-4</v>
      </c>
    </row>
    <row r="268" spans="1:3" x14ac:dyDescent="0.25">
      <c r="A268">
        <v>410470013003</v>
      </c>
      <c r="B268">
        <v>442</v>
      </c>
      <c r="C268">
        <v>2.6789999999999999E-5</v>
      </c>
    </row>
    <row r="269" spans="1:3" x14ac:dyDescent="0.25">
      <c r="A269">
        <v>410470014011</v>
      </c>
      <c r="B269">
        <v>82</v>
      </c>
      <c r="C269">
        <v>0.99805503000000007</v>
      </c>
    </row>
    <row r="270" spans="1:3" x14ac:dyDescent="0.25">
      <c r="A270">
        <v>410470014011</v>
      </c>
      <c r="B270">
        <v>88</v>
      </c>
      <c r="C270">
        <v>1.3817899999999999E-3</v>
      </c>
    </row>
    <row r="271" spans="1:3" x14ac:dyDescent="0.25">
      <c r="A271">
        <v>410470014011</v>
      </c>
      <c r="B271">
        <v>90</v>
      </c>
      <c r="C271">
        <v>4.4721999999999996E-4</v>
      </c>
    </row>
    <row r="272" spans="1:3" x14ac:dyDescent="0.25">
      <c r="A272">
        <v>410470014011</v>
      </c>
      <c r="B272">
        <v>95</v>
      </c>
      <c r="C272">
        <v>1.1596000000000001E-4</v>
      </c>
    </row>
    <row r="273" spans="1:3" x14ac:dyDescent="0.25">
      <c r="A273">
        <v>410470014012</v>
      </c>
      <c r="B273">
        <v>42</v>
      </c>
      <c r="C273">
        <v>7.5869000000000002E-4</v>
      </c>
    </row>
    <row r="274" spans="1:3" x14ac:dyDescent="0.25">
      <c r="A274">
        <v>410470014012</v>
      </c>
      <c r="B274">
        <v>43</v>
      </c>
      <c r="C274">
        <v>4.9330999999999995E-4</v>
      </c>
    </row>
    <row r="275" spans="1:3" x14ac:dyDescent="0.25">
      <c r="A275">
        <v>410470014012</v>
      </c>
      <c r="B275">
        <v>80</v>
      </c>
      <c r="C275">
        <v>1.2632E-4</v>
      </c>
    </row>
    <row r="276" spans="1:3" x14ac:dyDescent="0.25">
      <c r="A276">
        <v>410470014012</v>
      </c>
      <c r="B276">
        <v>81</v>
      </c>
      <c r="C276">
        <v>0.86491563000000005</v>
      </c>
    </row>
    <row r="277" spans="1:3" x14ac:dyDescent="0.25">
      <c r="A277">
        <v>410470014012</v>
      </c>
      <c r="B277">
        <v>82</v>
      </c>
      <c r="C277">
        <v>2.7683600000000001E-3</v>
      </c>
    </row>
    <row r="278" spans="1:3" x14ac:dyDescent="0.25">
      <c r="A278">
        <v>410470014012</v>
      </c>
      <c r="B278">
        <v>107</v>
      </c>
      <c r="C278">
        <v>2.06391E-3</v>
      </c>
    </row>
    <row r="279" spans="1:3" x14ac:dyDescent="0.25">
      <c r="A279">
        <v>410470014012</v>
      </c>
      <c r="B279">
        <v>110</v>
      </c>
      <c r="C279">
        <v>0.11580415999999999</v>
      </c>
    </row>
    <row r="280" spans="1:3" x14ac:dyDescent="0.25">
      <c r="A280">
        <v>410470014012</v>
      </c>
      <c r="B280">
        <v>111</v>
      </c>
      <c r="C280">
        <v>1.301563E-2</v>
      </c>
    </row>
    <row r="281" spans="1:3" x14ac:dyDescent="0.25">
      <c r="A281">
        <v>410470014013</v>
      </c>
      <c r="B281">
        <v>82</v>
      </c>
      <c r="C281">
        <v>1.411227E-2</v>
      </c>
    </row>
    <row r="282" spans="1:3" x14ac:dyDescent="0.25">
      <c r="A282">
        <v>410470014013</v>
      </c>
      <c r="B282">
        <v>104</v>
      </c>
      <c r="C282">
        <v>7.01916E-3</v>
      </c>
    </row>
    <row r="283" spans="1:3" x14ac:dyDescent="0.25">
      <c r="A283">
        <v>410470014013</v>
      </c>
      <c r="B283">
        <v>107</v>
      </c>
      <c r="C283">
        <v>0.97725656999999999</v>
      </c>
    </row>
    <row r="284" spans="1:3" x14ac:dyDescent="0.25">
      <c r="A284">
        <v>410470014013</v>
      </c>
      <c r="B284">
        <v>112</v>
      </c>
      <c r="C284">
        <v>1.5792200000000001E-3</v>
      </c>
    </row>
    <row r="285" spans="1:3" x14ac:dyDescent="0.25">
      <c r="A285">
        <v>410470014013</v>
      </c>
      <c r="B285">
        <v>114</v>
      </c>
      <c r="C285">
        <v>3.277E-5</v>
      </c>
    </row>
    <row r="286" spans="1:3" x14ac:dyDescent="0.25">
      <c r="A286">
        <v>410470014021</v>
      </c>
      <c r="B286">
        <v>43</v>
      </c>
      <c r="C286">
        <v>7.5184900000000001E-3</v>
      </c>
    </row>
    <row r="287" spans="1:3" x14ac:dyDescent="0.25">
      <c r="A287">
        <v>410470014021</v>
      </c>
      <c r="B287">
        <v>81</v>
      </c>
      <c r="C287">
        <v>5.8960000000000005E-5</v>
      </c>
    </row>
    <row r="288" spans="1:3" x14ac:dyDescent="0.25">
      <c r="A288">
        <v>410470014021</v>
      </c>
      <c r="B288">
        <v>107</v>
      </c>
      <c r="C288">
        <v>1.7459999999999999E-5</v>
      </c>
    </row>
    <row r="289" spans="1:3" x14ac:dyDescent="0.25">
      <c r="A289">
        <v>410470014021</v>
      </c>
      <c r="B289">
        <v>110</v>
      </c>
      <c r="C289">
        <v>3.9522799999999999E-3</v>
      </c>
    </row>
    <row r="290" spans="1:3" x14ac:dyDescent="0.25">
      <c r="A290">
        <v>410470014021</v>
      </c>
      <c r="B290">
        <v>111</v>
      </c>
      <c r="C290">
        <v>0.97854488000000006</v>
      </c>
    </row>
    <row r="291" spans="1:3" x14ac:dyDescent="0.25">
      <c r="A291">
        <v>410470014021</v>
      </c>
      <c r="B291">
        <v>112</v>
      </c>
      <c r="C291">
        <v>9.5590399999999996E-3</v>
      </c>
    </row>
    <row r="292" spans="1:3" x14ac:dyDescent="0.25">
      <c r="A292">
        <v>410470014021</v>
      </c>
      <c r="B292">
        <v>120</v>
      </c>
      <c r="C292">
        <v>9.8869999999999994E-5</v>
      </c>
    </row>
    <row r="293" spans="1:3" x14ac:dyDescent="0.25">
      <c r="A293">
        <v>410470014022</v>
      </c>
      <c r="B293">
        <v>107</v>
      </c>
      <c r="C293">
        <v>9.833000000000001E-4</v>
      </c>
    </row>
    <row r="294" spans="1:3" x14ac:dyDescent="0.25">
      <c r="A294">
        <v>410470014022</v>
      </c>
      <c r="B294">
        <v>111</v>
      </c>
      <c r="C294">
        <v>1.2810000000000001E-5</v>
      </c>
    </row>
    <row r="295" spans="1:3" x14ac:dyDescent="0.25">
      <c r="A295">
        <v>410470014022</v>
      </c>
      <c r="B295">
        <v>112</v>
      </c>
      <c r="C295">
        <v>0.99302515000000002</v>
      </c>
    </row>
    <row r="296" spans="1:3" x14ac:dyDescent="0.25">
      <c r="A296">
        <v>410470014022</v>
      </c>
      <c r="B296">
        <v>114</v>
      </c>
      <c r="C296">
        <v>5.3166400000000001E-3</v>
      </c>
    </row>
    <row r="297" spans="1:3" x14ac:dyDescent="0.25">
      <c r="A297">
        <v>410470014022</v>
      </c>
      <c r="B297">
        <v>118</v>
      </c>
      <c r="C297">
        <v>3.9146E-4</v>
      </c>
    </row>
    <row r="298" spans="1:3" x14ac:dyDescent="0.25">
      <c r="A298">
        <v>410470014022</v>
      </c>
      <c r="B298">
        <v>120</v>
      </c>
      <c r="C298">
        <v>2.7064999999999999E-4</v>
      </c>
    </row>
    <row r="299" spans="1:3" x14ac:dyDescent="0.25">
      <c r="A299">
        <v>410470014023</v>
      </c>
      <c r="B299">
        <v>43</v>
      </c>
      <c r="C299">
        <v>4.6061299999999999E-3</v>
      </c>
    </row>
    <row r="300" spans="1:3" x14ac:dyDescent="0.25">
      <c r="A300">
        <v>410470014023</v>
      </c>
      <c r="B300">
        <v>111</v>
      </c>
      <c r="C300">
        <v>4.6091600000000002E-3</v>
      </c>
    </row>
    <row r="301" spans="1:3" x14ac:dyDescent="0.25">
      <c r="A301">
        <v>410470014023</v>
      </c>
      <c r="B301">
        <v>112</v>
      </c>
      <c r="C301">
        <v>7.3579000000000006E-4</v>
      </c>
    </row>
    <row r="302" spans="1:3" x14ac:dyDescent="0.25">
      <c r="A302">
        <v>410470014023</v>
      </c>
      <c r="B302">
        <v>118</v>
      </c>
      <c r="C302">
        <v>4.9384399999999997E-3</v>
      </c>
    </row>
    <row r="303" spans="1:3" x14ac:dyDescent="0.25">
      <c r="A303">
        <v>410470014023</v>
      </c>
      <c r="B303">
        <v>120</v>
      </c>
      <c r="C303">
        <v>0.98479907999999994</v>
      </c>
    </row>
    <row r="304" spans="1:3" x14ac:dyDescent="0.25">
      <c r="A304">
        <v>410470014023</v>
      </c>
      <c r="B304">
        <v>124</v>
      </c>
      <c r="C304">
        <v>2.7565000000000001E-4</v>
      </c>
    </row>
    <row r="305" spans="1:3" x14ac:dyDescent="0.25">
      <c r="A305">
        <v>410470015011</v>
      </c>
      <c r="B305">
        <v>92</v>
      </c>
      <c r="C305">
        <v>0.95456756999999992</v>
      </c>
    </row>
    <row r="306" spans="1:3" x14ac:dyDescent="0.25">
      <c r="A306">
        <v>410470015011</v>
      </c>
      <c r="B306">
        <v>94</v>
      </c>
      <c r="C306">
        <v>4.043211E-2</v>
      </c>
    </row>
    <row r="307" spans="1:3" x14ac:dyDescent="0.25">
      <c r="A307">
        <v>410470015011</v>
      </c>
      <c r="B307">
        <v>100</v>
      </c>
      <c r="C307">
        <v>4.5587100000000005E-3</v>
      </c>
    </row>
    <row r="308" spans="1:3" x14ac:dyDescent="0.25">
      <c r="A308">
        <v>410470015011</v>
      </c>
      <c r="B308">
        <v>103</v>
      </c>
      <c r="C308">
        <v>4.4161999999999999E-4</v>
      </c>
    </row>
    <row r="309" spans="1:3" x14ac:dyDescent="0.25">
      <c r="A309">
        <v>410470015012</v>
      </c>
      <c r="B309">
        <v>82</v>
      </c>
      <c r="C309">
        <v>2.8240000000000003E-4</v>
      </c>
    </row>
    <row r="310" spans="1:3" x14ac:dyDescent="0.25">
      <c r="A310">
        <v>410470015012</v>
      </c>
      <c r="B310">
        <v>90</v>
      </c>
      <c r="C310">
        <v>6.2942999999999994E-4</v>
      </c>
    </row>
    <row r="311" spans="1:3" x14ac:dyDescent="0.25">
      <c r="A311">
        <v>410470015012</v>
      </c>
      <c r="B311">
        <v>91</v>
      </c>
      <c r="C311">
        <v>2.209647E-2</v>
      </c>
    </row>
    <row r="312" spans="1:3" x14ac:dyDescent="0.25">
      <c r="A312">
        <v>410470015012</v>
      </c>
      <c r="B312">
        <v>92</v>
      </c>
      <c r="C312">
        <v>1.1029119999999998E-2</v>
      </c>
    </row>
    <row r="313" spans="1:3" x14ac:dyDescent="0.25">
      <c r="A313">
        <v>410470015012</v>
      </c>
      <c r="B313">
        <v>94</v>
      </c>
      <c r="C313">
        <v>0.65879717999999998</v>
      </c>
    </row>
    <row r="314" spans="1:3" x14ac:dyDescent="0.25">
      <c r="A314">
        <v>410470015012</v>
      </c>
      <c r="B314">
        <v>95</v>
      </c>
      <c r="C314">
        <v>0.30703150000000001</v>
      </c>
    </row>
    <row r="315" spans="1:3" x14ac:dyDescent="0.25">
      <c r="A315">
        <v>410470015012</v>
      </c>
      <c r="B315">
        <v>103</v>
      </c>
      <c r="C315">
        <v>1.339E-4</v>
      </c>
    </row>
    <row r="316" spans="1:3" x14ac:dyDescent="0.25">
      <c r="A316">
        <v>410470015013</v>
      </c>
      <c r="B316">
        <v>82</v>
      </c>
      <c r="C316">
        <v>5.9472499999999994E-3</v>
      </c>
    </row>
    <row r="317" spans="1:3" x14ac:dyDescent="0.25">
      <c r="A317">
        <v>410470015013</v>
      </c>
      <c r="B317">
        <v>95</v>
      </c>
      <c r="C317">
        <v>0.39849024</v>
      </c>
    </row>
    <row r="318" spans="1:3" x14ac:dyDescent="0.25">
      <c r="A318">
        <v>410470015013</v>
      </c>
      <c r="B318">
        <v>100</v>
      </c>
      <c r="C318">
        <v>3.7440000000000001E-5</v>
      </c>
    </row>
    <row r="319" spans="1:3" x14ac:dyDescent="0.25">
      <c r="A319">
        <v>410470015013</v>
      </c>
      <c r="B319">
        <v>103</v>
      </c>
      <c r="C319">
        <v>0.22817700999999999</v>
      </c>
    </row>
    <row r="320" spans="1:3" x14ac:dyDescent="0.25">
      <c r="A320">
        <v>410470015013</v>
      </c>
      <c r="B320">
        <v>104</v>
      </c>
      <c r="C320">
        <v>0.36539240000000001</v>
      </c>
    </row>
    <row r="321" spans="1:3" x14ac:dyDescent="0.25">
      <c r="A321">
        <v>410470015013</v>
      </c>
      <c r="B321">
        <v>107</v>
      </c>
      <c r="C321">
        <v>1.40043E-3</v>
      </c>
    </row>
    <row r="322" spans="1:3" x14ac:dyDescent="0.25">
      <c r="A322">
        <v>410470015013</v>
      </c>
      <c r="B322">
        <v>114</v>
      </c>
      <c r="C322">
        <v>3.4504000000000002E-4</v>
      </c>
    </row>
    <row r="323" spans="1:3" x14ac:dyDescent="0.25">
      <c r="A323">
        <v>410470015013</v>
      </c>
      <c r="B323">
        <v>116</v>
      </c>
      <c r="C323">
        <v>2.1016000000000001E-4</v>
      </c>
    </row>
    <row r="324" spans="1:3" x14ac:dyDescent="0.25">
      <c r="A324">
        <v>410470015021</v>
      </c>
      <c r="B324">
        <v>100</v>
      </c>
      <c r="C324">
        <v>4.0672000000000001E-4</v>
      </c>
    </row>
    <row r="325" spans="1:3" x14ac:dyDescent="0.25">
      <c r="A325">
        <v>410470015021</v>
      </c>
      <c r="B325">
        <v>103</v>
      </c>
      <c r="C325">
        <v>1.6077999999999999E-4</v>
      </c>
    </row>
    <row r="326" spans="1:3" x14ac:dyDescent="0.25">
      <c r="A326">
        <v>410470015021</v>
      </c>
      <c r="B326">
        <v>104</v>
      </c>
      <c r="C326">
        <v>0.23223424000000001</v>
      </c>
    </row>
    <row r="327" spans="1:3" x14ac:dyDescent="0.25">
      <c r="A327">
        <v>410470015021</v>
      </c>
      <c r="B327">
        <v>114</v>
      </c>
      <c r="C327">
        <v>0.36802283000000002</v>
      </c>
    </row>
    <row r="328" spans="1:3" x14ac:dyDescent="0.25">
      <c r="A328">
        <v>410470015021</v>
      </c>
      <c r="B328">
        <v>116</v>
      </c>
      <c r="C328">
        <v>0.39917544999999999</v>
      </c>
    </row>
    <row r="329" spans="1:3" x14ac:dyDescent="0.25">
      <c r="A329">
        <v>410470015022</v>
      </c>
      <c r="B329">
        <v>92</v>
      </c>
      <c r="C329">
        <v>2.9642999999999998E-4</v>
      </c>
    </row>
    <row r="330" spans="1:3" x14ac:dyDescent="0.25">
      <c r="A330">
        <v>410470015022</v>
      </c>
      <c r="B330">
        <v>94</v>
      </c>
      <c r="C330">
        <v>1.8221000000000001E-4</v>
      </c>
    </row>
    <row r="331" spans="1:3" x14ac:dyDescent="0.25">
      <c r="A331">
        <v>410470015022</v>
      </c>
      <c r="B331">
        <v>100</v>
      </c>
      <c r="C331">
        <v>0.49702981000000002</v>
      </c>
    </row>
    <row r="332" spans="1:3" x14ac:dyDescent="0.25">
      <c r="A332">
        <v>410470015022</v>
      </c>
      <c r="B332">
        <v>103</v>
      </c>
      <c r="C332">
        <v>6.3920279999999996E-2</v>
      </c>
    </row>
    <row r="333" spans="1:3" x14ac:dyDescent="0.25">
      <c r="A333">
        <v>410470015022</v>
      </c>
      <c r="B333">
        <v>116</v>
      </c>
      <c r="C333">
        <v>0.19674085000000002</v>
      </c>
    </row>
    <row r="334" spans="1:3" x14ac:dyDescent="0.25">
      <c r="A334">
        <v>410470015022</v>
      </c>
      <c r="B334">
        <v>211</v>
      </c>
      <c r="C334">
        <v>0.24113038000000001</v>
      </c>
    </row>
    <row r="335" spans="1:3" x14ac:dyDescent="0.25">
      <c r="A335">
        <v>410470015022</v>
      </c>
      <c r="B335">
        <v>222</v>
      </c>
      <c r="C335">
        <v>7.0001999999999998E-4</v>
      </c>
    </row>
    <row r="336" spans="1:3" x14ac:dyDescent="0.25">
      <c r="A336">
        <v>410470015023</v>
      </c>
      <c r="B336">
        <v>94</v>
      </c>
      <c r="C336">
        <v>1.2202200000000002E-3</v>
      </c>
    </row>
    <row r="337" spans="1:3" x14ac:dyDescent="0.25">
      <c r="A337">
        <v>410470015023</v>
      </c>
      <c r="B337">
        <v>95</v>
      </c>
      <c r="C337">
        <v>7.0355000000000005E-4</v>
      </c>
    </row>
    <row r="338" spans="1:3" x14ac:dyDescent="0.25">
      <c r="A338">
        <v>410470015023</v>
      </c>
      <c r="B338">
        <v>100</v>
      </c>
      <c r="C338">
        <v>4.8980400000000002E-3</v>
      </c>
    </row>
    <row r="339" spans="1:3" x14ac:dyDescent="0.25">
      <c r="A339">
        <v>410470015023</v>
      </c>
      <c r="B339">
        <v>103</v>
      </c>
      <c r="C339">
        <v>0.99317820000000001</v>
      </c>
    </row>
    <row r="340" spans="1:3" x14ac:dyDescent="0.25">
      <c r="A340">
        <v>410470015031</v>
      </c>
      <c r="B340">
        <v>117</v>
      </c>
      <c r="C340">
        <v>0.50969028000000005</v>
      </c>
    </row>
    <row r="341" spans="1:3" x14ac:dyDescent="0.25">
      <c r="A341">
        <v>410470015031</v>
      </c>
      <c r="B341">
        <v>118</v>
      </c>
      <c r="C341">
        <v>0.14937775</v>
      </c>
    </row>
    <row r="342" spans="1:3" x14ac:dyDescent="0.25">
      <c r="A342">
        <v>410470015031</v>
      </c>
      <c r="B342">
        <v>126</v>
      </c>
      <c r="C342">
        <v>1.73069E-3</v>
      </c>
    </row>
    <row r="343" spans="1:3" x14ac:dyDescent="0.25">
      <c r="A343">
        <v>410470015031</v>
      </c>
      <c r="B343">
        <v>128</v>
      </c>
      <c r="C343">
        <v>0.33909979999999995</v>
      </c>
    </row>
    <row r="344" spans="1:3" x14ac:dyDescent="0.25">
      <c r="A344">
        <v>410470015031</v>
      </c>
      <c r="B344">
        <v>222</v>
      </c>
      <c r="C344">
        <v>1.0149999999999999E-4</v>
      </c>
    </row>
    <row r="345" spans="1:3" x14ac:dyDescent="0.25">
      <c r="A345">
        <v>410470015032</v>
      </c>
      <c r="B345">
        <v>117</v>
      </c>
      <c r="C345">
        <v>7.2473819999999994E-2</v>
      </c>
    </row>
    <row r="346" spans="1:3" x14ac:dyDescent="0.25">
      <c r="A346">
        <v>410470015032</v>
      </c>
      <c r="B346">
        <v>118</v>
      </c>
      <c r="C346">
        <v>0.47541502999999996</v>
      </c>
    </row>
    <row r="347" spans="1:3" x14ac:dyDescent="0.25">
      <c r="A347">
        <v>410470015032</v>
      </c>
      <c r="B347">
        <v>125</v>
      </c>
      <c r="C347">
        <v>3.2328400000000003E-3</v>
      </c>
    </row>
    <row r="348" spans="1:3" x14ac:dyDescent="0.25">
      <c r="A348">
        <v>410470015032</v>
      </c>
      <c r="B348">
        <v>126</v>
      </c>
      <c r="C348">
        <v>3.5710399999999997E-3</v>
      </c>
    </row>
    <row r="349" spans="1:3" x14ac:dyDescent="0.25">
      <c r="A349">
        <v>410470015032</v>
      </c>
      <c r="B349">
        <v>128</v>
      </c>
      <c r="C349">
        <v>0.44530726999999998</v>
      </c>
    </row>
    <row r="350" spans="1:3" x14ac:dyDescent="0.25">
      <c r="A350">
        <v>410470015033</v>
      </c>
      <c r="B350">
        <v>114</v>
      </c>
      <c r="C350">
        <v>0.31382224000000003</v>
      </c>
    </row>
    <row r="351" spans="1:3" x14ac:dyDescent="0.25">
      <c r="A351">
        <v>410470015033</v>
      </c>
      <c r="B351">
        <v>116</v>
      </c>
      <c r="C351">
        <v>0.16241451999999998</v>
      </c>
    </row>
    <row r="352" spans="1:3" x14ac:dyDescent="0.25">
      <c r="A352">
        <v>410470015033</v>
      </c>
      <c r="B352">
        <v>117</v>
      </c>
      <c r="C352">
        <v>0.30764721</v>
      </c>
    </row>
    <row r="353" spans="1:3" x14ac:dyDescent="0.25">
      <c r="A353">
        <v>410470015033</v>
      </c>
      <c r="B353">
        <v>118</v>
      </c>
      <c r="C353">
        <v>2.9505319999999998E-2</v>
      </c>
    </row>
    <row r="354" spans="1:3" x14ac:dyDescent="0.25">
      <c r="A354">
        <v>410470015033</v>
      </c>
      <c r="B354">
        <v>128</v>
      </c>
      <c r="C354">
        <v>0.15073839</v>
      </c>
    </row>
    <row r="355" spans="1:3" x14ac:dyDescent="0.25">
      <c r="A355">
        <v>410470015033</v>
      </c>
      <c r="B355">
        <v>211</v>
      </c>
      <c r="C355">
        <v>2.5263E-4</v>
      </c>
    </row>
    <row r="356" spans="1:3" x14ac:dyDescent="0.25">
      <c r="A356">
        <v>410470015033</v>
      </c>
      <c r="B356">
        <v>221</v>
      </c>
      <c r="C356">
        <v>1.43541E-3</v>
      </c>
    </row>
    <row r="357" spans="1:3" x14ac:dyDescent="0.25">
      <c r="A357">
        <v>410470015033</v>
      </c>
      <c r="B357">
        <v>222</v>
      </c>
      <c r="C357">
        <v>3.5290420000000003E-2</v>
      </c>
    </row>
    <row r="358" spans="1:3" x14ac:dyDescent="0.25">
      <c r="A358">
        <v>410470016011</v>
      </c>
      <c r="B358">
        <v>135</v>
      </c>
      <c r="C358">
        <v>3.1280339999999997E-2</v>
      </c>
    </row>
    <row r="359" spans="1:3" x14ac:dyDescent="0.25">
      <c r="A359">
        <v>410470016011</v>
      </c>
      <c r="B359">
        <v>141</v>
      </c>
      <c r="C359">
        <v>0.32701552999999994</v>
      </c>
    </row>
    <row r="360" spans="1:3" x14ac:dyDescent="0.25">
      <c r="A360">
        <v>410470016011</v>
      </c>
      <c r="B360">
        <v>143</v>
      </c>
      <c r="C360">
        <v>0.48371443999999997</v>
      </c>
    </row>
    <row r="361" spans="1:3" x14ac:dyDescent="0.25">
      <c r="A361">
        <v>410470016011</v>
      </c>
      <c r="B361">
        <v>144</v>
      </c>
      <c r="C361">
        <v>0.14260492</v>
      </c>
    </row>
    <row r="362" spans="1:3" x14ac:dyDescent="0.25">
      <c r="A362">
        <v>410470016011</v>
      </c>
      <c r="B362">
        <v>211</v>
      </c>
      <c r="C362">
        <v>1.0609809999999999E-2</v>
      </c>
    </row>
    <row r="363" spans="1:3" x14ac:dyDescent="0.25">
      <c r="A363">
        <v>410470016011</v>
      </c>
      <c r="B363">
        <v>212</v>
      </c>
      <c r="C363">
        <v>4.4469000000000002E-3</v>
      </c>
    </row>
    <row r="364" spans="1:3" x14ac:dyDescent="0.25">
      <c r="A364">
        <v>410470016011</v>
      </c>
      <c r="B364">
        <v>213</v>
      </c>
      <c r="C364">
        <v>3.2807999999999996E-4</v>
      </c>
    </row>
    <row r="365" spans="1:3" x14ac:dyDescent="0.25">
      <c r="A365">
        <v>410470016012</v>
      </c>
      <c r="B365">
        <v>140</v>
      </c>
      <c r="C365">
        <v>2.1404E-4</v>
      </c>
    </row>
    <row r="366" spans="1:3" x14ac:dyDescent="0.25">
      <c r="A366">
        <v>410470016012</v>
      </c>
      <c r="B366">
        <v>141</v>
      </c>
      <c r="C366">
        <v>0.18339593000000001</v>
      </c>
    </row>
    <row r="367" spans="1:3" x14ac:dyDescent="0.25">
      <c r="A367">
        <v>410470016012</v>
      </c>
      <c r="B367">
        <v>146</v>
      </c>
      <c r="C367">
        <v>0.60647284000000001</v>
      </c>
    </row>
    <row r="368" spans="1:3" x14ac:dyDescent="0.25">
      <c r="A368">
        <v>410470016012</v>
      </c>
      <c r="B368">
        <v>147</v>
      </c>
      <c r="C368">
        <v>0.20991721999999999</v>
      </c>
    </row>
    <row r="369" spans="1:3" x14ac:dyDescent="0.25">
      <c r="A369">
        <v>410470016013</v>
      </c>
      <c r="B369">
        <v>140</v>
      </c>
      <c r="C369">
        <v>0.36547387999999997</v>
      </c>
    </row>
    <row r="370" spans="1:3" x14ac:dyDescent="0.25">
      <c r="A370">
        <v>410470016013</v>
      </c>
      <c r="B370">
        <v>146</v>
      </c>
      <c r="C370">
        <v>0.63333520999999993</v>
      </c>
    </row>
    <row r="371" spans="1:3" x14ac:dyDescent="0.25">
      <c r="A371">
        <v>410470016013</v>
      </c>
      <c r="B371">
        <v>147</v>
      </c>
      <c r="C371">
        <v>1.19089E-3</v>
      </c>
    </row>
    <row r="372" spans="1:3" x14ac:dyDescent="0.25">
      <c r="A372">
        <v>410470016014</v>
      </c>
      <c r="B372">
        <v>135</v>
      </c>
      <c r="C372">
        <v>1.5642E-3</v>
      </c>
    </row>
    <row r="373" spans="1:3" x14ac:dyDescent="0.25">
      <c r="A373">
        <v>410470016014</v>
      </c>
      <c r="B373">
        <v>136</v>
      </c>
      <c r="C373">
        <v>3.7113699999999999E-3</v>
      </c>
    </row>
    <row r="374" spans="1:3" x14ac:dyDescent="0.25">
      <c r="A374">
        <v>410470016014</v>
      </c>
      <c r="B374">
        <v>140</v>
      </c>
      <c r="C374">
        <v>0.84585339000000004</v>
      </c>
    </row>
    <row r="375" spans="1:3" x14ac:dyDescent="0.25">
      <c r="A375">
        <v>410470016014</v>
      </c>
      <c r="B375">
        <v>141</v>
      </c>
      <c r="C375">
        <v>1.539688E-2</v>
      </c>
    </row>
    <row r="376" spans="1:3" x14ac:dyDescent="0.25">
      <c r="A376">
        <v>410470016014</v>
      </c>
      <c r="B376">
        <v>143</v>
      </c>
      <c r="C376">
        <v>4.8127700000000001E-3</v>
      </c>
    </row>
    <row r="377" spans="1:3" x14ac:dyDescent="0.25">
      <c r="A377">
        <v>410470016014</v>
      </c>
      <c r="B377">
        <v>146</v>
      </c>
      <c r="C377">
        <v>0.12866132999999999</v>
      </c>
    </row>
    <row r="378" spans="1:3" x14ac:dyDescent="0.25">
      <c r="A378">
        <v>410470016015</v>
      </c>
      <c r="B378">
        <v>136</v>
      </c>
      <c r="C378">
        <v>2.1811399999999998E-3</v>
      </c>
    </row>
    <row r="379" spans="1:3" x14ac:dyDescent="0.25">
      <c r="A379">
        <v>410470016015</v>
      </c>
      <c r="B379">
        <v>137</v>
      </c>
      <c r="C379">
        <v>7.3899999999999994E-5</v>
      </c>
    </row>
    <row r="380" spans="1:3" x14ac:dyDescent="0.25">
      <c r="A380">
        <v>410470016015</v>
      </c>
      <c r="B380">
        <v>140</v>
      </c>
      <c r="C380">
        <v>0.99686680999999988</v>
      </c>
    </row>
    <row r="381" spans="1:3" x14ac:dyDescent="0.25">
      <c r="A381">
        <v>410470016015</v>
      </c>
      <c r="B381">
        <v>146</v>
      </c>
      <c r="C381">
        <v>6.5491999999999992E-4</v>
      </c>
    </row>
    <row r="382" spans="1:3" x14ac:dyDescent="0.25">
      <c r="A382">
        <v>410470016031</v>
      </c>
      <c r="B382">
        <v>137</v>
      </c>
      <c r="C382">
        <v>4.6505E-4</v>
      </c>
    </row>
    <row r="383" spans="1:3" x14ac:dyDescent="0.25">
      <c r="A383">
        <v>410470016031</v>
      </c>
      <c r="B383">
        <v>138</v>
      </c>
      <c r="C383">
        <v>2.9629999999999999E-5</v>
      </c>
    </row>
    <row r="384" spans="1:3" x14ac:dyDescent="0.25">
      <c r="A384">
        <v>410470016031</v>
      </c>
      <c r="B384">
        <v>139</v>
      </c>
      <c r="C384">
        <v>0.30595051000000001</v>
      </c>
    </row>
    <row r="385" spans="1:3" x14ac:dyDescent="0.25">
      <c r="A385">
        <v>410470016031</v>
      </c>
      <c r="B385">
        <v>140</v>
      </c>
      <c r="C385">
        <v>3.858847E-2</v>
      </c>
    </row>
    <row r="386" spans="1:3" x14ac:dyDescent="0.25">
      <c r="A386">
        <v>410470016031</v>
      </c>
      <c r="B386">
        <v>147</v>
      </c>
      <c r="C386">
        <v>2.9114900000000001E-3</v>
      </c>
    </row>
    <row r="387" spans="1:3" x14ac:dyDescent="0.25">
      <c r="A387">
        <v>410470016031</v>
      </c>
      <c r="B387">
        <v>148</v>
      </c>
      <c r="C387">
        <v>9.9536000000000004E-4</v>
      </c>
    </row>
    <row r="388" spans="1:3" x14ac:dyDescent="0.25">
      <c r="A388">
        <v>410470016031</v>
      </c>
      <c r="B388">
        <v>152</v>
      </c>
      <c r="C388">
        <v>0.24013978999999999</v>
      </c>
    </row>
    <row r="389" spans="1:3" x14ac:dyDescent="0.25">
      <c r="A389">
        <v>410470016031</v>
      </c>
      <c r="B389">
        <v>153</v>
      </c>
      <c r="C389">
        <v>0.38670436000000002</v>
      </c>
    </row>
    <row r="390" spans="1:3" x14ac:dyDescent="0.25">
      <c r="A390">
        <v>410470016031</v>
      </c>
      <c r="B390">
        <v>154</v>
      </c>
      <c r="C390">
        <v>2.3633459999999998E-2</v>
      </c>
    </row>
    <row r="391" spans="1:3" x14ac:dyDescent="0.25">
      <c r="A391">
        <v>410470016031</v>
      </c>
      <c r="B391">
        <v>168</v>
      </c>
      <c r="C391">
        <v>3.5205000000000002E-4</v>
      </c>
    </row>
    <row r="392" spans="1:3" x14ac:dyDescent="0.25">
      <c r="A392">
        <v>410470016031</v>
      </c>
      <c r="B392">
        <v>169</v>
      </c>
      <c r="C392">
        <v>1.8807999999999997E-4</v>
      </c>
    </row>
    <row r="393" spans="1:3" x14ac:dyDescent="0.25">
      <c r="A393">
        <v>410470016031</v>
      </c>
      <c r="B393">
        <v>170</v>
      </c>
      <c r="C393">
        <v>4.1749999999999998E-5</v>
      </c>
    </row>
    <row r="394" spans="1:3" x14ac:dyDescent="0.25">
      <c r="A394">
        <v>410470016032</v>
      </c>
      <c r="B394">
        <v>140</v>
      </c>
      <c r="C394">
        <v>4.9844500000000005E-3</v>
      </c>
    </row>
    <row r="395" spans="1:3" x14ac:dyDescent="0.25">
      <c r="A395">
        <v>410470016032</v>
      </c>
      <c r="B395">
        <v>146</v>
      </c>
      <c r="C395">
        <v>2.0698100000000001E-3</v>
      </c>
    </row>
    <row r="396" spans="1:3" x14ac:dyDescent="0.25">
      <c r="A396">
        <v>410470016032</v>
      </c>
      <c r="B396">
        <v>147</v>
      </c>
      <c r="C396">
        <v>0.99243531000000007</v>
      </c>
    </row>
    <row r="397" spans="1:3" x14ac:dyDescent="0.25">
      <c r="A397">
        <v>410470016032</v>
      </c>
      <c r="B397">
        <v>148</v>
      </c>
      <c r="C397">
        <v>5.1041999999999993E-4</v>
      </c>
    </row>
    <row r="398" spans="1:3" x14ac:dyDescent="0.25">
      <c r="A398">
        <v>410470016033</v>
      </c>
      <c r="B398">
        <v>139</v>
      </c>
      <c r="C398">
        <v>1.7042999999999998E-4</v>
      </c>
    </row>
    <row r="399" spans="1:3" x14ac:dyDescent="0.25">
      <c r="A399">
        <v>410470016033</v>
      </c>
      <c r="B399">
        <v>147</v>
      </c>
      <c r="C399">
        <v>1.8412000000000002E-4</v>
      </c>
    </row>
    <row r="400" spans="1:3" x14ac:dyDescent="0.25">
      <c r="A400">
        <v>410470016033</v>
      </c>
      <c r="B400">
        <v>148</v>
      </c>
      <c r="C400">
        <v>0.99257887</v>
      </c>
    </row>
    <row r="401" spans="1:3" x14ac:dyDescent="0.25">
      <c r="A401">
        <v>410470016033</v>
      </c>
      <c r="B401">
        <v>154</v>
      </c>
      <c r="C401">
        <v>7.0665800000000003E-3</v>
      </c>
    </row>
    <row r="402" spans="1:3" x14ac:dyDescent="0.25">
      <c r="A402">
        <v>410470016034</v>
      </c>
      <c r="B402">
        <v>148</v>
      </c>
      <c r="C402">
        <v>4.6840099999999997E-3</v>
      </c>
    </row>
    <row r="403" spans="1:3" x14ac:dyDescent="0.25">
      <c r="A403">
        <v>410470016034</v>
      </c>
      <c r="B403">
        <v>153</v>
      </c>
      <c r="C403">
        <v>1.8917500000000002E-3</v>
      </c>
    </row>
    <row r="404" spans="1:3" x14ac:dyDescent="0.25">
      <c r="A404">
        <v>410470016034</v>
      </c>
      <c r="B404">
        <v>154</v>
      </c>
      <c r="C404">
        <v>0.99342427999999994</v>
      </c>
    </row>
    <row r="405" spans="1:3" x14ac:dyDescent="0.25">
      <c r="A405">
        <v>410470016051</v>
      </c>
      <c r="B405">
        <v>141</v>
      </c>
      <c r="C405">
        <v>9.8221959999999997E-2</v>
      </c>
    </row>
    <row r="406" spans="1:3" x14ac:dyDescent="0.25">
      <c r="A406">
        <v>410470016051</v>
      </c>
      <c r="B406">
        <v>144</v>
      </c>
      <c r="C406">
        <v>2.1467260000000002E-2</v>
      </c>
    </row>
    <row r="407" spans="1:3" x14ac:dyDescent="0.25">
      <c r="A407">
        <v>410470016051</v>
      </c>
      <c r="B407">
        <v>150</v>
      </c>
      <c r="C407">
        <v>0.86936868</v>
      </c>
    </row>
    <row r="408" spans="1:3" x14ac:dyDescent="0.25">
      <c r="A408">
        <v>410470016051</v>
      </c>
      <c r="B408">
        <v>213</v>
      </c>
      <c r="C408">
        <v>1.094207E-2</v>
      </c>
    </row>
    <row r="409" spans="1:3" x14ac:dyDescent="0.25">
      <c r="A409">
        <v>410470016052</v>
      </c>
      <c r="B409">
        <v>150</v>
      </c>
      <c r="C409">
        <v>0.65957290999999996</v>
      </c>
    </row>
    <row r="410" spans="1:3" x14ac:dyDescent="0.25">
      <c r="A410">
        <v>410470016052</v>
      </c>
      <c r="B410">
        <v>151</v>
      </c>
      <c r="C410">
        <v>0.33171295000000001</v>
      </c>
    </row>
    <row r="411" spans="1:3" x14ac:dyDescent="0.25">
      <c r="A411">
        <v>410470016052</v>
      </c>
      <c r="B411">
        <v>158</v>
      </c>
      <c r="C411">
        <v>1.0859699999999999E-3</v>
      </c>
    </row>
    <row r="412" spans="1:3" x14ac:dyDescent="0.25">
      <c r="A412">
        <v>410470016052</v>
      </c>
      <c r="B412">
        <v>213</v>
      </c>
      <c r="C412">
        <v>2.2734700000000001E-3</v>
      </c>
    </row>
    <row r="413" spans="1:3" x14ac:dyDescent="0.25">
      <c r="A413">
        <v>410470016052</v>
      </c>
      <c r="B413">
        <v>214</v>
      </c>
      <c r="C413">
        <v>5.3269900000000002E-3</v>
      </c>
    </row>
    <row r="414" spans="1:3" x14ac:dyDescent="0.25">
      <c r="A414">
        <v>410470016052</v>
      </c>
      <c r="B414">
        <v>284</v>
      </c>
      <c r="C414">
        <v>2.775E-5</v>
      </c>
    </row>
    <row r="415" spans="1:3" x14ac:dyDescent="0.25">
      <c r="A415">
        <v>410470016061</v>
      </c>
      <c r="B415">
        <v>147</v>
      </c>
      <c r="C415">
        <v>1.2693299999999999E-3</v>
      </c>
    </row>
    <row r="416" spans="1:3" x14ac:dyDescent="0.25">
      <c r="A416">
        <v>410470016061</v>
      </c>
      <c r="B416">
        <v>148</v>
      </c>
      <c r="C416">
        <v>0.97609615999999999</v>
      </c>
    </row>
    <row r="417" spans="1:3" x14ac:dyDescent="0.25">
      <c r="A417">
        <v>410470016061</v>
      </c>
      <c r="B417">
        <v>149</v>
      </c>
      <c r="C417">
        <v>1.778594E-2</v>
      </c>
    </row>
    <row r="418" spans="1:3" x14ac:dyDescent="0.25">
      <c r="A418">
        <v>410470016061</v>
      </c>
      <c r="B418">
        <v>154</v>
      </c>
      <c r="C418">
        <v>1.4052400000000001E-3</v>
      </c>
    </row>
    <row r="419" spans="1:3" x14ac:dyDescent="0.25">
      <c r="A419">
        <v>410470016061</v>
      </c>
      <c r="B419">
        <v>155</v>
      </c>
      <c r="C419">
        <v>3.4433399999999996E-3</v>
      </c>
    </row>
    <row r="420" spans="1:3" x14ac:dyDescent="0.25">
      <c r="A420">
        <v>410470016062</v>
      </c>
      <c r="B420">
        <v>146</v>
      </c>
      <c r="C420">
        <v>9.7471999999999999E-4</v>
      </c>
    </row>
    <row r="421" spans="1:3" x14ac:dyDescent="0.25">
      <c r="A421">
        <v>410470016062</v>
      </c>
      <c r="B421">
        <v>147</v>
      </c>
      <c r="C421">
        <v>0.98503496000000001</v>
      </c>
    </row>
    <row r="422" spans="1:3" x14ac:dyDescent="0.25">
      <c r="A422">
        <v>410470016062</v>
      </c>
      <c r="B422">
        <v>148</v>
      </c>
      <c r="C422">
        <v>1.2081100000000001E-3</v>
      </c>
    </row>
    <row r="423" spans="1:3" x14ac:dyDescent="0.25">
      <c r="A423">
        <v>410470016062</v>
      </c>
      <c r="B423">
        <v>149</v>
      </c>
      <c r="C423">
        <v>1.278224E-2</v>
      </c>
    </row>
    <row r="424" spans="1:3" x14ac:dyDescent="0.25">
      <c r="A424">
        <v>410470016063</v>
      </c>
      <c r="B424">
        <v>141</v>
      </c>
      <c r="C424">
        <v>7.5890000000000007E-5</v>
      </c>
    </row>
    <row r="425" spans="1:3" x14ac:dyDescent="0.25">
      <c r="A425">
        <v>410470016063</v>
      </c>
      <c r="B425">
        <v>146</v>
      </c>
      <c r="C425">
        <v>7.1231280000000008E-2</v>
      </c>
    </row>
    <row r="426" spans="1:3" x14ac:dyDescent="0.25">
      <c r="A426">
        <v>410470016063</v>
      </c>
      <c r="B426">
        <v>149</v>
      </c>
      <c r="C426">
        <v>0.90656707999999997</v>
      </c>
    </row>
    <row r="427" spans="1:3" x14ac:dyDescent="0.25">
      <c r="A427">
        <v>410470016063</v>
      </c>
      <c r="B427">
        <v>150</v>
      </c>
      <c r="C427">
        <v>1.8129650000000001E-2</v>
      </c>
    </row>
    <row r="428" spans="1:3" x14ac:dyDescent="0.25">
      <c r="A428">
        <v>410470016063</v>
      </c>
      <c r="B428">
        <v>151</v>
      </c>
      <c r="C428">
        <v>3.2234200000000003E-3</v>
      </c>
    </row>
    <row r="429" spans="1:3" x14ac:dyDescent="0.25">
      <c r="A429">
        <v>410470016063</v>
      </c>
      <c r="B429">
        <v>155</v>
      </c>
      <c r="C429">
        <v>7.1607000000000007E-4</v>
      </c>
    </row>
    <row r="430" spans="1:3" x14ac:dyDescent="0.25">
      <c r="A430">
        <v>410470016063</v>
      </c>
      <c r="B430">
        <v>156</v>
      </c>
      <c r="C430">
        <v>5.6579999999999997E-5</v>
      </c>
    </row>
    <row r="431" spans="1:3" x14ac:dyDescent="0.25">
      <c r="A431">
        <v>410470016071</v>
      </c>
      <c r="B431">
        <v>151</v>
      </c>
      <c r="C431">
        <v>4.4274000000000001E-4</v>
      </c>
    </row>
    <row r="432" spans="1:3" x14ac:dyDescent="0.25">
      <c r="A432">
        <v>410470016071</v>
      </c>
      <c r="B432">
        <v>158</v>
      </c>
      <c r="C432">
        <v>0.98902131999999998</v>
      </c>
    </row>
    <row r="433" spans="1:3" x14ac:dyDescent="0.25">
      <c r="A433">
        <v>410470016071</v>
      </c>
      <c r="B433">
        <v>164</v>
      </c>
      <c r="C433">
        <v>1.51851E-3</v>
      </c>
    </row>
    <row r="434" spans="1:3" x14ac:dyDescent="0.25">
      <c r="A434">
        <v>410470016071</v>
      </c>
      <c r="B434">
        <v>284</v>
      </c>
      <c r="C434">
        <v>9.0100700000000002E-3</v>
      </c>
    </row>
    <row r="435" spans="1:3" x14ac:dyDescent="0.25">
      <c r="A435">
        <v>410470016071</v>
      </c>
      <c r="B435">
        <v>286</v>
      </c>
      <c r="C435">
        <v>7.3899999999999995E-6</v>
      </c>
    </row>
    <row r="436" spans="1:3" x14ac:dyDescent="0.25">
      <c r="A436">
        <v>410470016072</v>
      </c>
      <c r="B436">
        <v>149</v>
      </c>
      <c r="C436">
        <v>4.2483000000000001E-4</v>
      </c>
    </row>
    <row r="437" spans="1:3" x14ac:dyDescent="0.25">
      <c r="A437">
        <v>410470016072</v>
      </c>
      <c r="B437">
        <v>151</v>
      </c>
      <c r="C437">
        <v>1.6399999999999999E-5</v>
      </c>
    </row>
    <row r="438" spans="1:3" x14ac:dyDescent="0.25">
      <c r="A438">
        <v>410470016072</v>
      </c>
      <c r="B438">
        <v>156</v>
      </c>
      <c r="C438">
        <v>0.55822612999999999</v>
      </c>
    </row>
    <row r="439" spans="1:3" x14ac:dyDescent="0.25">
      <c r="A439">
        <v>410470016072</v>
      </c>
      <c r="B439">
        <v>158</v>
      </c>
      <c r="C439">
        <v>2.0122189999999998E-2</v>
      </c>
    </row>
    <row r="440" spans="1:3" x14ac:dyDescent="0.25">
      <c r="A440">
        <v>410470016072</v>
      </c>
      <c r="B440">
        <v>162</v>
      </c>
      <c r="C440">
        <v>0.42085328999999999</v>
      </c>
    </row>
    <row r="441" spans="1:3" x14ac:dyDescent="0.25">
      <c r="A441">
        <v>410470016072</v>
      </c>
      <c r="B441">
        <v>164</v>
      </c>
      <c r="C441">
        <v>3.5715999999999998E-4</v>
      </c>
    </row>
    <row r="442" spans="1:3" x14ac:dyDescent="0.25">
      <c r="A442">
        <v>410470016081</v>
      </c>
      <c r="B442">
        <v>154</v>
      </c>
      <c r="C442">
        <v>0.50918682999999998</v>
      </c>
    </row>
    <row r="443" spans="1:3" x14ac:dyDescent="0.25">
      <c r="A443">
        <v>410470016081</v>
      </c>
      <c r="B443">
        <v>155</v>
      </c>
      <c r="C443">
        <v>0.48356226000000002</v>
      </c>
    </row>
    <row r="444" spans="1:3" x14ac:dyDescent="0.25">
      <c r="A444">
        <v>410470016081</v>
      </c>
      <c r="B444">
        <v>156</v>
      </c>
      <c r="C444">
        <v>1.5307399999999998E-3</v>
      </c>
    </row>
    <row r="445" spans="1:3" x14ac:dyDescent="0.25">
      <c r="A445">
        <v>410470016081</v>
      </c>
      <c r="B445">
        <v>162</v>
      </c>
      <c r="C445">
        <v>5.0987800000000007E-3</v>
      </c>
    </row>
    <row r="446" spans="1:3" x14ac:dyDescent="0.25">
      <c r="A446">
        <v>410470016081</v>
      </c>
      <c r="B446">
        <v>168</v>
      </c>
      <c r="C446">
        <v>6.2137999999999994E-4</v>
      </c>
    </row>
    <row r="447" spans="1:3" x14ac:dyDescent="0.25">
      <c r="A447">
        <v>410470016082</v>
      </c>
      <c r="B447">
        <v>154</v>
      </c>
      <c r="C447">
        <v>0.37100997000000002</v>
      </c>
    </row>
    <row r="448" spans="1:3" x14ac:dyDescent="0.25">
      <c r="A448">
        <v>410470016082</v>
      </c>
      <c r="B448">
        <v>155</v>
      </c>
      <c r="C448">
        <v>0.61935121999999998</v>
      </c>
    </row>
    <row r="449" spans="1:3" x14ac:dyDescent="0.25">
      <c r="A449">
        <v>410470016082</v>
      </c>
      <c r="B449">
        <v>156</v>
      </c>
      <c r="C449">
        <v>9.6388099999999994E-3</v>
      </c>
    </row>
    <row r="450" spans="1:3" x14ac:dyDescent="0.25">
      <c r="A450">
        <v>410470017011</v>
      </c>
      <c r="B450">
        <v>155</v>
      </c>
      <c r="C450">
        <v>7.5199000000000002E-4</v>
      </c>
    </row>
    <row r="451" spans="1:3" x14ac:dyDescent="0.25">
      <c r="A451">
        <v>410470017011</v>
      </c>
      <c r="B451">
        <v>162</v>
      </c>
      <c r="C451">
        <v>4.2485E-4</v>
      </c>
    </row>
    <row r="452" spans="1:3" x14ac:dyDescent="0.25">
      <c r="A452">
        <v>410470017011</v>
      </c>
      <c r="B452">
        <v>164</v>
      </c>
      <c r="C452">
        <v>0.96676136000000001</v>
      </c>
    </row>
    <row r="453" spans="1:3" x14ac:dyDescent="0.25">
      <c r="A453">
        <v>410470017011</v>
      </c>
      <c r="B453">
        <v>173</v>
      </c>
      <c r="C453">
        <v>2.8078699999999998E-2</v>
      </c>
    </row>
    <row r="454" spans="1:3" x14ac:dyDescent="0.25">
      <c r="A454">
        <v>410470017011</v>
      </c>
      <c r="B454">
        <v>286</v>
      </c>
      <c r="C454">
        <v>3.9831299999999997E-3</v>
      </c>
    </row>
    <row r="455" spans="1:3" x14ac:dyDescent="0.25">
      <c r="A455">
        <v>410470017012</v>
      </c>
      <c r="B455">
        <v>164</v>
      </c>
      <c r="C455">
        <v>4.6280000000000004E-5</v>
      </c>
    </row>
    <row r="456" spans="1:3" x14ac:dyDescent="0.25">
      <c r="A456">
        <v>410470017012</v>
      </c>
      <c r="B456">
        <v>173</v>
      </c>
      <c r="C456">
        <v>0.70149154999999996</v>
      </c>
    </row>
    <row r="457" spans="1:3" x14ac:dyDescent="0.25">
      <c r="A457">
        <v>410470017012</v>
      </c>
      <c r="B457">
        <v>180</v>
      </c>
      <c r="C457">
        <v>0.28464720999999998</v>
      </c>
    </row>
    <row r="458" spans="1:3" x14ac:dyDescent="0.25">
      <c r="A458">
        <v>410470017012</v>
      </c>
      <c r="B458">
        <v>286</v>
      </c>
      <c r="C458">
        <v>8.8196699999999999E-3</v>
      </c>
    </row>
    <row r="459" spans="1:3" x14ac:dyDescent="0.25">
      <c r="A459">
        <v>410470017012</v>
      </c>
      <c r="B459">
        <v>296</v>
      </c>
      <c r="C459">
        <v>4.9952900000000003E-3</v>
      </c>
    </row>
    <row r="460" spans="1:3" x14ac:dyDescent="0.25">
      <c r="A460">
        <v>410470017013</v>
      </c>
      <c r="B460">
        <v>173</v>
      </c>
      <c r="C460">
        <v>3.8018999999999998E-4</v>
      </c>
    </row>
    <row r="461" spans="1:3" x14ac:dyDescent="0.25">
      <c r="A461">
        <v>410470017013</v>
      </c>
      <c r="B461">
        <v>180</v>
      </c>
      <c r="C461">
        <v>0.98718266999999993</v>
      </c>
    </row>
    <row r="462" spans="1:3" x14ac:dyDescent="0.25">
      <c r="A462">
        <v>410470017013</v>
      </c>
      <c r="B462">
        <v>189</v>
      </c>
      <c r="C462">
        <v>2.7419E-4</v>
      </c>
    </row>
    <row r="463" spans="1:3" x14ac:dyDescent="0.25">
      <c r="A463">
        <v>410470017013</v>
      </c>
      <c r="B463">
        <v>296</v>
      </c>
      <c r="C463">
        <v>2.5620000000000002E-5</v>
      </c>
    </row>
    <row r="464" spans="1:3" x14ac:dyDescent="0.25">
      <c r="A464">
        <v>410470017013</v>
      </c>
      <c r="B464">
        <v>300</v>
      </c>
      <c r="C464">
        <v>1.2137340000000002E-2</v>
      </c>
    </row>
    <row r="465" spans="1:3" x14ac:dyDescent="0.25">
      <c r="A465">
        <v>410470017021</v>
      </c>
      <c r="B465">
        <v>168</v>
      </c>
      <c r="C465">
        <v>6.1216199999999995E-3</v>
      </c>
    </row>
    <row r="466" spans="1:3" x14ac:dyDescent="0.25">
      <c r="A466">
        <v>410470017021</v>
      </c>
      <c r="B466">
        <v>172</v>
      </c>
      <c r="C466">
        <v>0.98079031999999999</v>
      </c>
    </row>
    <row r="467" spans="1:3" x14ac:dyDescent="0.25">
      <c r="A467">
        <v>410470017021</v>
      </c>
      <c r="B467">
        <v>173</v>
      </c>
      <c r="C467">
        <v>1.308805E-2</v>
      </c>
    </row>
    <row r="468" spans="1:3" x14ac:dyDescent="0.25">
      <c r="A468">
        <v>410470017022</v>
      </c>
      <c r="B468">
        <v>154</v>
      </c>
      <c r="C468">
        <v>1.9615399999999999E-3</v>
      </c>
    </row>
    <row r="469" spans="1:3" x14ac:dyDescent="0.25">
      <c r="A469">
        <v>410470017022</v>
      </c>
      <c r="B469">
        <v>155</v>
      </c>
      <c r="C469">
        <v>1.8476E-3</v>
      </c>
    </row>
    <row r="470" spans="1:3" x14ac:dyDescent="0.25">
      <c r="A470">
        <v>410470017022</v>
      </c>
      <c r="B470">
        <v>164</v>
      </c>
      <c r="C470">
        <v>4.11204E-3</v>
      </c>
    </row>
    <row r="471" spans="1:3" x14ac:dyDescent="0.25">
      <c r="A471">
        <v>410470017022</v>
      </c>
      <c r="B471">
        <v>168</v>
      </c>
      <c r="C471">
        <v>0.9291496600000001</v>
      </c>
    </row>
    <row r="472" spans="1:3" x14ac:dyDescent="0.25">
      <c r="A472">
        <v>410470017022</v>
      </c>
      <c r="B472">
        <v>172</v>
      </c>
      <c r="C472">
        <v>6.2307759999999997E-2</v>
      </c>
    </row>
    <row r="473" spans="1:3" x14ac:dyDescent="0.25">
      <c r="A473">
        <v>410470017022</v>
      </c>
      <c r="B473">
        <v>173</v>
      </c>
      <c r="C473">
        <v>6.2137999999999994E-4</v>
      </c>
    </row>
    <row r="474" spans="1:3" x14ac:dyDescent="0.25">
      <c r="A474">
        <v>410470017023</v>
      </c>
      <c r="B474">
        <v>164</v>
      </c>
      <c r="C474">
        <v>4.905E-5</v>
      </c>
    </row>
    <row r="475" spans="1:3" x14ac:dyDescent="0.25">
      <c r="A475">
        <v>410470017023</v>
      </c>
      <c r="B475">
        <v>173</v>
      </c>
      <c r="C475">
        <v>0.99995096999999999</v>
      </c>
    </row>
    <row r="476" spans="1:3" x14ac:dyDescent="0.25">
      <c r="A476">
        <v>410470017031</v>
      </c>
      <c r="B476">
        <v>153</v>
      </c>
      <c r="C476">
        <v>4.0877999999999997E-4</v>
      </c>
    </row>
    <row r="477" spans="1:3" x14ac:dyDescent="0.25">
      <c r="A477">
        <v>410470017031</v>
      </c>
      <c r="B477">
        <v>168</v>
      </c>
      <c r="C477">
        <v>8.4564999999999998E-4</v>
      </c>
    </row>
    <row r="478" spans="1:3" x14ac:dyDescent="0.25">
      <c r="A478">
        <v>410470017031</v>
      </c>
      <c r="B478">
        <v>169</v>
      </c>
      <c r="C478">
        <v>9.1617650000000009E-2</v>
      </c>
    </row>
    <row r="479" spans="1:3" x14ac:dyDescent="0.25">
      <c r="A479">
        <v>410470017031</v>
      </c>
      <c r="B479">
        <v>170</v>
      </c>
      <c r="C479">
        <v>0.3602687</v>
      </c>
    </row>
    <row r="480" spans="1:3" x14ac:dyDescent="0.25">
      <c r="A480">
        <v>410470017031</v>
      </c>
      <c r="B480">
        <v>171</v>
      </c>
      <c r="C480">
        <v>0.16388905999999998</v>
      </c>
    </row>
    <row r="481" spans="1:3" x14ac:dyDescent="0.25">
      <c r="A481">
        <v>410470017031</v>
      </c>
      <c r="B481">
        <v>172</v>
      </c>
      <c r="C481">
        <v>1.54996E-3</v>
      </c>
    </row>
    <row r="482" spans="1:3" x14ac:dyDescent="0.25">
      <c r="A482">
        <v>410470017031</v>
      </c>
      <c r="B482">
        <v>180</v>
      </c>
      <c r="C482">
        <v>5.4936999999999998E-4</v>
      </c>
    </row>
    <row r="483" spans="1:3" x14ac:dyDescent="0.25">
      <c r="A483">
        <v>410470017031</v>
      </c>
      <c r="B483">
        <v>185</v>
      </c>
      <c r="C483">
        <v>0.36958587000000004</v>
      </c>
    </row>
    <row r="484" spans="1:3" x14ac:dyDescent="0.25">
      <c r="A484">
        <v>410470017031</v>
      </c>
      <c r="B484">
        <v>186</v>
      </c>
      <c r="C484">
        <v>6.5313999999999997E-4</v>
      </c>
    </row>
    <row r="485" spans="1:3" x14ac:dyDescent="0.25">
      <c r="A485">
        <v>410470017031</v>
      </c>
      <c r="B485">
        <v>189</v>
      </c>
      <c r="C485">
        <v>1.9599999999999999E-5</v>
      </c>
    </row>
    <row r="486" spans="1:3" x14ac:dyDescent="0.25">
      <c r="A486">
        <v>410470017031</v>
      </c>
      <c r="B486">
        <v>193</v>
      </c>
      <c r="C486">
        <v>1.061223E-2</v>
      </c>
    </row>
    <row r="487" spans="1:3" x14ac:dyDescent="0.25">
      <c r="A487">
        <v>410470017032</v>
      </c>
      <c r="B487">
        <v>172</v>
      </c>
      <c r="C487">
        <v>1.012367E-2</v>
      </c>
    </row>
    <row r="488" spans="1:3" x14ac:dyDescent="0.25">
      <c r="A488">
        <v>410470017032</v>
      </c>
      <c r="B488">
        <v>173</v>
      </c>
      <c r="C488">
        <v>1.9127E-3</v>
      </c>
    </row>
    <row r="489" spans="1:3" x14ac:dyDescent="0.25">
      <c r="A489">
        <v>410470017032</v>
      </c>
      <c r="B489">
        <v>180</v>
      </c>
      <c r="C489">
        <v>0.67600853000000005</v>
      </c>
    </row>
    <row r="490" spans="1:3" x14ac:dyDescent="0.25">
      <c r="A490">
        <v>410470017032</v>
      </c>
      <c r="B490">
        <v>186</v>
      </c>
      <c r="C490">
        <v>0.30536809000000004</v>
      </c>
    </row>
    <row r="491" spans="1:3" x14ac:dyDescent="0.25">
      <c r="A491">
        <v>410470017032</v>
      </c>
      <c r="B491">
        <v>189</v>
      </c>
      <c r="C491">
        <v>6.5870099999999999E-3</v>
      </c>
    </row>
    <row r="492" spans="1:3" x14ac:dyDescent="0.25">
      <c r="A492">
        <v>410470017033</v>
      </c>
      <c r="B492">
        <v>172</v>
      </c>
      <c r="C492">
        <v>1</v>
      </c>
    </row>
    <row r="493" spans="1:3" x14ac:dyDescent="0.25">
      <c r="A493">
        <v>410470018011</v>
      </c>
      <c r="B493">
        <v>180</v>
      </c>
      <c r="C493">
        <v>1.2396219999999999E-2</v>
      </c>
    </row>
    <row r="494" spans="1:3" x14ac:dyDescent="0.25">
      <c r="A494">
        <v>410470018011</v>
      </c>
      <c r="B494">
        <v>189</v>
      </c>
      <c r="C494">
        <v>0.98342541999999999</v>
      </c>
    </row>
    <row r="495" spans="1:3" x14ac:dyDescent="0.25">
      <c r="A495">
        <v>410470018011</v>
      </c>
      <c r="B495">
        <v>194</v>
      </c>
      <c r="C495">
        <v>2.2742999999999998E-4</v>
      </c>
    </row>
    <row r="496" spans="1:3" x14ac:dyDescent="0.25">
      <c r="A496">
        <v>410470018011</v>
      </c>
      <c r="B496">
        <v>196</v>
      </c>
      <c r="C496">
        <v>9.6229999999999992E-5</v>
      </c>
    </row>
    <row r="497" spans="1:3" x14ac:dyDescent="0.25">
      <c r="A497">
        <v>410470018011</v>
      </c>
      <c r="B497">
        <v>300</v>
      </c>
      <c r="C497">
        <v>3.84645E-3</v>
      </c>
    </row>
    <row r="498" spans="1:3" x14ac:dyDescent="0.25">
      <c r="A498">
        <v>410470018011</v>
      </c>
      <c r="B498">
        <v>304</v>
      </c>
      <c r="C498">
        <v>8.2800000000000003E-6</v>
      </c>
    </row>
    <row r="499" spans="1:3" x14ac:dyDescent="0.25">
      <c r="A499">
        <v>410470018012</v>
      </c>
      <c r="B499">
        <v>189</v>
      </c>
      <c r="C499">
        <v>4.1525999999999998E-4</v>
      </c>
    </row>
    <row r="500" spans="1:3" x14ac:dyDescent="0.25">
      <c r="A500">
        <v>410470018012</v>
      </c>
      <c r="B500">
        <v>194</v>
      </c>
      <c r="C500">
        <v>0.86234977999999995</v>
      </c>
    </row>
    <row r="501" spans="1:3" x14ac:dyDescent="0.25">
      <c r="A501">
        <v>410470018012</v>
      </c>
      <c r="B501">
        <v>196</v>
      </c>
      <c r="C501">
        <v>0.12537214999999999</v>
      </c>
    </row>
    <row r="502" spans="1:3" x14ac:dyDescent="0.25">
      <c r="A502">
        <v>410470018012</v>
      </c>
      <c r="B502">
        <v>304</v>
      </c>
      <c r="C502">
        <v>1.18628E-2</v>
      </c>
    </row>
    <row r="503" spans="1:3" x14ac:dyDescent="0.25">
      <c r="A503">
        <v>410470018013</v>
      </c>
      <c r="B503">
        <v>194</v>
      </c>
      <c r="C503">
        <v>6.6112300000000001E-3</v>
      </c>
    </row>
    <row r="504" spans="1:3" x14ac:dyDescent="0.25">
      <c r="A504">
        <v>410470018013</v>
      </c>
      <c r="B504">
        <v>196</v>
      </c>
      <c r="C504">
        <v>0.99324911999999999</v>
      </c>
    </row>
    <row r="505" spans="1:3" x14ac:dyDescent="0.25">
      <c r="A505">
        <v>410470018013</v>
      </c>
      <c r="B505">
        <v>200</v>
      </c>
      <c r="C505">
        <v>1.3967999999999999E-4</v>
      </c>
    </row>
    <row r="506" spans="1:3" x14ac:dyDescent="0.25">
      <c r="A506">
        <v>410470018014</v>
      </c>
      <c r="B506">
        <v>189</v>
      </c>
      <c r="C506">
        <v>1.041776E-2</v>
      </c>
    </row>
    <row r="507" spans="1:3" x14ac:dyDescent="0.25">
      <c r="A507">
        <v>410470018014</v>
      </c>
      <c r="B507">
        <v>194</v>
      </c>
      <c r="C507">
        <v>8.3167999999999992E-3</v>
      </c>
    </row>
    <row r="508" spans="1:3" x14ac:dyDescent="0.25">
      <c r="A508">
        <v>410470018014</v>
      </c>
      <c r="B508">
        <v>196</v>
      </c>
      <c r="C508">
        <v>0.98126542000000005</v>
      </c>
    </row>
    <row r="509" spans="1:3" x14ac:dyDescent="0.25">
      <c r="A509">
        <v>410470018021</v>
      </c>
      <c r="B509">
        <v>189</v>
      </c>
      <c r="C509">
        <v>3.5367000000000005E-4</v>
      </c>
    </row>
    <row r="510" spans="1:3" x14ac:dyDescent="0.25">
      <c r="A510">
        <v>410470018021</v>
      </c>
      <c r="B510">
        <v>193</v>
      </c>
      <c r="C510">
        <v>0.12725934999999999</v>
      </c>
    </row>
    <row r="511" spans="1:3" x14ac:dyDescent="0.25">
      <c r="A511">
        <v>410470018021</v>
      </c>
      <c r="B511">
        <v>196</v>
      </c>
      <c r="C511">
        <v>3.7919439999999999E-2</v>
      </c>
    </row>
    <row r="512" spans="1:3" x14ac:dyDescent="0.25">
      <c r="A512">
        <v>410470018021</v>
      </c>
      <c r="B512">
        <v>204</v>
      </c>
      <c r="C512">
        <v>7.2196850000000007E-2</v>
      </c>
    </row>
    <row r="513" spans="1:3" x14ac:dyDescent="0.25">
      <c r="A513">
        <v>410470018021</v>
      </c>
      <c r="B513">
        <v>205</v>
      </c>
      <c r="C513">
        <v>0.29525889999999999</v>
      </c>
    </row>
    <row r="514" spans="1:3" x14ac:dyDescent="0.25">
      <c r="A514">
        <v>410470018021</v>
      </c>
      <c r="B514">
        <v>206</v>
      </c>
      <c r="C514">
        <v>0.46662486999999997</v>
      </c>
    </row>
    <row r="515" spans="1:3" x14ac:dyDescent="0.25">
      <c r="A515">
        <v>410470018021</v>
      </c>
      <c r="B515">
        <v>207</v>
      </c>
      <c r="C515">
        <v>7.5140000000000002E-5</v>
      </c>
    </row>
    <row r="516" spans="1:3" x14ac:dyDescent="0.25">
      <c r="A516">
        <v>410470018021</v>
      </c>
      <c r="B516">
        <v>395</v>
      </c>
      <c r="C516">
        <v>3.1178999999999999E-4</v>
      </c>
    </row>
    <row r="517" spans="1:3" x14ac:dyDescent="0.25">
      <c r="A517">
        <v>410470018022</v>
      </c>
      <c r="B517">
        <v>189</v>
      </c>
      <c r="C517">
        <v>1.2021489999999999E-2</v>
      </c>
    </row>
    <row r="518" spans="1:3" x14ac:dyDescent="0.25">
      <c r="A518">
        <v>410470018022</v>
      </c>
      <c r="B518">
        <v>196</v>
      </c>
      <c r="C518">
        <v>0.98797850999999992</v>
      </c>
    </row>
    <row r="519" spans="1:3" x14ac:dyDescent="0.25">
      <c r="A519">
        <v>410470018023</v>
      </c>
      <c r="B519">
        <v>196</v>
      </c>
      <c r="C519">
        <v>1</v>
      </c>
    </row>
    <row r="520" spans="1:3" x14ac:dyDescent="0.25">
      <c r="A520">
        <v>410470018024</v>
      </c>
      <c r="B520">
        <v>194</v>
      </c>
      <c r="C520">
        <v>2.2922799999999998E-3</v>
      </c>
    </row>
    <row r="521" spans="1:3" x14ac:dyDescent="0.25">
      <c r="A521">
        <v>410470018024</v>
      </c>
      <c r="B521">
        <v>196</v>
      </c>
      <c r="C521">
        <v>0.66229333000000001</v>
      </c>
    </row>
    <row r="522" spans="1:3" x14ac:dyDescent="0.25">
      <c r="A522">
        <v>410470018024</v>
      </c>
      <c r="B522">
        <v>200</v>
      </c>
      <c r="C522">
        <v>0.33438141999999998</v>
      </c>
    </row>
    <row r="523" spans="1:3" x14ac:dyDescent="0.25">
      <c r="A523">
        <v>410470018024</v>
      </c>
      <c r="B523">
        <v>204</v>
      </c>
      <c r="C523">
        <v>5.2255999999999993E-4</v>
      </c>
    </row>
    <row r="524" spans="1:3" x14ac:dyDescent="0.25">
      <c r="A524">
        <v>410470018024</v>
      </c>
      <c r="B524">
        <v>205</v>
      </c>
      <c r="C524">
        <v>5.1035999999999996E-4</v>
      </c>
    </row>
    <row r="525" spans="1:3" x14ac:dyDescent="0.25">
      <c r="A525">
        <v>410470018025</v>
      </c>
      <c r="B525">
        <v>196</v>
      </c>
      <c r="C525">
        <v>0.99453721000000006</v>
      </c>
    </row>
    <row r="526" spans="1:3" x14ac:dyDescent="0.25">
      <c r="A526">
        <v>410470018025</v>
      </c>
      <c r="B526">
        <v>200</v>
      </c>
      <c r="C526">
        <v>4.2555199999999996E-3</v>
      </c>
    </row>
    <row r="527" spans="1:3" x14ac:dyDescent="0.25">
      <c r="A527">
        <v>410470018025</v>
      </c>
      <c r="B527">
        <v>205</v>
      </c>
      <c r="C527">
        <v>3.0519999999999999E-5</v>
      </c>
    </row>
    <row r="528" spans="1:3" x14ac:dyDescent="0.25">
      <c r="A528">
        <v>410470018025</v>
      </c>
      <c r="B528">
        <v>206</v>
      </c>
      <c r="C528">
        <v>1.17673E-3</v>
      </c>
    </row>
    <row r="529" spans="1:3" x14ac:dyDescent="0.25">
      <c r="A529">
        <v>410470018031</v>
      </c>
      <c r="B529">
        <v>194</v>
      </c>
      <c r="C529">
        <v>4.8570000000000004E-5</v>
      </c>
    </row>
    <row r="530" spans="1:3" x14ac:dyDescent="0.25">
      <c r="A530">
        <v>410470018031</v>
      </c>
      <c r="B530">
        <v>196</v>
      </c>
      <c r="C530">
        <v>4.0972700000000001E-3</v>
      </c>
    </row>
    <row r="531" spans="1:3" x14ac:dyDescent="0.25">
      <c r="A531">
        <v>410470018031</v>
      </c>
      <c r="B531">
        <v>200</v>
      </c>
      <c r="C531">
        <v>4.6249099999999994E-3</v>
      </c>
    </row>
    <row r="532" spans="1:3" x14ac:dyDescent="0.25">
      <c r="A532">
        <v>410470018031</v>
      </c>
      <c r="B532">
        <v>204</v>
      </c>
      <c r="C532">
        <v>8.7449999999999998E-5</v>
      </c>
    </row>
    <row r="533" spans="1:3" x14ac:dyDescent="0.25">
      <c r="A533">
        <v>410470018031</v>
      </c>
      <c r="B533">
        <v>395</v>
      </c>
      <c r="C533">
        <v>1.4201419999999999E-2</v>
      </c>
    </row>
    <row r="534" spans="1:3" x14ac:dyDescent="0.25">
      <c r="A534">
        <v>410470018031</v>
      </c>
      <c r="B534">
        <v>396</v>
      </c>
      <c r="C534">
        <v>0.97694042999999997</v>
      </c>
    </row>
    <row r="535" spans="1:3" x14ac:dyDescent="0.25">
      <c r="A535">
        <v>410470018032</v>
      </c>
      <c r="B535">
        <v>194</v>
      </c>
      <c r="C535">
        <v>5.1966000000000002E-4</v>
      </c>
    </row>
    <row r="536" spans="1:3" x14ac:dyDescent="0.25">
      <c r="A536">
        <v>410470018032</v>
      </c>
      <c r="B536">
        <v>204</v>
      </c>
      <c r="C536">
        <v>6.7663E-4</v>
      </c>
    </row>
    <row r="537" spans="1:3" x14ac:dyDescent="0.25">
      <c r="A537">
        <v>410470018032</v>
      </c>
      <c r="B537">
        <v>207</v>
      </c>
      <c r="C537">
        <v>1.0360000000000001E-5</v>
      </c>
    </row>
    <row r="538" spans="1:3" x14ac:dyDescent="0.25">
      <c r="A538">
        <v>410470018032</v>
      </c>
      <c r="B538">
        <v>304</v>
      </c>
      <c r="C538">
        <v>3.9099999999999998E-6</v>
      </c>
    </row>
    <row r="539" spans="1:3" x14ac:dyDescent="0.25">
      <c r="A539">
        <v>410470018032</v>
      </c>
      <c r="B539">
        <v>354</v>
      </c>
      <c r="C539">
        <v>2.5517000000000001E-3</v>
      </c>
    </row>
    <row r="540" spans="1:3" x14ac:dyDescent="0.25">
      <c r="A540">
        <v>410470018032</v>
      </c>
      <c r="B540">
        <v>373</v>
      </c>
      <c r="C540">
        <v>9.5212000000000009E-4</v>
      </c>
    </row>
    <row r="541" spans="1:3" x14ac:dyDescent="0.25">
      <c r="A541">
        <v>410470018032</v>
      </c>
      <c r="B541">
        <v>395</v>
      </c>
      <c r="C541">
        <v>0.85620982999999995</v>
      </c>
    </row>
    <row r="542" spans="1:3" x14ac:dyDescent="0.25">
      <c r="A542">
        <v>410470018032</v>
      </c>
      <c r="B542">
        <v>396</v>
      </c>
      <c r="C542">
        <v>2.9390999999999998E-4</v>
      </c>
    </row>
    <row r="543" spans="1:3" x14ac:dyDescent="0.25">
      <c r="A543">
        <v>410470018032</v>
      </c>
      <c r="B543">
        <v>411</v>
      </c>
      <c r="C543">
        <v>6.0989099999999997E-2</v>
      </c>
    </row>
    <row r="544" spans="1:3" x14ac:dyDescent="0.25">
      <c r="A544">
        <v>410470018032</v>
      </c>
      <c r="B544">
        <v>414</v>
      </c>
      <c r="C544">
        <v>1.196915E-2</v>
      </c>
    </row>
    <row r="545" spans="1:3" x14ac:dyDescent="0.25">
      <c r="A545">
        <v>410470018032</v>
      </c>
      <c r="B545">
        <v>415</v>
      </c>
      <c r="C545">
        <v>1.49129E-2</v>
      </c>
    </row>
    <row r="546" spans="1:3" x14ac:dyDescent="0.25">
      <c r="A546">
        <v>410470018032</v>
      </c>
      <c r="B546">
        <v>419</v>
      </c>
      <c r="C546">
        <v>1.3380000000000001E-5</v>
      </c>
    </row>
    <row r="547" spans="1:3" x14ac:dyDescent="0.25">
      <c r="A547">
        <v>410470018032</v>
      </c>
      <c r="B547">
        <v>420</v>
      </c>
      <c r="C547">
        <v>1.1591000000000001E-4</v>
      </c>
    </row>
    <row r="548" spans="1:3" x14ac:dyDescent="0.25">
      <c r="A548">
        <v>410470018032</v>
      </c>
      <c r="B548">
        <v>451</v>
      </c>
      <c r="C548">
        <v>5.0781449999999999E-2</v>
      </c>
    </row>
    <row r="549" spans="1:3" x14ac:dyDescent="0.25">
      <c r="A549">
        <v>410470020011</v>
      </c>
      <c r="B549">
        <v>350</v>
      </c>
      <c r="C549">
        <v>1.2059200000000001E-3</v>
      </c>
    </row>
    <row r="550" spans="1:3" x14ac:dyDescent="0.25">
      <c r="A550">
        <v>410470020011</v>
      </c>
      <c r="B550">
        <v>354</v>
      </c>
      <c r="C550">
        <v>1.282324E-2</v>
      </c>
    </row>
    <row r="551" spans="1:3" x14ac:dyDescent="0.25">
      <c r="A551">
        <v>410470020011</v>
      </c>
      <c r="B551">
        <v>357</v>
      </c>
      <c r="C551">
        <v>0.98593812000000003</v>
      </c>
    </row>
    <row r="552" spans="1:3" x14ac:dyDescent="0.25">
      <c r="A552">
        <v>410470020011</v>
      </c>
      <c r="B552">
        <v>368</v>
      </c>
      <c r="C552">
        <v>3.9569999999999996E-5</v>
      </c>
    </row>
    <row r="553" spans="1:3" x14ac:dyDescent="0.25">
      <c r="A553">
        <v>410470020012</v>
      </c>
      <c r="B553">
        <v>354</v>
      </c>
      <c r="C553">
        <v>7.9737000000000002E-3</v>
      </c>
    </row>
    <row r="554" spans="1:3" x14ac:dyDescent="0.25">
      <c r="A554">
        <v>410470020012</v>
      </c>
      <c r="B554">
        <v>357</v>
      </c>
      <c r="C554">
        <v>0.24467155999999998</v>
      </c>
    </row>
    <row r="555" spans="1:3" x14ac:dyDescent="0.25">
      <c r="A555">
        <v>410470020012</v>
      </c>
      <c r="B555">
        <v>368</v>
      </c>
      <c r="C555">
        <v>1.4725E-4</v>
      </c>
    </row>
    <row r="556" spans="1:3" x14ac:dyDescent="0.25">
      <c r="A556">
        <v>410470020012</v>
      </c>
      <c r="B556">
        <v>373</v>
      </c>
      <c r="C556">
        <v>1.660497E-2</v>
      </c>
    </row>
    <row r="557" spans="1:3" x14ac:dyDescent="0.25">
      <c r="A557">
        <v>410470020012</v>
      </c>
      <c r="B557">
        <v>374</v>
      </c>
      <c r="C557">
        <v>0.73033855999999997</v>
      </c>
    </row>
    <row r="558" spans="1:3" x14ac:dyDescent="0.25">
      <c r="A558">
        <v>410470020012</v>
      </c>
      <c r="B558">
        <v>388</v>
      </c>
      <c r="C558">
        <v>2.5048000000000003E-4</v>
      </c>
    </row>
    <row r="559" spans="1:3" x14ac:dyDescent="0.25">
      <c r="A559">
        <v>410470020012</v>
      </c>
      <c r="B559">
        <v>389</v>
      </c>
      <c r="C559">
        <v>1.3470000000000001E-5</v>
      </c>
    </row>
    <row r="560" spans="1:3" x14ac:dyDescent="0.25">
      <c r="A560">
        <v>410470020021</v>
      </c>
      <c r="B560">
        <v>354</v>
      </c>
      <c r="C560">
        <v>4.9833000000000006E-4</v>
      </c>
    </row>
    <row r="561" spans="1:3" x14ac:dyDescent="0.25">
      <c r="A561">
        <v>410470020021</v>
      </c>
      <c r="B561">
        <v>373</v>
      </c>
      <c r="C561">
        <v>0.9993244</v>
      </c>
    </row>
    <row r="562" spans="1:3" x14ac:dyDescent="0.25">
      <c r="A562">
        <v>410470020021</v>
      </c>
      <c r="B562">
        <v>374</v>
      </c>
      <c r="C562">
        <v>1.7726999999999999E-4</v>
      </c>
    </row>
    <row r="563" spans="1:3" x14ac:dyDescent="0.25">
      <c r="A563">
        <v>410470020022</v>
      </c>
      <c r="B563">
        <v>373</v>
      </c>
      <c r="C563">
        <v>7.3702900000000007E-3</v>
      </c>
    </row>
    <row r="564" spans="1:3" x14ac:dyDescent="0.25">
      <c r="A564">
        <v>410470020022</v>
      </c>
      <c r="B564">
        <v>374</v>
      </c>
      <c r="C564">
        <v>3.0586999999999997E-4</v>
      </c>
    </row>
    <row r="565" spans="1:3" x14ac:dyDescent="0.25">
      <c r="A565">
        <v>410470020022</v>
      </c>
      <c r="B565">
        <v>388</v>
      </c>
      <c r="C565">
        <v>0.39578435000000001</v>
      </c>
    </row>
    <row r="566" spans="1:3" x14ac:dyDescent="0.25">
      <c r="A566">
        <v>410470020022</v>
      </c>
      <c r="B566">
        <v>389</v>
      </c>
      <c r="C566">
        <v>0.59484755999999994</v>
      </c>
    </row>
    <row r="567" spans="1:3" x14ac:dyDescent="0.25">
      <c r="A567">
        <v>410470020022</v>
      </c>
      <c r="B567">
        <v>421</v>
      </c>
      <c r="C567">
        <v>1.84867E-3</v>
      </c>
    </row>
    <row r="568" spans="1:3" x14ac:dyDescent="0.25">
      <c r="A568">
        <v>410470021011</v>
      </c>
      <c r="B568">
        <v>323</v>
      </c>
      <c r="C568">
        <v>3.1851999999999998E-4</v>
      </c>
    </row>
    <row r="569" spans="1:3" x14ac:dyDescent="0.25">
      <c r="A569">
        <v>410470021011</v>
      </c>
      <c r="B569">
        <v>334</v>
      </c>
      <c r="C569">
        <v>3.4016E-4</v>
      </c>
    </row>
    <row r="570" spans="1:3" x14ac:dyDescent="0.25">
      <c r="A570">
        <v>410470021011</v>
      </c>
      <c r="B570">
        <v>335</v>
      </c>
      <c r="C570">
        <v>0.97910790000000003</v>
      </c>
    </row>
    <row r="571" spans="1:3" x14ac:dyDescent="0.25">
      <c r="A571">
        <v>410470021011</v>
      </c>
      <c r="B571">
        <v>336</v>
      </c>
      <c r="C571">
        <v>1.0950610000000001E-2</v>
      </c>
    </row>
    <row r="572" spans="1:3" x14ac:dyDescent="0.25">
      <c r="A572">
        <v>410470021011</v>
      </c>
      <c r="B572">
        <v>350</v>
      </c>
      <c r="C572">
        <v>9.2828000000000008E-3</v>
      </c>
    </row>
    <row r="573" spans="1:3" x14ac:dyDescent="0.25">
      <c r="A573">
        <v>410470021012</v>
      </c>
      <c r="B573">
        <v>335</v>
      </c>
      <c r="C573">
        <v>0.99661023000000004</v>
      </c>
    </row>
    <row r="574" spans="1:3" x14ac:dyDescent="0.25">
      <c r="A574">
        <v>410470021012</v>
      </c>
      <c r="B574">
        <v>350</v>
      </c>
      <c r="C574">
        <v>3.3897899999999997E-3</v>
      </c>
    </row>
    <row r="575" spans="1:3" x14ac:dyDescent="0.25">
      <c r="A575">
        <v>410470021021</v>
      </c>
      <c r="B575">
        <v>335</v>
      </c>
      <c r="C575">
        <v>1.34219E-2</v>
      </c>
    </row>
    <row r="576" spans="1:3" x14ac:dyDescent="0.25">
      <c r="A576">
        <v>410470021021</v>
      </c>
      <c r="B576">
        <v>350</v>
      </c>
      <c r="C576">
        <v>4.65329E-3</v>
      </c>
    </row>
    <row r="577" spans="1:3" x14ac:dyDescent="0.25">
      <c r="A577">
        <v>410470021021</v>
      </c>
      <c r="B577">
        <v>357</v>
      </c>
      <c r="C577">
        <v>6.9996000000000001E-4</v>
      </c>
    </row>
    <row r="578" spans="1:3" x14ac:dyDescent="0.25">
      <c r="A578">
        <v>410470021021</v>
      </c>
      <c r="B578">
        <v>358</v>
      </c>
      <c r="C578">
        <v>0.67851459000000003</v>
      </c>
    </row>
    <row r="579" spans="1:3" x14ac:dyDescent="0.25">
      <c r="A579">
        <v>410470021021</v>
      </c>
      <c r="B579">
        <v>359</v>
      </c>
      <c r="C579">
        <v>0.30169024999999999</v>
      </c>
    </row>
    <row r="580" spans="1:3" x14ac:dyDescent="0.25">
      <c r="A580">
        <v>410470021021</v>
      </c>
      <c r="B580">
        <v>368</v>
      </c>
      <c r="C580">
        <v>1.00924E-3</v>
      </c>
    </row>
    <row r="581" spans="1:3" x14ac:dyDescent="0.25">
      <c r="A581">
        <v>410470021022</v>
      </c>
      <c r="B581">
        <v>358</v>
      </c>
      <c r="C581">
        <v>1.2295000000000001E-4</v>
      </c>
    </row>
    <row r="582" spans="1:3" x14ac:dyDescent="0.25">
      <c r="A582">
        <v>410470021022</v>
      </c>
      <c r="B582">
        <v>359</v>
      </c>
      <c r="C582">
        <v>0.99228303999999989</v>
      </c>
    </row>
    <row r="583" spans="1:3" x14ac:dyDescent="0.25">
      <c r="A583">
        <v>410470021022</v>
      </c>
      <c r="B583">
        <v>366</v>
      </c>
      <c r="C583">
        <v>2.4205199999999998E-3</v>
      </c>
    </row>
    <row r="584" spans="1:3" x14ac:dyDescent="0.25">
      <c r="A584">
        <v>410470021022</v>
      </c>
      <c r="B584">
        <v>368</v>
      </c>
      <c r="C584">
        <v>5.1734899999999993E-3</v>
      </c>
    </row>
    <row r="585" spans="1:3" x14ac:dyDescent="0.25">
      <c r="A585">
        <v>410470021023</v>
      </c>
      <c r="B585">
        <v>359</v>
      </c>
      <c r="C585">
        <v>1.5443399999999999E-3</v>
      </c>
    </row>
    <row r="586" spans="1:3" x14ac:dyDescent="0.25">
      <c r="A586">
        <v>410470021023</v>
      </c>
      <c r="B586">
        <v>365</v>
      </c>
      <c r="C586">
        <v>6.8009999999999994E-5</v>
      </c>
    </row>
    <row r="587" spans="1:3" x14ac:dyDescent="0.25">
      <c r="A587">
        <v>410470021023</v>
      </c>
      <c r="B587">
        <v>366</v>
      </c>
      <c r="C587">
        <v>0.99745374999999992</v>
      </c>
    </row>
    <row r="588" spans="1:3" x14ac:dyDescent="0.25">
      <c r="A588">
        <v>410470021023</v>
      </c>
      <c r="B588">
        <v>368</v>
      </c>
      <c r="C588">
        <v>9.3389999999999999E-4</v>
      </c>
    </row>
    <row r="589" spans="1:3" x14ac:dyDescent="0.25">
      <c r="A589">
        <v>410470021024</v>
      </c>
      <c r="B589">
        <v>357</v>
      </c>
      <c r="C589">
        <v>1.9130800000000002E-3</v>
      </c>
    </row>
    <row r="590" spans="1:3" x14ac:dyDescent="0.25">
      <c r="A590">
        <v>410470021024</v>
      </c>
      <c r="B590">
        <v>358</v>
      </c>
      <c r="C590">
        <v>9.3486000000000003E-4</v>
      </c>
    </row>
    <row r="591" spans="1:3" x14ac:dyDescent="0.25">
      <c r="A591">
        <v>410470021024</v>
      </c>
      <c r="B591">
        <v>366</v>
      </c>
      <c r="C591">
        <v>3.3158999999999999E-4</v>
      </c>
    </row>
    <row r="592" spans="1:3" x14ac:dyDescent="0.25">
      <c r="A592">
        <v>410470021024</v>
      </c>
      <c r="B592">
        <v>368</v>
      </c>
      <c r="C592">
        <v>0.99638589</v>
      </c>
    </row>
    <row r="593" spans="1:3" x14ac:dyDescent="0.25">
      <c r="A593">
        <v>410470022011</v>
      </c>
      <c r="B593">
        <v>322</v>
      </c>
      <c r="C593">
        <v>6.6082300000000005E-3</v>
      </c>
    </row>
    <row r="594" spans="1:3" x14ac:dyDescent="0.25">
      <c r="A594">
        <v>410470022011</v>
      </c>
      <c r="B594">
        <v>323</v>
      </c>
      <c r="C594">
        <v>3.4890999999999996E-4</v>
      </c>
    </row>
    <row r="595" spans="1:3" x14ac:dyDescent="0.25">
      <c r="A595">
        <v>410470022011</v>
      </c>
      <c r="B595">
        <v>332</v>
      </c>
      <c r="C595">
        <v>5.1113699999999996E-3</v>
      </c>
    </row>
    <row r="596" spans="1:3" x14ac:dyDescent="0.25">
      <c r="A596">
        <v>410470022011</v>
      </c>
      <c r="B596">
        <v>333</v>
      </c>
      <c r="C596">
        <v>0.50178365000000003</v>
      </c>
    </row>
    <row r="597" spans="1:3" x14ac:dyDescent="0.25">
      <c r="A597">
        <v>410470022011</v>
      </c>
      <c r="B597">
        <v>334</v>
      </c>
      <c r="C597">
        <v>0.48303645000000001</v>
      </c>
    </row>
    <row r="598" spans="1:3" x14ac:dyDescent="0.25">
      <c r="A598">
        <v>410470022011</v>
      </c>
      <c r="B598">
        <v>335</v>
      </c>
      <c r="C598">
        <v>2.52936E-3</v>
      </c>
    </row>
    <row r="599" spans="1:3" x14ac:dyDescent="0.25">
      <c r="A599">
        <v>410470022011</v>
      </c>
      <c r="B599">
        <v>347</v>
      </c>
      <c r="C599">
        <v>5.8200000000000005E-4</v>
      </c>
    </row>
    <row r="600" spans="1:3" x14ac:dyDescent="0.25">
      <c r="A600">
        <v>410470022012</v>
      </c>
      <c r="B600">
        <v>333</v>
      </c>
      <c r="C600">
        <v>5.8038100000000004E-3</v>
      </c>
    </row>
    <row r="601" spans="1:3" x14ac:dyDescent="0.25">
      <c r="A601">
        <v>410470022012</v>
      </c>
      <c r="B601">
        <v>334</v>
      </c>
      <c r="C601">
        <v>0.98366359000000003</v>
      </c>
    </row>
    <row r="602" spans="1:3" x14ac:dyDescent="0.25">
      <c r="A602">
        <v>410470022012</v>
      </c>
      <c r="B602">
        <v>335</v>
      </c>
      <c r="C602">
        <v>8.9334400000000008E-3</v>
      </c>
    </row>
    <row r="603" spans="1:3" x14ac:dyDescent="0.25">
      <c r="A603">
        <v>410470022012</v>
      </c>
      <c r="B603">
        <v>347</v>
      </c>
      <c r="C603">
        <v>1.59921E-3</v>
      </c>
    </row>
    <row r="604" spans="1:3" x14ac:dyDescent="0.25">
      <c r="A604">
        <v>410470022021</v>
      </c>
      <c r="B604">
        <v>333</v>
      </c>
      <c r="C604">
        <v>1.9131899999999999E-3</v>
      </c>
    </row>
    <row r="605" spans="1:3" x14ac:dyDescent="0.25">
      <c r="A605">
        <v>410470022021</v>
      </c>
      <c r="B605">
        <v>334</v>
      </c>
      <c r="C605">
        <v>1.05412E-3</v>
      </c>
    </row>
    <row r="606" spans="1:3" x14ac:dyDescent="0.25">
      <c r="A606">
        <v>410470022021</v>
      </c>
      <c r="B606">
        <v>335</v>
      </c>
      <c r="C606">
        <v>6.9950000000000006E-5</v>
      </c>
    </row>
    <row r="607" spans="1:3" x14ac:dyDescent="0.25">
      <c r="A607">
        <v>410470022021</v>
      </c>
      <c r="B607">
        <v>346</v>
      </c>
      <c r="C607">
        <v>0.23971706000000001</v>
      </c>
    </row>
    <row r="608" spans="1:3" x14ac:dyDescent="0.25">
      <c r="A608">
        <v>410470022021</v>
      </c>
      <c r="B608">
        <v>347</v>
      </c>
      <c r="C608">
        <v>0.14978031</v>
      </c>
    </row>
    <row r="609" spans="1:3" x14ac:dyDescent="0.25">
      <c r="A609">
        <v>410470022021</v>
      </c>
      <c r="B609">
        <v>359</v>
      </c>
      <c r="C609">
        <v>1.86641E-3</v>
      </c>
    </row>
    <row r="610" spans="1:3" x14ac:dyDescent="0.25">
      <c r="A610">
        <v>410470022021</v>
      </c>
      <c r="B610">
        <v>360</v>
      </c>
      <c r="C610">
        <v>0.19756633999999998</v>
      </c>
    </row>
    <row r="611" spans="1:3" x14ac:dyDescent="0.25">
      <c r="A611">
        <v>410470022021</v>
      </c>
      <c r="B611">
        <v>361</v>
      </c>
      <c r="C611">
        <v>0.13644373999999998</v>
      </c>
    </row>
    <row r="612" spans="1:3" x14ac:dyDescent="0.25">
      <c r="A612">
        <v>410470022021</v>
      </c>
      <c r="B612">
        <v>362</v>
      </c>
      <c r="C612">
        <v>0.14253980999999999</v>
      </c>
    </row>
    <row r="613" spans="1:3" x14ac:dyDescent="0.25">
      <c r="A613">
        <v>410470022021</v>
      </c>
      <c r="B613">
        <v>363</v>
      </c>
      <c r="C613">
        <v>0.12904905999999999</v>
      </c>
    </row>
    <row r="614" spans="1:3" x14ac:dyDescent="0.25">
      <c r="A614">
        <v>410470022022</v>
      </c>
      <c r="B614">
        <v>334</v>
      </c>
      <c r="C614">
        <v>8.7849299999999998E-3</v>
      </c>
    </row>
    <row r="615" spans="1:3" x14ac:dyDescent="0.25">
      <c r="A615">
        <v>410470022022</v>
      </c>
      <c r="B615">
        <v>335</v>
      </c>
      <c r="C615">
        <v>1.8609150000000001E-2</v>
      </c>
    </row>
    <row r="616" spans="1:3" x14ac:dyDescent="0.25">
      <c r="A616">
        <v>410470022022</v>
      </c>
      <c r="B616">
        <v>347</v>
      </c>
      <c r="C616">
        <v>0.81554027000000007</v>
      </c>
    </row>
    <row r="617" spans="1:3" x14ac:dyDescent="0.25">
      <c r="A617">
        <v>410470022022</v>
      </c>
      <c r="B617">
        <v>360</v>
      </c>
      <c r="C617">
        <v>0.15706562999999998</v>
      </c>
    </row>
    <row r="618" spans="1:3" x14ac:dyDescent="0.25">
      <c r="A618">
        <v>410470022023</v>
      </c>
      <c r="B618">
        <v>359</v>
      </c>
      <c r="C618">
        <v>7.5754000000000001E-4</v>
      </c>
    </row>
    <row r="619" spans="1:3" x14ac:dyDescent="0.25">
      <c r="A619">
        <v>410470022023</v>
      </c>
      <c r="B619">
        <v>360</v>
      </c>
      <c r="C619">
        <v>5.1563499999999996E-3</v>
      </c>
    </row>
    <row r="620" spans="1:3" x14ac:dyDescent="0.25">
      <c r="A620">
        <v>410470022023</v>
      </c>
      <c r="B620">
        <v>361</v>
      </c>
      <c r="C620">
        <v>2.86178E-3</v>
      </c>
    </row>
    <row r="621" spans="1:3" x14ac:dyDescent="0.25">
      <c r="A621">
        <v>410470022023</v>
      </c>
      <c r="B621">
        <v>363</v>
      </c>
      <c r="C621">
        <v>0.72942116000000001</v>
      </c>
    </row>
    <row r="622" spans="1:3" x14ac:dyDescent="0.25">
      <c r="A622">
        <v>410470022023</v>
      </c>
      <c r="B622">
        <v>365</v>
      </c>
      <c r="C622">
        <v>0.2591001</v>
      </c>
    </row>
    <row r="623" spans="1:3" x14ac:dyDescent="0.25">
      <c r="A623">
        <v>410470022023</v>
      </c>
      <c r="B623">
        <v>366</v>
      </c>
      <c r="C623">
        <v>2.12233E-3</v>
      </c>
    </row>
    <row r="624" spans="1:3" x14ac:dyDescent="0.25">
      <c r="A624">
        <v>410470022023</v>
      </c>
      <c r="B624">
        <v>380</v>
      </c>
      <c r="C624">
        <v>2.1177999999999998E-4</v>
      </c>
    </row>
    <row r="625" spans="1:3" x14ac:dyDescent="0.25">
      <c r="A625">
        <v>410470022023</v>
      </c>
      <c r="B625">
        <v>381</v>
      </c>
      <c r="C625">
        <v>3.6894000000000006E-4</v>
      </c>
    </row>
    <row r="626" spans="1:3" x14ac:dyDescent="0.25">
      <c r="A626">
        <v>410470023011</v>
      </c>
      <c r="B626">
        <v>365</v>
      </c>
      <c r="C626">
        <v>1.0161999999999999E-2</v>
      </c>
    </row>
    <row r="627" spans="1:3" x14ac:dyDescent="0.25">
      <c r="A627">
        <v>410470023011</v>
      </c>
      <c r="B627">
        <v>366</v>
      </c>
      <c r="C627">
        <v>5.5562000000000005E-4</v>
      </c>
    </row>
    <row r="628" spans="1:3" x14ac:dyDescent="0.25">
      <c r="A628">
        <v>410470023011</v>
      </c>
      <c r="B628">
        <v>379</v>
      </c>
      <c r="C628">
        <v>1.1037499999999999E-3</v>
      </c>
    </row>
    <row r="629" spans="1:3" x14ac:dyDescent="0.25">
      <c r="A629">
        <v>410470023011</v>
      </c>
      <c r="B629">
        <v>380</v>
      </c>
      <c r="C629">
        <v>0.98656180999999998</v>
      </c>
    </row>
    <row r="630" spans="1:3" x14ac:dyDescent="0.25">
      <c r="A630">
        <v>410470023011</v>
      </c>
      <c r="B630">
        <v>381</v>
      </c>
      <c r="C630">
        <v>8.0906000000000001E-4</v>
      </c>
    </row>
    <row r="631" spans="1:3" x14ac:dyDescent="0.25">
      <c r="A631">
        <v>410470023011</v>
      </c>
      <c r="B631">
        <v>382</v>
      </c>
      <c r="C631">
        <v>2.3387000000000001E-4</v>
      </c>
    </row>
    <row r="632" spans="1:3" x14ac:dyDescent="0.25">
      <c r="A632">
        <v>410470023011</v>
      </c>
      <c r="B632">
        <v>429</v>
      </c>
      <c r="C632">
        <v>5.7390000000000002E-4</v>
      </c>
    </row>
    <row r="633" spans="1:3" x14ac:dyDescent="0.25">
      <c r="A633">
        <v>410470023012</v>
      </c>
      <c r="B633">
        <v>380</v>
      </c>
      <c r="C633">
        <v>9.724287999999999E-2</v>
      </c>
    </row>
    <row r="634" spans="1:3" x14ac:dyDescent="0.25">
      <c r="A634">
        <v>410470023012</v>
      </c>
      <c r="B634">
        <v>382</v>
      </c>
      <c r="C634">
        <v>5.5195000000000005E-4</v>
      </c>
    </row>
    <row r="635" spans="1:3" x14ac:dyDescent="0.25">
      <c r="A635">
        <v>410470023012</v>
      </c>
      <c r="B635">
        <v>423</v>
      </c>
      <c r="C635">
        <v>1.3359E-4</v>
      </c>
    </row>
    <row r="636" spans="1:3" x14ac:dyDescent="0.25">
      <c r="A636">
        <v>410470023012</v>
      </c>
      <c r="B636">
        <v>427</v>
      </c>
      <c r="C636">
        <v>4.905E-5</v>
      </c>
    </row>
    <row r="637" spans="1:3" x14ac:dyDescent="0.25">
      <c r="A637">
        <v>410470023012</v>
      </c>
      <c r="B637">
        <v>428</v>
      </c>
      <c r="C637">
        <v>0.61217622999999999</v>
      </c>
    </row>
    <row r="638" spans="1:3" x14ac:dyDescent="0.25">
      <c r="A638">
        <v>410470023012</v>
      </c>
      <c r="B638">
        <v>429</v>
      </c>
      <c r="C638">
        <v>0.28955396999999999</v>
      </c>
    </row>
    <row r="639" spans="1:3" x14ac:dyDescent="0.25">
      <c r="A639">
        <v>410470023012</v>
      </c>
      <c r="B639">
        <v>430</v>
      </c>
      <c r="C639">
        <v>2.9231999999999999E-4</v>
      </c>
    </row>
    <row r="640" spans="1:3" x14ac:dyDescent="0.25">
      <c r="A640">
        <v>410470023031</v>
      </c>
      <c r="B640">
        <v>365</v>
      </c>
      <c r="C640">
        <v>2E-8</v>
      </c>
    </row>
    <row r="641" spans="1:3" x14ac:dyDescent="0.25">
      <c r="A641">
        <v>410470023031</v>
      </c>
      <c r="B641">
        <v>366</v>
      </c>
      <c r="C641">
        <v>0.10274309000000001</v>
      </c>
    </row>
    <row r="642" spans="1:3" x14ac:dyDescent="0.25">
      <c r="A642">
        <v>410470023031</v>
      </c>
      <c r="B642">
        <v>368</v>
      </c>
      <c r="C642">
        <v>6.2200000000000006E-6</v>
      </c>
    </row>
    <row r="643" spans="1:3" x14ac:dyDescent="0.25">
      <c r="A643">
        <v>410470023031</v>
      </c>
      <c r="B643">
        <v>378</v>
      </c>
      <c r="C643">
        <v>0.16926055000000001</v>
      </c>
    </row>
    <row r="644" spans="1:3" x14ac:dyDescent="0.25">
      <c r="A644">
        <v>410470023031</v>
      </c>
      <c r="B644">
        <v>379</v>
      </c>
      <c r="C644">
        <v>0.34510629999999998</v>
      </c>
    </row>
    <row r="645" spans="1:3" x14ac:dyDescent="0.25">
      <c r="A645">
        <v>410470023031</v>
      </c>
      <c r="B645">
        <v>380</v>
      </c>
      <c r="C645">
        <v>3.5711E-4</v>
      </c>
    </row>
    <row r="646" spans="1:3" x14ac:dyDescent="0.25">
      <c r="A646">
        <v>410470023031</v>
      </c>
      <c r="B646">
        <v>382</v>
      </c>
      <c r="C646">
        <v>0.20441343000000001</v>
      </c>
    </row>
    <row r="647" spans="1:3" x14ac:dyDescent="0.25">
      <c r="A647">
        <v>410470023031</v>
      </c>
      <c r="B647">
        <v>383</v>
      </c>
      <c r="C647">
        <v>0.17764700999999999</v>
      </c>
    </row>
    <row r="648" spans="1:3" x14ac:dyDescent="0.25">
      <c r="A648">
        <v>410470023031</v>
      </c>
      <c r="B648">
        <v>384</v>
      </c>
      <c r="C648">
        <v>2.6072999999999998E-4</v>
      </c>
    </row>
    <row r="649" spans="1:3" x14ac:dyDescent="0.25">
      <c r="A649">
        <v>410470023031</v>
      </c>
      <c r="B649">
        <v>429</v>
      </c>
      <c r="C649">
        <v>2.0555000000000001E-4</v>
      </c>
    </row>
    <row r="650" spans="1:3" x14ac:dyDescent="0.25">
      <c r="A650">
        <v>410470023032</v>
      </c>
      <c r="B650">
        <v>366</v>
      </c>
      <c r="C650">
        <v>3.1137E-4</v>
      </c>
    </row>
    <row r="651" spans="1:3" x14ac:dyDescent="0.25">
      <c r="A651">
        <v>410470023032</v>
      </c>
      <c r="B651">
        <v>368</v>
      </c>
      <c r="C651">
        <v>0.28417818</v>
      </c>
    </row>
    <row r="652" spans="1:3" x14ac:dyDescent="0.25">
      <c r="A652">
        <v>410470023032</v>
      </c>
      <c r="B652">
        <v>376</v>
      </c>
      <c r="C652">
        <v>4.4816000000000002E-4</v>
      </c>
    </row>
    <row r="653" spans="1:3" x14ac:dyDescent="0.25">
      <c r="A653">
        <v>410470023032</v>
      </c>
      <c r="B653">
        <v>378</v>
      </c>
      <c r="C653">
        <v>0.71431939</v>
      </c>
    </row>
    <row r="654" spans="1:3" x14ac:dyDescent="0.25">
      <c r="A654">
        <v>410470023032</v>
      </c>
      <c r="B654">
        <v>379</v>
      </c>
      <c r="C654">
        <v>2.3514E-4</v>
      </c>
    </row>
    <row r="655" spans="1:3" x14ac:dyDescent="0.25">
      <c r="A655">
        <v>410470023032</v>
      </c>
      <c r="B655">
        <v>384</v>
      </c>
      <c r="C655">
        <v>5.0777000000000005E-4</v>
      </c>
    </row>
    <row r="656" spans="1:3" x14ac:dyDescent="0.25">
      <c r="A656">
        <v>410470023033</v>
      </c>
      <c r="B656">
        <v>368</v>
      </c>
      <c r="C656">
        <v>6.8363140000000003E-2</v>
      </c>
    </row>
    <row r="657" spans="1:3" x14ac:dyDescent="0.25">
      <c r="A657">
        <v>410470023033</v>
      </c>
      <c r="B657">
        <v>374</v>
      </c>
      <c r="C657">
        <v>2.1628210000000002E-2</v>
      </c>
    </row>
    <row r="658" spans="1:3" x14ac:dyDescent="0.25">
      <c r="A658">
        <v>410470023033</v>
      </c>
      <c r="B658">
        <v>376</v>
      </c>
      <c r="C658">
        <v>0.52039667999999994</v>
      </c>
    </row>
    <row r="659" spans="1:3" x14ac:dyDescent="0.25">
      <c r="A659">
        <v>410470023033</v>
      </c>
      <c r="B659">
        <v>378</v>
      </c>
      <c r="C659">
        <v>3.6837000000000003E-4</v>
      </c>
    </row>
    <row r="660" spans="1:3" x14ac:dyDescent="0.25">
      <c r="A660">
        <v>410470023033</v>
      </c>
      <c r="B660">
        <v>384</v>
      </c>
      <c r="C660">
        <v>0.3894937</v>
      </c>
    </row>
    <row r="661" spans="1:3" x14ac:dyDescent="0.25">
      <c r="A661">
        <v>410470023041</v>
      </c>
      <c r="B661">
        <v>382</v>
      </c>
      <c r="C661">
        <v>0.15079233</v>
      </c>
    </row>
    <row r="662" spans="1:3" x14ac:dyDescent="0.25">
      <c r="A662">
        <v>410470023041</v>
      </c>
      <c r="B662">
        <v>383</v>
      </c>
      <c r="C662">
        <v>0.16861123</v>
      </c>
    </row>
    <row r="663" spans="1:3" x14ac:dyDescent="0.25">
      <c r="A663">
        <v>410470023041</v>
      </c>
      <c r="B663">
        <v>384</v>
      </c>
      <c r="C663">
        <v>7.3709999999999997E-5</v>
      </c>
    </row>
    <row r="664" spans="1:3" x14ac:dyDescent="0.25">
      <c r="A664">
        <v>410470023041</v>
      </c>
      <c r="B664">
        <v>390</v>
      </c>
      <c r="C664">
        <v>7.2346999999999993E-4</v>
      </c>
    </row>
    <row r="665" spans="1:3" x14ac:dyDescent="0.25">
      <c r="A665">
        <v>410470023041</v>
      </c>
      <c r="B665">
        <v>422</v>
      </c>
      <c r="C665">
        <v>7.2609999999999992E-4</v>
      </c>
    </row>
    <row r="666" spans="1:3" x14ac:dyDescent="0.25">
      <c r="A666">
        <v>410470023041</v>
      </c>
      <c r="B666">
        <v>423</v>
      </c>
      <c r="C666">
        <v>6.2996999999999999E-4</v>
      </c>
    </row>
    <row r="667" spans="1:3" x14ac:dyDescent="0.25">
      <c r="A667">
        <v>410470023041</v>
      </c>
      <c r="B667">
        <v>426</v>
      </c>
      <c r="C667">
        <v>0.48191413999999999</v>
      </c>
    </row>
    <row r="668" spans="1:3" x14ac:dyDescent="0.25">
      <c r="A668">
        <v>410470023041</v>
      </c>
      <c r="B668">
        <v>427</v>
      </c>
      <c r="C668">
        <v>0.19640919000000001</v>
      </c>
    </row>
    <row r="669" spans="1:3" x14ac:dyDescent="0.25">
      <c r="A669">
        <v>410470023041</v>
      </c>
      <c r="B669">
        <v>428</v>
      </c>
      <c r="C669">
        <v>5.5220000000000003E-5</v>
      </c>
    </row>
    <row r="670" spans="1:3" x14ac:dyDescent="0.25">
      <c r="A670">
        <v>410470023041</v>
      </c>
      <c r="B670">
        <v>429</v>
      </c>
      <c r="C670">
        <v>1.0328E-4</v>
      </c>
    </row>
    <row r="671" spans="1:3" x14ac:dyDescent="0.25">
      <c r="A671">
        <v>410470023042</v>
      </c>
      <c r="B671">
        <v>374</v>
      </c>
      <c r="C671">
        <v>1.6573249999999998E-2</v>
      </c>
    </row>
    <row r="672" spans="1:3" x14ac:dyDescent="0.25">
      <c r="A672">
        <v>410470023042</v>
      </c>
      <c r="B672">
        <v>383</v>
      </c>
      <c r="C672">
        <v>7.1999999999999999E-7</v>
      </c>
    </row>
    <row r="673" spans="1:3" x14ac:dyDescent="0.25">
      <c r="A673">
        <v>410470023042</v>
      </c>
      <c r="B673">
        <v>384</v>
      </c>
      <c r="C673">
        <v>0.97865630999999997</v>
      </c>
    </row>
    <row r="674" spans="1:3" x14ac:dyDescent="0.25">
      <c r="A674">
        <v>410470023042</v>
      </c>
      <c r="B674">
        <v>390</v>
      </c>
      <c r="C674">
        <v>4.7697299999999998E-3</v>
      </c>
    </row>
    <row r="675" spans="1:3" x14ac:dyDescent="0.25">
      <c r="A675">
        <v>410470023043</v>
      </c>
      <c r="B675">
        <v>374</v>
      </c>
      <c r="C675">
        <v>2.5240000000000002E-5</v>
      </c>
    </row>
    <row r="676" spans="1:3" x14ac:dyDescent="0.25">
      <c r="A676">
        <v>410470023043</v>
      </c>
      <c r="B676">
        <v>383</v>
      </c>
      <c r="C676">
        <v>1.47E-4</v>
      </c>
    </row>
    <row r="677" spans="1:3" x14ac:dyDescent="0.25">
      <c r="A677">
        <v>410470023043</v>
      </c>
      <c r="B677">
        <v>384</v>
      </c>
      <c r="C677">
        <v>4.8883500000000005E-3</v>
      </c>
    </row>
    <row r="678" spans="1:3" x14ac:dyDescent="0.25">
      <c r="A678">
        <v>410470023043</v>
      </c>
      <c r="B678">
        <v>389</v>
      </c>
      <c r="C678">
        <v>1.220126E-2</v>
      </c>
    </row>
    <row r="679" spans="1:3" x14ac:dyDescent="0.25">
      <c r="A679">
        <v>410470023043</v>
      </c>
      <c r="B679">
        <v>390</v>
      </c>
      <c r="C679">
        <v>0.98272338999999997</v>
      </c>
    </row>
    <row r="680" spans="1:3" x14ac:dyDescent="0.25">
      <c r="A680">
        <v>410470023044</v>
      </c>
      <c r="B680">
        <v>390</v>
      </c>
      <c r="C680">
        <v>0.99845140999999993</v>
      </c>
    </row>
    <row r="681" spans="1:3" x14ac:dyDescent="0.25">
      <c r="A681">
        <v>410470023044</v>
      </c>
      <c r="B681">
        <v>421</v>
      </c>
      <c r="C681">
        <v>1.1303000000000001E-3</v>
      </c>
    </row>
    <row r="682" spans="1:3" x14ac:dyDescent="0.25">
      <c r="A682">
        <v>410470023044</v>
      </c>
      <c r="B682">
        <v>426</v>
      </c>
      <c r="C682">
        <v>9.8499999999999995E-5</v>
      </c>
    </row>
    <row r="683" spans="1:3" x14ac:dyDescent="0.25">
      <c r="A683">
        <v>410470024001</v>
      </c>
      <c r="B683">
        <v>333</v>
      </c>
      <c r="C683">
        <v>2.3696500000000001E-3</v>
      </c>
    </row>
    <row r="684" spans="1:3" x14ac:dyDescent="0.25">
      <c r="A684">
        <v>410470024001</v>
      </c>
      <c r="B684">
        <v>345</v>
      </c>
      <c r="C684">
        <v>0.48192571000000001</v>
      </c>
    </row>
    <row r="685" spans="1:3" x14ac:dyDescent="0.25">
      <c r="A685">
        <v>410470024001</v>
      </c>
      <c r="B685">
        <v>346</v>
      </c>
      <c r="C685">
        <v>5.7580499999999998E-3</v>
      </c>
    </row>
    <row r="686" spans="1:3" x14ac:dyDescent="0.25">
      <c r="A686">
        <v>410470024001</v>
      </c>
      <c r="B686">
        <v>361</v>
      </c>
      <c r="C686">
        <v>3.5697899999999998E-3</v>
      </c>
    </row>
    <row r="687" spans="1:3" x14ac:dyDescent="0.25">
      <c r="A687">
        <v>410470024001</v>
      </c>
      <c r="B687">
        <v>362</v>
      </c>
      <c r="C687">
        <v>2.8905599999999999E-3</v>
      </c>
    </row>
    <row r="688" spans="1:3" x14ac:dyDescent="0.25">
      <c r="A688">
        <v>410470024001</v>
      </c>
      <c r="B688">
        <v>363</v>
      </c>
      <c r="C688">
        <v>6.1118700000000001E-3</v>
      </c>
    </row>
    <row r="689" spans="1:3" x14ac:dyDescent="0.25">
      <c r="A689">
        <v>410470024001</v>
      </c>
      <c r="B689">
        <v>431</v>
      </c>
      <c r="C689">
        <v>5.0000000000000001E-4</v>
      </c>
    </row>
    <row r="690" spans="1:3" x14ac:dyDescent="0.25">
      <c r="A690">
        <v>410470024001</v>
      </c>
      <c r="B690">
        <v>433</v>
      </c>
      <c r="C690">
        <v>1.2061500000000001E-2</v>
      </c>
    </row>
    <row r="691" spans="1:3" x14ac:dyDescent="0.25">
      <c r="A691">
        <v>410470024001</v>
      </c>
      <c r="B691">
        <v>434</v>
      </c>
      <c r="C691">
        <v>0.41289045000000002</v>
      </c>
    </row>
    <row r="692" spans="1:3" x14ac:dyDescent="0.25">
      <c r="A692">
        <v>410470024001</v>
      </c>
      <c r="B692">
        <v>435</v>
      </c>
      <c r="C692">
        <v>7.1728449999999999E-2</v>
      </c>
    </row>
    <row r="693" spans="1:3" x14ac:dyDescent="0.25">
      <c r="A693">
        <v>410470024001</v>
      </c>
      <c r="B693">
        <v>436</v>
      </c>
      <c r="C693">
        <v>1.94E-4</v>
      </c>
    </row>
    <row r="694" spans="1:3" x14ac:dyDescent="0.25">
      <c r="A694">
        <v>410470024002</v>
      </c>
      <c r="B694">
        <v>37</v>
      </c>
      <c r="C694">
        <v>1.11692E-3</v>
      </c>
    </row>
    <row r="695" spans="1:3" x14ac:dyDescent="0.25">
      <c r="A695">
        <v>410470024002</v>
      </c>
      <c r="B695">
        <v>38</v>
      </c>
      <c r="C695">
        <v>2.0510400000000001E-3</v>
      </c>
    </row>
    <row r="696" spans="1:3" x14ac:dyDescent="0.25">
      <c r="A696">
        <v>410470024002</v>
      </c>
      <c r="B696">
        <v>71</v>
      </c>
      <c r="C696">
        <v>9.0527000000000001E-4</v>
      </c>
    </row>
    <row r="697" spans="1:3" x14ac:dyDescent="0.25">
      <c r="A697">
        <v>410470024002</v>
      </c>
      <c r="B697">
        <v>345</v>
      </c>
      <c r="C697">
        <v>1.4555999999999998E-4</v>
      </c>
    </row>
    <row r="698" spans="1:3" x14ac:dyDescent="0.25">
      <c r="A698">
        <v>410470024002</v>
      </c>
      <c r="B698">
        <v>362</v>
      </c>
      <c r="C698">
        <v>3.7013999999999998E-4</v>
      </c>
    </row>
    <row r="699" spans="1:3" x14ac:dyDescent="0.25">
      <c r="A699">
        <v>410470024002</v>
      </c>
      <c r="B699">
        <v>363</v>
      </c>
      <c r="C699">
        <v>4.3140000000000004E-5</v>
      </c>
    </row>
    <row r="700" spans="1:3" x14ac:dyDescent="0.25">
      <c r="A700">
        <v>410470024002</v>
      </c>
      <c r="B700">
        <v>380</v>
      </c>
      <c r="C700">
        <v>6.3189999999999996E-5</v>
      </c>
    </row>
    <row r="701" spans="1:3" x14ac:dyDescent="0.25">
      <c r="A701">
        <v>410470024002</v>
      </c>
      <c r="B701">
        <v>381</v>
      </c>
      <c r="C701">
        <v>4.7838100000000003E-3</v>
      </c>
    </row>
    <row r="702" spans="1:3" x14ac:dyDescent="0.25">
      <c r="A702">
        <v>410470024002</v>
      </c>
      <c r="B702">
        <v>428</v>
      </c>
      <c r="C702">
        <v>5.7809999999999997E-5</v>
      </c>
    </row>
    <row r="703" spans="1:3" x14ac:dyDescent="0.25">
      <c r="A703">
        <v>410470024002</v>
      </c>
      <c r="B703">
        <v>429</v>
      </c>
      <c r="C703">
        <v>3.1610000000000004E-5</v>
      </c>
    </row>
    <row r="704" spans="1:3" x14ac:dyDescent="0.25">
      <c r="A704">
        <v>410470024002</v>
      </c>
      <c r="B704">
        <v>430</v>
      </c>
      <c r="C704">
        <v>3.5662050000000001E-2</v>
      </c>
    </row>
    <row r="705" spans="1:3" x14ac:dyDescent="0.25">
      <c r="A705">
        <v>410470024002</v>
      </c>
      <c r="B705">
        <v>431</v>
      </c>
      <c r="C705">
        <v>0.41316699999999995</v>
      </c>
    </row>
    <row r="706" spans="1:3" x14ac:dyDescent="0.25">
      <c r="A706">
        <v>410470024002</v>
      </c>
      <c r="B706">
        <v>432</v>
      </c>
      <c r="C706">
        <v>0.23295219</v>
      </c>
    </row>
    <row r="707" spans="1:3" x14ac:dyDescent="0.25">
      <c r="A707">
        <v>410470024002</v>
      </c>
      <c r="B707">
        <v>433</v>
      </c>
      <c r="C707">
        <v>0.10072635000000001</v>
      </c>
    </row>
    <row r="708" spans="1:3" x14ac:dyDescent="0.25">
      <c r="A708">
        <v>410470024002</v>
      </c>
      <c r="B708">
        <v>434</v>
      </c>
      <c r="C708">
        <v>8.7776999999999994E-4</v>
      </c>
    </row>
    <row r="709" spans="1:3" x14ac:dyDescent="0.25">
      <c r="A709">
        <v>410470024002</v>
      </c>
      <c r="B709">
        <v>435</v>
      </c>
      <c r="C709">
        <v>0.20651855999999999</v>
      </c>
    </row>
    <row r="710" spans="1:3" x14ac:dyDescent="0.25">
      <c r="A710">
        <v>410470024002</v>
      </c>
      <c r="B710">
        <v>436</v>
      </c>
      <c r="C710">
        <v>4.7288999999999995E-4</v>
      </c>
    </row>
    <row r="711" spans="1:3" x14ac:dyDescent="0.25">
      <c r="A711">
        <v>410470025021</v>
      </c>
      <c r="B711">
        <v>42</v>
      </c>
      <c r="C711">
        <v>2.9103000000000001E-4</v>
      </c>
    </row>
    <row r="712" spans="1:3" x14ac:dyDescent="0.25">
      <c r="A712">
        <v>410470025021</v>
      </c>
      <c r="B712">
        <v>80</v>
      </c>
      <c r="C712">
        <v>0.41561691000000001</v>
      </c>
    </row>
    <row r="713" spans="1:3" x14ac:dyDescent="0.25">
      <c r="A713">
        <v>410470025021</v>
      </c>
      <c r="B713">
        <v>81</v>
      </c>
      <c r="C713">
        <v>1.02121E-3</v>
      </c>
    </row>
    <row r="714" spans="1:3" x14ac:dyDescent="0.25">
      <c r="A714">
        <v>410470025021</v>
      </c>
      <c r="B714">
        <v>82</v>
      </c>
      <c r="C714">
        <v>3.2651400000000001E-3</v>
      </c>
    </row>
    <row r="715" spans="1:3" x14ac:dyDescent="0.25">
      <c r="A715">
        <v>410470025021</v>
      </c>
      <c r="B715">
        <v>83</v>
      </c>
      <c r="C715">
        <v>8.5395070000000003E-2</v>
      </c>
    </row>
    <row r="716" spans="1:3" x14ac:dyDescent="0.25">
      <c r="A716">
        <v>410470025021</v>
      </c>
      <c r="B716">
        <v>84</v>
      </c>
      <c r="C716">
        <v>6.8810819999999995E-2</v>
      </c>
    </row>
    <row r="717" spans="1:3" x14ac:dyDescent="0.25">
      <c r="A717">
        <v>410470025021</v>
      </c>
      <c r="B717">
        <v>85</v>
      </c>
      <c r="C717">
        <v>3.032207E-2</v>
      </c>
    </row>
    <row r="718" spans="1:3" x14ac:dyDescent="0.25">
      <c r="A718">
        <v>410470025021</v>
      </c>
      <c r="B718">
        <v>86</v>
      </c>
      <c r="C718">
        <v>4.3838929999999998E-2</v>
      </c>
    </row>
    <row r="719" spans="1:3" x14ac:dyDescent="0.25">
      <c r="A719">
        <v>410470025021</v>
      </c>
      <c r="B719">
        <v>87</v>
      </c>
      <c r="C719">
        <v>1.7649000000000001E-4</v>
      </c>
    </row>
    <row r="720" spans="1:3" x14ac:dyDescent="0.25">
      <c r="A720">
        <v>410470025021</v>
      </c>
      <c r="B720">
        <v>88</v>
      </c>
      <c r="C720">
        <v>1.330217E-2</v>
      </c>
    </row>
    <row r="721" spans="1:3" x14ac:dyDescent="0.25">
      <c r="A721">
        <v>410470025021</v>
      </c>
      <c r="B721">
        <v>92</v>
      </c>
      <c r="C721">
        <v>6.2451E-4</v>
      </c>
    </row>
    <row r="722" spans="1:3" x14ac:dyDescent="0.25">
      <c r="A722">
        <v>410470025021</v>
      </c>
      <c r="B722">
        <v>129</v>
      </c>
      <c r="C722">
        <v>6.2830510000000006E-2</v>
      </c>
    </row>
    <row r="723" spans="1:3" x14ac:dyDescent="0.25">
      <c r="A723">
        <v>410470025021</v>
      </c>
      <c r="B723">
        <v>130</v>
      </c>
      <c r="C723">
        <v>3.8748999999999999E-4</v>
      </c>
    </row>
    <row r="724" spans="1:3" x14ac:dyDescent="0.25">
      <c r="A724">
        <v>410470025021</v>
      </c>
      <c r="B724">
        <v>131</v>
      </c>
      <c r="C724">
        <v>0.17879141000000001</v>
      </c>
    </row>
    <row r="725" spans="1:3" x14ac:dyDescent="0.25">
      <c r="A725">
        <v>410470025021</v>
      </c>
      <c r="B725">
        <v>132</v>
      </c>
      <c r="C725">
        <v>3.0864E-4</v>
      </c>
    </row>
    <row r="726" spans="1:3" x14ac:dyDescent="0.25">
      <c r="A726">
        <v>410470025021</v>
      </c>
      <c r="B726">
        <v>133</v>
      </c>
      <c r="C726">
        <v>9.7780000000000002E-5</v>
      </c>
    </row>
    <row r="727" spans="1:3" x14ac:dyDescent="0.25">
      <c r="A727">
        <v>410470025021</v>
      </c>
      <c r="B727">
        <v>135</v>
      </c>
      <c r="C727">
        <v>3.8616999999999997E-4</v>
      </c>
    </row>
    <row r="728" spans="1:3" x14ac:dyDescent="0.25">
      <c r="A728">
        <v>410470025021</v>
      </c>
      <c r="B728">
        <v>443</v>
      </c>
      <c r="C728">
        <v>4.350822E-2</v>
      </c>
    </row>
    <row r="729" spans="1:3" x14ac:dyDescent="0.25">
      <c r="A729">
        <v>410470025021</v>
      </c>
      <c r="B729">
        <v>444</v>
      </c>
      <c r="C729">
        <v>5.0937270000000007E-2</v>
      </c>
    </row>
    <row r="730" spans="1:3" x14ac:dyDescent="0.25">
      <c r="A730">
        <v>410470025022</v>
      </c>
      <c r="B730">
        <v>130</v>
      </c>
      <c r="C730">
        <v>6.9252469999999997E-2</v>
      </c>
    </row>
    <row r="731" spans="1:3" x14ac:dyDescent="0.25">
      <c r="A731">
        <v>410470025022</v>
      </c>
      <c r="B731">
        <v>131</v>
      </c>
      <c r="C731">
        <v>6.7266000000000005E-4</v>
      </c>
    </row>
    <row r="732" spans="1:3" x14ac:dyDescent="0.25">
      <c r="A732">
        <v>410470025022</v>
      </c>
      <c r="B732">
        <v>132</v>
      </c>
      <c r="C732">
        <v>0.31649376000000001</v>
      </c>
    </row>
    <row r="733" spans="1:3" x14ac:dyDescent="0.25">
      <c r="A733">
        <v>410470025022</v>
      </c>
      <c r="B733">
        <v>133</v>
      </c>
      <c r="C733">
        <v>0.46993803999999995</v>
      </c>
    </row>
    <row r="734" spans="1:3" x14ac:dyDescent="0.25">
      <c r="A734">
        <v>410470025022</v>
      </c>
      <c r="B734">
        <v>134</v>
      </c>
      <c r="C734">
        <v>3.1144740000000001E-2</v>
      </c>
    </row>
    <row r="735" spans="1:3" x14ac:dyDescent="0.25">
      <c r="A735">
        <v>410470025022</v>
      </c>
      <c r="B735">
        <v>136</v>
      </c>
      <c r="C735">
        <v>9.4240000000000006E-5</v>
      </c>
    </row>
    <row r="736" spans="1:3" x14ac:dyDescent="0.25">
      <c r="A736">
        <v>410470025022</v>
      </c>
      <c r="B736">
        <v>137</v>
      </c>
      <c r="C736">
        <v>1.2832799999999999E-3</v>
      </c>
    </row>
    <row r="737" spans="1:3" x14ac:dyDescent="0.25">
      <c r="A737">
        <v>410470025022</v>
      </c>
      <c r="B737">
        <v>138</v>
      </c>
      <c r="C737">
        <v>0.11093773999999999</v>
      </c>
    </row>
    <row r="738" spans="1:3" x14ac:dyDescent="0.25">
      <c r="A738">
        <v>410470025022</v>
      </c>
      <c r="B738">
        <v>139</v>
      </c>
      <c r="C738">
        <v>1.7385999999999999E-4</v>
      </c>
    </row>
    <row r="739" spans="1:3" x14ac:dyDescent="0.25">
      <c r="A739">
        <v>410470025022</v>
      </c>
      <c r="B739">
        <v>140</v>
      </c>
      <c r="C739">
        <v>2.6519999999999997E-5</v>
      </c>
    </row>
    <row r="740" spans="1:3" x14ac:dyDescent="0.25">
      <c r="A740">
        <v>410470025023</v>
      </c>
      <c r="B740">
        <v>92</v>
      </c>
      <c r="C740">
        <v>4.1367499999999998E-3</v>
      </c>
    </row>
    <row r="741" spans="1:3" x14ac:dyDescent="0.25">
      <c r="A741">
        <v>410470025023</v>
      </c>
      <c r="B741">
        <v>100</v>
      </c>
      <c r="C741">
        <v>8.164E-4</v>
      </c>
    </row>
    <row r="742" spans="1:3" x14ac:dyDescent="0.25">
      <c r="A742">
        <v>410470025023</v>
      </c>
      <c r="B742">
        <v>131</v>
      </c>
      <c r="C742">
        <v>0.12540725</v>
      </c>
    </row>
    <row r="743" spans="1:3" x14ac:dyDescent="0.25">
      <c r="A743">
        <v>410470025023</v>
      </c>
      <c r="B743">
        <v>134</v>
      </c>
      <c r="C743">
        <v>1.9137000000000001E-4</v>
      </c>
    </row>
    <row r="744" spans="1:3" x14ac:dyDescent="0.25">
      <c r="A744">
        <v>410470025023</v>
      </c>
      <c r="B744">
        <v>135</v>
      </c>
      <c r="C744">
        <v>0.37408217999999999</v>
      </c>
    </row>
    <row r="745" spans="1:3" x14ac:dyDescent="0.25">
      <c r="A745">
        <v>410470025023</v>
      </c>
      <c r="B745">
        <v>136</v>
      </c>
      <c r="C745">
        <v>0.19156563999999998</v>
      </c>
    </row>
    <row r="746" spans="1:3" x14ac:dyDescent="0.25">
      <c r="A746">
        <v>410470025023</v>
      </c>
      <c r="B746">
        <v>137</v>
      </c>
      <c r="C746">
        <v>0.30112207000000002</v>
      </c>
    </row>
    <row r="747" spans="1:3" x14ac:dyDescent="0.25">
      <c r="A747">
        <v>410470025023</v>
      </c>
      <c r="B747">
        <v>138</v>
      </c>
      <c r="C747">
        <v>6.8000000000000001E-6</v>
      </c>
    </row>
    <row r="748" spans="1:3" x14ac:dyDescent="0.25">
      <c r="A748">
        <v>410470025023</v>
      </c>
      <c r="B748">
        <v>140</v>
      </c>
      <c r="C748">
        <v>2.6444000000000001E-4</v>
      </c>
    </row>
    <row r="749" spans="1:3" x14ac:dyDescent="0.25">
      <c r="A749">
        <v>410470025023</v>
      </c>
      <c r="B749">
        <v>211</v>
      </c>
      <c r="C749">
        <v>2.2555100000000001E-3</v>
      </c>
    </row>
    <row r="750" spans="1:3" x14ac:dyDescent="0.25">
      <c r="A750">
        <v>410470025031</v>
      </c>
      <c r="B750">
        <v>86</v>
      </c>
      <c r="C750">
        <v>6.2069200000000003E-3</v>
      </c>
    </row>
    <row r="751" spans="1:3" x14ac:dyDescent="0.25">
      <c r="A751">
        <v>410470025031</v>
      </c>
      <c r="B751">
        <v>88</v>
      </c>
      <c r="C751">
        <v>9.8565419999999987E-2</v>
      </c>
    </row>
    <row r="752" spans="1:3" x14ac:dyDescent="0.25">
      <c r="A752">
        <v>410470025031</v>
      </c>
      <c r="B752">
        <v>89</v>
      </c>
      <c r="C752">
        <v>0.88368656000000001</v>
      </c>
    </row>
    <row r="753" spans="1:3" x14ac:dyDescent="0.25">
      <c r="A753">
        <v>410470025031</v>
      </c>
      <c r="B753">
        <v>90</v>
      </c>
      <c r="C753">
        <v>9.1712700000000005E-3</v>
      </c>
    </row>
    <row r="754" spans="1:3" x14ac:dyDescent="0.25">
      <c r="A754">
        <v>410470025031</v>
      </c>
      <c r="B754">
        <v>91</v>
      </c>
      <c r="C754">
        <v>2.3698299999999999E-3</v>
      </c>
    </row>
    <row r="755" spans="1:3" x14ac:dyDescent="0.25">
      <c r="A755">
        <v>410470025032</v>
      </c>
      <c r="B755">
        <v>80</v>
      </c>
      <c r="C755">
        <v>4.0432999999999995E-4</v>
      </c>
    </row>
    <row r="756" spans="1:3" x14ac:dyDescent="0.25">
      <c r="A756">
        <v>410470025032</v>
      </c>
      <c r="B756">
        <v>82</v>
      </c>
      <c r="C756">
        <v>3.070937E-2</v>
      </c>
    </row>
    <row r="757" spans="1:3" x14ac:dyDescent="0.25">
      <c r="A757">
        <v>410470025032</v>
      </c>
      <c r="B757">
        <v>88</v>
      </c>
      <c r="C757">
        <v>0.61891145999999997</v>
      </c>
    </row>
    <row r="758" spans="1:3" x14ac:dyDescent="0.25">
      <c r="A758">
        <v>410470025032</v>
      </c>
      <c r="B758">
        <v>89</v>
      </c>
      <c r="C758">
        <v>1.97314E-3</v>
      </c>
    </row>
    <row r="759" spans="1:3" x14ac:dyDescent="0.25">
      <c r="A759">
        <v>410470025032</v>
      </c>
      <c r="B759">
        <v>90</v>
      </c>
      <c r="C759">
        <v>0.34268482</v>
      </c>
    </row>
    <row r="760" spans="1:3" x14ac:dyDescent="0.25">
      <c r="A760">
        <v>410470025032</v>
      </c>
      <c r="B760">
        <v>91</v>
      </c>
      <c r="C760">
        <v>5.3169200000000002E-3</v>
      </c>
    </row>
    <row r="761" spans="1:3" x14ac:dyDescent="0.25">
      <c r="A761">
        <v>410470025033</v>
      </c>
      <c r="B761">
        <v>86</v>
      </c>
      <c r="C761">
        <v>0.59975650999999996</v>
      </c>
    </row>
    <row r="762" spans="1:3" x14ac:dyDescent="0.25">
      <c r="A762">
        <v>410470025033</v>
      </c>
      <c r="B762">
        <v>89</v>
      </c>
      <c r="C762">
        <v>1.3411300000000001E-3</v>
      </c>
    </row>
    <row r="763" spans="1:3" x14ac:dyDescent="0.25">
      <c r="A763">
        <v>410470025033</v>
      </c>
      <c r="B763">
        <v>90</v>
      </c>
      <c r="C763">
        <v>1.3595E-4</v>
      </c>
    </row>
    <row r="764" spans="1:3" x14ac:dyDescent="0.25">
      <c r="A764">
        <v>410470025033</v>
      </c>
      <c r="B764">
        <v>91</v>
      </c>
      <c r="C764">
        <v>0.38946277000000001</v>
      </c>
    </row>
    <row r="765" spans="1:3" x14ac:dyDescent="0.25">
      <c r="A765">
        <v>410470025033</v>
      </c>
      <c r="B765">
        <v>92</v>
      </c>
      <c r="C765">
        <v>2.8803099999999996E-3</v>
      </c>
    </row>
    <row r="766" spans="1:3" x14ac:dyDescent="0.25">
      <c r="A766">
        <v>410470025033</v>
      </c>
      <c r="B766">
        <v>94</v>
      </c>
      <c r="C766">
        <v>5.1753499999999996E-3</v>
      </c>
    </row>
    <row r="767" spans="1:3" x14ac:dyDescent="0.25">
      <c r="A767">
        <v>410470025033</v>
      </c>
      <c r="B767">
        <v>95</v>
      </c>
      <c r="C767">
        <v>1.2479800000000001E-3</v>
      </c>
    </row>
    <row r="768" spans="1:3" x14ac:dyDescent="0.25">
      <c r="A768">
        <v>410470025041</v>
      </c>
      <c r="B768">
        <v>87</v>
      </c>
      <c r="C768">
        <v>0.28945894999999999</v>
      </c>
    </row>
    <row r="769" spans="1:3" x14ac:dyDescent="0.25">
      <c r="A769">
        <v>410470025041</v>
      </c>
      <c r="B769">
        <v>88</v>
      </c>
      <c r="C769">
        <v>0.25618713999999998</v>
      </c>
    </row>
    <row r="770" spans="1:3" x14ac:dyDescent="0.25">
      <c r="A770">
        <v>410470025041</v>
      </c>
      <c r="B770">
        <v>89</v>
      </c>
      <c r="C770">
        <v>0.45435391000000003</v>
      </c>
    </row>
    <row r="771" spans="1:3" x14ac:dyDescent="0.25">
      <c r="A771">
        <v>410470025042</v>
      </c>
      <c r="B771">
        <v>85</v>
      </c>
      <c r="C771">
        <v>0.40839567000000004</v>
      </c>
    </row>
    <row r="772" spans="1:3" x14ac:dyDescent="0.25">
      <c r="A772">
        <v>410470025042</v>
      </c>
      <c r="B772">
        <v>86</v>
      </c>
      <c r="C772">
        <v>1.0971679999999999E-2</v>
      </c>
    </row>
    <row r="773" spans="1:3" x14ac:dyDescent="0.25">
      <c r="A773">
        <v>410470025042</v>
      </c>
      <c r="B773">
        <v>87</v>
      </c>
      <c r="C773">
        <v>0.50449874000000006</v>
      </c>
    </row>
    <row r="774" spans="1:3" x14ac:dyDescent="0.25">
      <c r="A774">
        <v>410470025042</v>
      </c>
      <c r="B774">
        <v>89</v>
      </c>
      <c r="C774">
        <v>7.6133900000000004E-2</v>
      </c>
    </row>
    <row r="775" spans="1:3" x14ac:dyDescent="0.25">
      <c r="A775">
        <v>410470025043</v>
      </c>
      <c r="B775">
        <v>80</v>
      </c>
      <c r="C775">
        <v>7.5709999999999992E-5</v>
      </c>
    </row>
    <row r="776" spans="1:3" x14ac:dyDescent="0.25">
      <c r="A776">
        <v>410470025043</v>
      </c>
      <c r="B776">
        <v>83</v>
      </c>
      <c r="C776">
        <v>2.9286800000000003E-3</v>
      </c>
    </row>
    <row r="777" spans="1:3" x14ac:dyDescent="0.25">
      <c r="A777">
        <v>410470025043</v>
      </c>
      <c r="B777">
        <v>87</v>
      </c>
      <c r="C777">
        <v>0.87468913000000004</v>
      </c>
    </row>
    <row r="778" spans="1:3" x14ac:dyDescent="0.25">
      <c r="A778">
        <v>410470025043</v>
      </c>
      <c r="B778">
        <v>88</v>
      </c>
      <c r="C778">
        <v>0.12230650999999999</v>
      </c>
    </row>
    <row r="779" spans="1:3" x14ac:dyDescent="0.25">
      <c r="A779">
        <v>410470026001</v>
      </c>
      <c r="B779">
        <v>133</v>
      </c>
      <c r="C779">
        <v>0.13420892000000001</v>
      </c>
    </row>
    <row r="780" spans="1:3" x14ac:dyDescent="0.25">
      <c r="A780">
        <v>410470026001</v>
      </c>
      <c r="B780">
        <v>138</v>
      </c>
      <c r="C780">
        <v>0.46773439999999999</v>
      </c>
    </row>
    <row r="781" spans="1:3" x14ac:dyDescent="0.25">
      <c r="A781">
        <v>410470026001</v>
      </c>
      <c r="B781">
        <v>139</v>
      </c>
      <c r="C781">
        <v>5.8655119999999998E-2</v>
      </c>
    </row>
    <row r="782" spans="1:3" x14ac:dyDescent="0.25">
      <c r="A782">
        <v>410470026001</v>
      </c>
      <c r="B782">
        <v>152</v>
      </c>
      <c r="C782">
        <v>0.12597656000000002</v>
      </c>
    </row>
    <row r="783" spans="1:3" x14ac:dyDescent="0.25">
      <c r="A783">
        <v>410470026001</v>
      </c>
      <c r="B783">
        <v>153</v>
      </c>
      <c r="C783">
        <v>0.16398736999999999</v>
      </c>
    </row>
    <row r="784" spans="1:3" x14ac:dyDescent="0.25">
      <c r="A784">
        <v>410470026001</v>
      </c>
      <c r="B784">
        <v>170</v>
      </c>
      <c r="C784">
        <v>2.9537369999999997E-2</v>
      </c>
    </row>
    <row r="785" spans="1:3" x14ac:dyDescent="0.25">
      <c r="A785">
        <v>410470026001</v>
      </c>
      <c r="B785">
        <v>185</v>
      </c>
      <c r="C785">
        <v>8.1094700000000006E-3</v>
      </c>
    </row>
    <row r="786" spans="1:3" x14ac:dyDescent="0.25">
      <c r="A786">
        <v>410470026001</v>
      </c>
      <c r="B786">
        <v>193</v>
      </c>
      <c r="C786">
        <v>1.173305E-2</v>
      </c>
    </row>
    <row r="787" spans="1:3" x14ac:dyDescent="0.25">
      <c r="A787">
        <v>410470026001</v>
      </c>
      <c r="B787">
        <v>206</v>
      </c>
      <c r="C787">
        <v>6.0559999999999996E-5</v>
      </c>
    </row>
    <row r="788" spans="1:3" x14ac:dyDescent="0.25">
      <c r="A788">
        <v>410470026002</v>
      </c>
      <c r="B788">
        <v>133</v>
      </c>
      <c r="C788">
        <v>1</v>
      </c>
    </row>
    <row r="789" spans="1:3" x14ac:dyDescent="0.25">
      <c r="A789">
        <v>410470027011</v>
      </c>
      <c r="B789">
        <v>395</v>
      </c>
      <c r="C789">
        <v>3.7309869999999995E-2</v>
      </c>
    </row>
    <row r="790" spans="1:3" x14ac:dyDescent="0.25">
      <c r="A790">
        <v>410470027011</v>
      </c>
      <c r="B790">
        <v>414</v>
      </c>
      <c r="C790">
        <v>0.17313212</v>
      </c>
    </row>
    <row r="791" spans="1:3" x14ac:dyDescent="0.25">
      <c r="A791">
        <v>410470027011</v>
      </c>
      <c r="B791">
        <v>415</v>
      </c>
      <c r="C791">
        <v>0.42532958999999998</v>
      </c>
    </row>
    <row r="792" spans="1:3" x14ac:dyDescent="0.25">
      <c r="A792">
        <v>410470027011</v>
      </c>
      <c r="B792">
        <v>416</v>
      </c>
      <c r="C792">
        <v>0.1672776</v>
      </c>
    </row>
    <row r="793" spans="1:3" x14ac:dyDescent="0.25">
      <c r="A793">
        <v>410470027011</v>
      </c>
      <c r="B793">
        <v>417</v>
      </c>
      <c r="C793">
        <v>1.0461089999999999E-2</v>
      </c>
    </row>
    <row r="794" spans="1:3" x14ac:dyDescent="0.25">
      <c r="A794">
        <v>410470027011</v>
      </c>
      <c r="B794">
        <v>418</v>
      </c>
      <c r="C794">
        <v>0.18648707</v>
      </c>
    </row>
    <row r="795" spans="1:3" x14ac:dyDescent="0.25">
      <c r="A795">
        <v>410470027011</v>
      </c>
      <c r="B795">
        <v>419</v>
      </c>
      <c r="C795">
        <v>2.6800000000000002E-6</v>
      </c>
    </row>
    <row r="796" spans="1:3" x14ac:dyDescent="0.25">
      <c r="A796">
        <v>410470027012</v>
      </c>
      <c r="B796">
        <v>415</v>
      </c>
      <c r="C796">
        <v>5.4894999999999998E-4</v>
      </c>
    </row>
    <row r="797" spans="1:3" x14ac:dyDescent="0.25">
      <c r="A797">
        <v>410470027012</v>
      </c>
      <c r="B797">
        <v>416</v>
      </c>
      <c r="C797">
        <v>9.5286389999999999E-2</v>
      </c>
    </row>
    <row r="798" spans="1:3" x14ac:dyDescent="0.25">
      <c r="A798">
        <v>410470027012</v>
      </c>
      <c r="B798">
        <v>417</v>
      </c>
      <c r="C798">
        <v>0.87786929000000002</v>
      </c>
    </row>
    <row r="799" spans="1:3" x14ac:dyDescent="0.25">
      <c r="A799">
        <v>410470027012</v>
      </c>
      <c r="B799">
        <v>419</v>
      </c>
      <c r="C799">
        <v>2.6295329999999999E-2</v>
      </c>
    </row>
    <row r="800" spans="1:3" x14ac:dyDescent="0.25">
      <c r="A800">
        <v>410470027013</v>
      </c>
      <c r="B800">
        <v>373</v>
      </c>
      <c r="C800">
        <v>2.0700000000000001E-6</v>
      </c>
    </row>
    <row r="801" spans="1:3" x14ac:dyDescent="0.25">
      <c r="A801">
        <v>410470027013</v>
      </c>
      <c r="B801">
        <v>388</v>
      </c>
      <c r="C801">
        <v>7.5749999999999998E-5</v>
      </c>
    </row>
    <row r="802" spans="1:3" x14ac:dyDescent="0.25">
      <c r="A802">
        <v>410470027013</v>
      </c>
      <c r="B802">
        <v>389</v>
      </c>
      <c r="C802">
        <v>2.0802999999999998E-3</v>
      </c>
    </row>
    <row r="803" spans="1:3" x14ac:dyDescent="0.25">
      <c r="A803">
        <v>410470027013</v>
      </c>
      <c r="B803">
        <v>395</v>
      </c>
      <c r="C803">
        <v>2.7145000000000001E-4</v>
      </c>
    </row>
    <row r="804" spans="1:3" x14ac:dyDescent="0.25">
      <c r="A804">
        <v>410470027013</v>
      </c>
      <c r="B804">
        <v>411</v>
      </c>
      <c r="C804">
        <v>5.0358760000000002E-2</v>
      </c>
    </row>
    <row r="805" spans="1:3" x14ac:dyDescent="0.25">
      <c r="A805">
        <v>410470027013</v>
      </c>
      <c r="B805">
        <v>417</v>
      </c>
      <c r="C805">
        <v>4.3394000000000001E-4</v>
      </c>
    </row>
    <row r="806" spans="1:3" x14ac:dyDescent="0.25">
      <c r="A806">
        <v>410470027013</v>
      </c>
      <c r="B806">
        <v>419</v>
      </c>
      <c r="C806">
        <v>0.46104387000000002</v>
      </c>
    </row>
    <row r="807" spans="1:3" x14ac:dyDescent="0.25">
      <c r="A807">
        <v>410470027013</v>
      </c>
      <c r="B807">
        <v>420</v>
      </c>
      <c r="C807">
        <v>0.40853991000000001</v>
      </c>
    </row>
    <row r="808" spans="1:3" x14ac:dyDescent="0.25">
      <c r="A808">
        <v>410470027013</v>
      </c>
      <c r="B808">
        <v>421</v>
      </c>
      <c r="C808">
        <v>3.1919000000000001E-4</v>
      </c>
    </row>
    <row r="809" spans="1:3" x14ac:dyDescent="0.25">
      <c r="A809">
        <v>410470027013</v>
      </c>
      <c r="B809">
        <v>450</v>
      </c>
      <c r="C809">
        <v>5.8427000000000002E-4</v>
      </c>
    </row>
    <row r="810" spans="1:3" x14ac:dyDescent="0.25">
      <c r="A810">
        <v>410470027013</v>
      </c>
      <c r="B810">
        <v>451</v>
      </c>
      <c r="C810">
        <v>7.6098410000000005E-2</v>
      </c>
    </row>
    <row r="811" spans="1:3" x14ac:dyDescent="0.25">
      <c r="A811">
        <v>410470027021</v>
      </c>
      <c r="B811">
        <v>207</v>
      </c>
      <c r="C811">
        <v>3.9649480000000001E-2</v>
      </c>
    </row>
    <row r="812" spans="1:3" x14ac:dyDescent="0.25">
      <c r="A812">
        <v>410470027021</v>
      </c>
      <c r="B812">
        <v>414</v>
      </c>
      <c r="C812">
        <v>1.5357999999999999E-3</v>
      </c>
    </row>
    <row r="813" spans="1:3" x14ac:dyDescent="0.25">
      <c r="A813">
        <v>410470027021</v>
      </c>
      <c r="B813">
        <v>418</v>
      </c>
      <c r="C813">
        <v>0.95879751999999996</v>
      </c>
    </row>
    <row r="814" spans="1:3" x14ac:dyDescent="0.25">
      <c r="A814">
        <v>410470027022</v>
      </c>
      <c r="B814">
        <v>193</v>
      </c>
      <c r="C814">
        <v>2E-8</v>
      </c>
    </row>
    <row r="815" spans="1:3" x14ac:dyDescent="0.25">
      <c r="A815">
        <v>410470027022</v>
      </c>
      <c r="B815">
        <v>204</v>
      </c>
      <c r="C815">
        <v>1.1336000000000001E-4</v>
      </c>
    </row>
    <row r="816" spans="1:3" x14ac:dyDescent="0.25">
      <c r="A816">
        <v>410470027022</v>
      </c>
      <c r="B816">
        <v>205</v>
      </c>
      <c r="C816">
        <v>6.0607E-4</v>
      </c>
    </row>
    <row r="817" spans="1:3" x14ac:dyDescent="0.25">
      <c r="A817">
        <v>410470027022</v>
      </c>
      <c r="B817">
        <v>206</v>
      </c>
      <c r="C817">
        <v>1.3405000000000001E-4</v>
      </c>
    </row>
    <row r="818" spans="1:3" x14ac:dyDescent="0.25">
      <c r="A818">
        <v>410470027022</v>
      </c>
      <c r="B818">
        <v>207</v>
      </c>
      <c r="C818">
        <v>0.99518156000000002</v>
      </c>
    </row>
    <row r="819" spans="1:3" x14ac:dyDescent="0.25">
      <c r="A819">
        <v>410470027022</v>
      </c>
      <c r="B819">
        <v>395</v>
      </c>
      <c r="C819">
        <v>1.7715999999999999E-4</v>
      </c>
    </row>
    <row r="820" spans="1:3" x14ac:dyDescent="0.25">
      <c r="A820">
        <v>410470027022</v>
      </c>
      <c r="B820">
        <v>414</v>
      </c>
      <c r="C820">
        <v>3.7877800000000001E-3</v>
      </c>
    </row>
    <row r="821" spans="1:3" x14ac:dyDescent="0.25">
      <c r="A821">
        <v>410470028001</v>
      </c>
      <c r="B821">
        <v>422</v>
      </c>
      <c r="C821">
        <v>7.8029999999999997E-5</v>
      </c>
    </row>
    <row r="822" spans="1:3" x14ac:dyDescent="0.25">
      <c r="A822">
        <v>410470028001</v>
      </c>
      <c r="B822">
        <v>423</v>
      </c>
      <c r="C822">
        <v>4.7958300000000001E-3</v>
      </c>
    </row>
    <row r="823" spans="1:3" x14ac:dyDescent="0.25">
      <c r="A823">
        <v>410470028001</v>
      </c>
      <c r="B823">
        <v>424</v>
      </c>
      <c r="C823">
        <v>0.6187937</v>
      </c>
    </row>
    <row r="824" spans="1:3" x14ac:dyDescent="0.25">
      <c r="A824">
        <v>410470028001</v>
      </c>
      <c r="B824">
        <v>431</v>
      </c>
      <c r="C824">
        <v>2.2088099999999999E-3</v>
      </c>
    </row>
    <row r="825" spans="1:3" x14ac:dyDescent="0.25">
      <c r="A825">
        <v>410470028001</v>
      </c>
      <c r="B825">
        <v>432</v>
      </c>
      <c r="C825">
        <v>1.3653999999999999E-4</v>
      </c>
    </row>
    <row r="826" spans="1:3" x14ac:dyDescent="0.25">
      <c r="A826">
        <v>410470028001</v>
      </c>
      <c r="B826">
        <v>437</v>
      </c>
      <c r="C826">
        <v>0.37388278999999996</v>
      </c>
    </row>
    <row r="827" spans="1:3" x14ac:dyDescent="0.25">
      <c r="A827">
        <v>410470028001</v>
      </c>
      <c r="B827">
        <v>450</v>
      </c>
      <c r="C827">
        <v>1.0423999999999999E-4</v>
      </c>
    </row>
    <row r="828" spans="1:3" x14ac:dyDescent="0.25">
      <c r="A828">
        <v>410470028002</v>
      </c>
      <c r="B828">
        <v>389</v>
      </c>
      <c r="C828">
        <v>2.6656E-4</v>
      </c>
    </row>
    <row r="829" spans="1:3" x14ac:dyDescent="0.25">
      <c r="A829">
        <v>410470028002</v>
      </c>
      <c r="B829">
        <v>390</v>
      </c>
      <c r="C829">
        <v>8.0753200000000004E-3</v>
      </c>
    </row>
    <row r="830" spans="1:3" x14ac:dyDescent="0.25">
      <c r="A830">
        <v>410470028002</v>
      </c>
      <c r="B830">
        <v>420</v>
      </c>
      <c r="C830">
        <v>1.5100000000000002E-6</v>
      </c>
    </row>
    <row r="831" spans="1:3" x14ac:dyDescent="0.25">
      <c r="A831">
        <v>410470028002</v>
      </c>
      <c r="B831">
        <v>421</v>
      </c>
      <c r="C831">
        <v>6.522849E-2</v>
      </c>
    </row>
    <row r="832" spans="1:3" x14ac:dyDescent="0.25">
      <c r="A832">
        <v>410470028002</v>
      </c>
      <c r="B832">
        <v>422</v>
      </c>
      <c r="C832">
        <v>0.24218119999999999</v>
      </c>
    </row>
    <row r="833" spans="1:3" x14ac:dyDescent="0.25">
      <c r="A833">
        <v>410470028002</v>
      </c>
      <c r="B833">
        <v>423</v>
      </c>
      <c r="C833">
        <v>0.49662791000000001</v>
      </c>
    </row>
    <row r="834" spans="1:3" x14ac:dyDescent="0.25">
      <c r="A834">
        <v>410470028002</v>
      </c>
      <c r="B834">
        <v>424</v>
      </c>
      <c r="C834">
        <v>2.7920000000000004E-5</v>
      </c>
    </row>
    <row r="835" spans="1:3" x14ac:dyDescent="0.25">
      <c r="A835">
        <v>410470028002</v>
      </c>
      <c r="B835">
        <v>426</v>
      </c>
      <c r="C835">
        <v>1.53078E-2</v>
      </c>
    </row>
    <row r="836" spans="1:3" x14ac:dyDescent="0.25">
      <c r="A836">
        <v>410470028002</v>
      </c>
      <c r="B836">
        <v>427</v>
      </c>
      <c r="C836">
        <v>5.5241000000000003E-4</v>
      </c>
    </row>
    <row r="837" spans="1:3" x14ac:dyDescent="0.25">
      <c r="A837">
        <v>410470028002</v>
      </c>
      <c r="B837">
        <v>428</v>
      </c>
      <c r="C837">
        <v>2.8174100000000002E-3</v>
      </c>
    </row>
    <row r="838" spans="1:3" x14ac:dyDescent="0.25">
      <c r="A838">
        <v>410470028002</v>
      </c>
      <c r="B838">
        <v>430</v>
      </c>
      <c r="C838">
        <v>2.3119000000000001E-4</v>
      </c>
    </row>
    <row r="839" spans="1:3" x14ac:dyDescent="0.25">
      <c r="A839">
        <v>410470028002</v>
      </c>
      <c r="B839">
        <v>431</v>
      </c>
      <c r="C839">
        <v>2.1059E-4</v>
      </c>
    </row>
    <row r="840" spans="1:3" x14ac:dyDescent="0.25">
      <c r="A840">
        <v>410470028002</v>
      </c>
      <c r="B840">
        <v>437</v>
      </c>
      <c r="C840">
        <v>8.1639769999999987E-2</v>
      </c>
    </row>
    <row r="841" spans="1:3" x14ac:dyDescent="0.25">
      <c r="A841">
        <v>410470028002</v>
      </c>
      <c r="B841">
        <v>450</v>
      </c>
      <c r="C841">
        <v>8.6840130000000001E-2</v>
      </c>
    </row>
    <row r="842" spans="1:3" x14ac:dyDescent="0.25">
      <c r="A842">
        <v>410470108022</v>
      </c>
      <c r="B842">
        <v>424</v>
      </c>
      <c r="C842">
        <v>0.58551536000000004</v>
      </c>
    </row>
    <row r="843" spans="1:3" x14ac:dyDescent="0.25">
      <c r="A843">
        <v>410470108022</v>
      </c>
      <c r="B843">
        <v>437</v>
      </c>
      <c r="C843">
        <v>0.41448296999999995</v>
      </c>
    </row>
    <row r="844" spans="1:3" x14ac:dyDescent="0.25">
      <c r="A844">
        <v>410530051001</v>
      </c>
      <c r="B844">
        <v>61</v>
      </c>
      <c r="C844">
        <v>0.12493575</v>
      </c>
    </row>
    <row r="845" spans="1:3" x14ac:dyDescent="0.25">
      <c r="A845">
        <v>410530051001</v>
      </c>
      <c r="B845">
        <v>64</v>
      </c>
      <c r="C845">
        <v>0.46386775000000002</v>
      </c>
    </row>
    <row r="846" spans="1:3" x14ac:dyDescent="0.25">
      <c r="A846">
        <v>410530051001</v>
      </c>
      <c r="B846">
        <v>75</v>
      </c>
      <c r="C846">
        <v>1.4481000000000002E-4</v>
      </c>
    </row>
    <row r="847" spans="1:3" x14ac:dyDescent="0.25">
      <c r="A847">
        <v>410530051001</v>
      </c>
      <c r="B847">
        <v>76</v>
      </c>
      <c r="C847">
        <v>8.2800000000000003E-6</v>
      </c>
    </row>
    <row r="848" spans="1:3" x14ac:dyDescent="0.25">
      <c r="A848">
        <v>410530051001</v>
      </c>
      <c r="B848">
        <v>77</v>
      </c>
      <c r="C848">
        <v>6.2715279999999998E-2</v>
      </c>
    </row>
    <row r="849" spans="1:3" x14ac:dyDescent="0.25">
      <c r="A849">
        <v>410530051001</v>
      </c>
      <c r="B849">
        <v>78</v>
      </c>
      <c r="C849">
        <v>0.34832816999999999</v>
      </c>
    </row>
    <row r="850" spans="1:3" x14ac:dyDescent="0.25">
      <c r="A850">
        <v>410530051002</v>
      </c>
      <c r="B850">
        <v>65</v>
      </c>
      <c r="C850">
        <v>1.1218599999999999E-3</v>
      </c>
    </row>
    <row r="851" spans="1:3" x14ac:dyDescent="0.25">
      <c r="A851">
        <v>410530051002</v>
      </c>
      <c r="B851">
        <v>74</v>
      </c>
      <c r="C851">
        <v>2.1558799999999999E-2</v>
      </c>
    </row>
    <row r="852" spans="1:3" x14ac:dyDescent="0.25">
      <c r="A852">
        <v>410530051002</v>
      </c>
      <c r="B852">
        <v>75</v>
      </c>
      <c r="C852">
        <v>0.89612848000000001</v>
      </c>
    </row>
    <row r="853" spans="1:3" x14ac:dyDescent="0.25">
      <c r="A853">
        <v>410530051002</v>
      </c>
      <c r="B853">
        <v>76</v>
      </c>
      <c r="C853">
        <v>8.0338309999999996E-2</v>
      </c>
    </row>
    <row r="854" spans="1:3" x14ac:dyDescent="0.25">
      <c r="A854">
        <v>410530051002</v>
      </c>
      <c r="B854">
        <v>77</v>
      </c>
      <c r="C854">
        <v>1.5570000000000002E-5</v>
      </c>
    </row>
    <row r="855" spans="1:3" x14ac:dyDescent="0.25">
      <c r="A855">
        <v>410530051002</v>
      </c>
      <c r="B855">
        <v>78</v>
      </c>
      <c r="C855">
        <v>8.3701000000000001E-4</v>
      </c>
    </row>
    <row r="856" spans="1:3" x14ac:dyDescent="0.25">
      <c r="A856">
        <v>410530052031</v>
      </c>
      <c r="B856">
        <v>52</v>
      </c>
      <c r="C856">
        <v>1.492246E-2</v>
      </c>
    </row>
    <row r="857" spans="1:3" x14ac:dyDescent="0.25">
      <c r="A857">
        <v>410530052031</v>
      </c>
      <c r="B857">
        <v>54</v>
      </c>
      <c r="C857">
        <v>4.0765000000000002E-4</v>
      </c>
    </row>
    <row r="858" spans="1:3" x14ac:dyDescent="0.25">
      <c r="A858">
        <v>410530052031</v>
      </c>
      <c r="B858">
        <v>61</v>
      </c>
      <c r="C858">
        <v>6.9769999999999991E-5</v>
      </c>
    </row>
    <row r="859" spans="1:3" x14ac:dyDescent="0.25">
      <c r="A859">
        <v>410530052031</v>
      </c>
      <c r="B859">
        <v>64</v>
      </c>
      <c r="C859">
        <v>6.8683160000000007E-2</v>
      </c>
    </row>
    <row r="860" spans="1:3" x14ac:dyDescent="0.25">
      <c r="A860">
        <v>410530052031</v>
      </c>
      <c r="B860">
        <v>65</v>
      </c>
      <c r="C860">
        <v>0.4204444</v>
      </c>
    </row>
    <row r="861" spans="1:3" x14ac:dyDescent="0.25">
      <c r="A861">
        <v>410530052031</v>
      </c>
      <c r="B861">
        <v>71</v>
      </c>
      <c r="C861">
        <v>6.0666499999999998E-3</v>
      </c>
    </row>
    <row r="862" spans="1:3" x14ac:dyDescent="0.25">
      <c r="A862">
        <v>410530052031</v>
      </c>
      <c r="B862">
        <v>74</v>
      </c>
      <c r="C862">
        <v>0.27486592000000004</v>
      </c>
    </row>
    <row r="863" spans="1:3" x14ac:dyDescent="0.25">
      <c r="A863">
        <v>410530052031</v>
      </c>
      <c r="B863">
        <v>75</v>
      </c>
      <c r="C863">
        <v>7.3660000000000002E-4</v>
      </c>
    </row>
    <row r="864" spans="1:3" x14ac:dyDescent="0.25">
      <c r="A864">
        <v>410530052031</v>
      </c>
      <c r="B864">
        <v>76</v>
      </c>
      <c r="C864">
        <v>8.3232139999999996E-2</v>
      </c>
    </row>
    <row r="865" spans="1:3" x14ac:dyDescent="0.25">
      <c r="A865">
        <v>410530052031</v>
      </c>
      <c r="B865">
        <v>78</v>
      </c>
      <c r="C865">
        <v>0.13057123000000001</v>
      </c>
    </row>
    <row r="866" spans="1:3" x14ac:dyDescent="0.25">
      <c r="A866">
        <v>410530052032</v>
      </c>
      <c r="B866">
        <v>54</v>
      </c>
      <c r="C866">
        <v>8.0069999999999997E-5</v>
      </c>
    </row>
    <row r="867" spans="1:3" x14ac:dyDescent="0.25">
      <c r="A867">
        <v>410530052032</v>
      </c>
      <c r="B867">
        <v>56</v>
      </c>
      <c r="C867">
        <v>6.6449300000000003E-3</v>
      </c>
    </row>
    <row r="868" spans="1:3" x14ac:dyDescent="0.25">
      <c r="A868">
        <v>410530052032</v>
      </c>
      <c r="B868">
        <v>66</v>
      </c>
      <c r="C868">
        <v>2.8730999999999999E-4</v>
      </c>
    </row>
    <row r="869" spans="1:3" x14ac:dyDescent="0.25">
      <c r="A869">
        <v>410530052032</v>
      </c>
      <c r="B869">
        <v>67</v>
      </c>
      <c r="C869">
        <v>0.99298768999999998</v>
      </c>
    </row>
    <row r="870" spans="1:3" x14ac:dyDescent="0.25">
      <c r="A870">
        <v>410530052032</v>
      </c>
      <c r="B870">
        <v>70</v>
      </c>
      <c r="C870">
        <v>0</v>
      </c>
    </row>
    <row r="871" spans="1:3" x14ac:dyDescent="0.25">
      <c r="A871">
        <v>410530052033</v>
      </c>
      <c r="B871">
        <v>54</v>
      </c>
      <c r="C871">
        <v>8.7934399999999996E-3</v>
      </c>
    </row>
    <row r="872" spans="1:3" x14ac:dyDescent="0.25">
      <c r="A872">
        <v>410530052033</v>
      </c>
      <c r="B872">
        <v>65</v>
      </c>
      <c r="C872">
        <v>8.0143070000000011E-2</v>
      </c>
    </row>
    <row r="873" spans="1:3" x14ac:dyDescent="0.25">
      <c r="A873">
        <v>410530052033</v>
      </c>
      <c r="B873">
        <v>66</v>
      </c>
      <c r="C873">
        <v>0.69483976000000003</v>
      </c>
    </row>
    <row r="874" spans="1:3" x14ac:dyDescent="0.25">
      <c r="A874">
        <v>410530052033</v>
      </c>
      <c r="B874">
        <v>67</v>
      </c>
      <c r="C874">
        <v>0.10263903000000001</v>
      </c>
    </row>
    <row r="875" spans="1:3" x14ac:dyDescent="0.25">
      <c r="A875">
        <v>410530052033</v>
      </c>
      <c r="B875">
        <v>70</v>
      </c>
      <c r="C875">
        <v>1.6580000000000002E-4</v>
      </c>
    </row>
    <row r="876" spans="1:3" x14ac:dyDescent="0.25">
      <c r="A876">
        <v>410530052033</v>
      </c>
      <c r="B876">
        <v>71</v>
      </c>
      <c r="C876">
        <v>4.3565700000000006E-3</v>
      </c>
    </row>
    <row r="877" spans="1:3" x14ac:dyDescent="0.25">
      <c r="A877">
        <v>410530052033</v>
      </c>
      <c r="B877">
        <v>74</v>
      </c>
      <c r="C877">
        <v>0.1090623</v>
      </c>
    </row>
    <row r="878" spans="1:3" x14ac:dyDescent="0.25">
      <c r="A878">
        <v>410530052041</v>
      </c>
      <c r="B878">
        <v>61</v>
      </c>
      <c r="C878">
        <v>5.3261399999999993E-2</v>
      </c>
    </row>
    <row r="879" spans="1:3" x14ac:dyDescent="0.25">
      <c r="A879">
        <v>410530052041</v>
      </c>
      <c r="B879">
        <v>64</v>
      </c>
      <c r="C879">
        <v>4.6039770000000008E-2</v>
      </c>
    </row>
    <row r="880" spans="1:3" x14ac:dyDescent="0.25">
      <c r="A880">
        <v>410530052041</v>
      </c>
      <c r="B880">
        <v>66</v>
      </c>
      <c r="C880">
        <v>2.7776E-4</v>
      </c>
    </row>
    <row r="881" spans="1:3" x14ac:dyDescent="0.25">
      <c r="A881">
        <v>410530052041</v>
      </c>
      <c r="B881">
        <v>71</v>
      </c>
      <c r="C881">
        <v>0.81863607999999999</v>
      </c>
    </row>
    <row r="882" spans="1:3" x14ac:dyDescent="0.25">
      <c r="A882">
        <v>410530052041</v>
      </c>
      <c r="B882">
        <v>74</v>
      </c>
      <c r="C882">
        <v>2.1387000000000001E-4</v>
      </c>
    </row>
    <row r="883" spans="1:3" x14ac:dyDescent="0.25">
      <c r="A883">
        <v>410530052041</v>
      </c>
      <c r="B883">
        <v>76</v>
      </c>
      <c r="C883">
        <v>3.3514420000000003E-2</v>
      </c>
    </row>
    <row r="884" spans="1:3" x14ac:dyDescent="0.25">
      <c r="A884">
        <v>410530052041</v>
      </c>
      <c r="B884">
        <v>77</v>
      </c>
      <c r="C884">
        <v>3.1050689999999999E-2</v>
      </c>
    </row>
    <row r="885" spans="1:3" x14ac:dyDescent="0.25">
      <c r="A885">
        <v>410530052041</v>
      </c>
      <c r="B885">
        <v>435</v>
      </c>
      <c r="C885">
        <v>2.7116600000000003E-3</v>
      </c>
    </row>
    <row r="886" spans="1:3" x14ac:dyDescent="0.25">
      <c r="A886">
        <v>410530052041</v>
      </c>
      <c r="B886">
        <v>436</v>
      </c>
      <c r="C886">
        <v>1.4294350000000001E-2</v>
      </c>
    </row>
    <row r="887" spans="1:3" x14ac:dyDescent="0.25">
      <c r="A887">
        <v>410530052042</v>
      </c>
      <c r="B887">
        <v>37</v>
      </c>
      <c r="C887">
        <v>1.330698E-2</v>
      </c>
    </row>
    <row r="888" spans="1:3" x14ac:dyDescent="0.25">
      <c r="A888">
        <v>410530052042</v>
      </c>
      <c r="B888">
        <v>38</v>
      </c>
      <c r="C888">
        <v>0.67108523000000009</v>
      </c>
    </row>
    <row r="889" spans="1:3" x14ac:dyDescent="0.25">
      <c r="A889">
        <v>410530052042</v>
      </c>
      <c r="B889">
        <v>39</v>
      </c>
      <c r="C889">
        <v>2.9340699999999996E-3</v>
      </c>
    </row>
    <row r="890" spans="1:3" x14ac:dyDescent="0.25">
      <c r="A890">
        <v>410530052042</v>
      </c>
      <c r="B890">
        <v>56</v>
      </c>
      <c r="C890">
        <v>1.5546499999999999E-3</v>
      </c>
    </row>
    <row r="891" spans="1:3" x14ac:dyDescent="0.25">
      <c r="A891">
        <v>410530052042</v>
      </c>
      <c r="B891">
        <v>66</v>
      </c>
      <c r="C891">
        <v>2.2494E-4</v>
      </c>
    </row>
    <row r="892" spans="1:3" x14ac:dyDescent="0.25">
      <c r="A892">
        <v>410530052042</v>
      </c>
      <c r="B892">
        <v>67</v>
      </c>
      <c r="C892">
        <v>1.19181E-3</v>
      </c>
    </row>
    <row r="893" spans="1:3" x14ac:dyDescent="0.25">
      <c r="A893">
        <v>410530052042</v>
      </c>
      <c r="B893">
        <v>70</v>
      </c>
      <c r="C893">
        <v>0.23408282</v>
      </c>
    </row>
    <row r="894" spans="1:3" x14ac:dyDescent="0.25">
      <c r="A894">
        <v>410530052042</v>
      </c>
      <c r="B894">
        <v>71</v>
      </c>
      <c r="C894">
        <v>7.5619500000000006E-2</v>
      </c>
    </row>
    <row r="895" spans="1:3" x14ac:dyDescent="0.25">
      <c r="A895">
        <v>410530052051</v>
      </c>
      <c r="B895">
        <v>51</v>
      </c>
      <c r="C895">
        <v>1.0557000000000001E-4</v>
      </c>
    </row>
    <row r="896" spans="1:3" x14ac:dyDescent="0.25">
      <c r="A896">
        <v>410530052051</v>
      </c>
      <c r="B896">
        <v>52</v>
      </c>
      <c r="C896">
        <v>0.9940160400000001</v>
      </c>
    </row>
    <row r="897" spans="1:3" x14ac:dyDescent="0.25">
      <c r="A897">
        <v>410530052051</v>
      </c>
      <c r="B897">
        <v>53</v>
      </c>
      <c r="C897">
        <v>1.04E-6</v>
      </c>
    </row>
    <row r="898" spans="1:3" x14ac:dyDescent="0.25">
      <c r="A898">
        <v>410530052051</v>
      </c>
      <c r="B898">
        <v>54</v>
      </c>
      <c r="C898">
        <v>5.7987799999999999E-3</v>
      </c>
    </row>
    <row r="899" spans="1:3" x14ac:dyDescent="0.25">
      <c r="A899">
        <v>410530052051</v>
      </c>
      <c r="B899">
        <v>61</v>
      </c>
      <c r="C899">
        <v>2.512E-5</v>
      </c>
    </row>
    <row r="900" spans="1:3" x14ac:dyDescent="0.25">
      <c r="A900">
        <v>410530052051</v>
      </c>
      <c r="B900">
        <v>447</v>
      </c>
      <c r="C900">
        <v>4.32E-5</v>
      </c>
    </row>
    <row r="901" spans="1:3" x14ac:dyDescent="0.25">
      <c r="A901">
        <v>410530052052</v>
      </c>
      <c r="B901">
        <v>50</v>
      </c>
      <c r="C901">
        <v>3.1E-6</v>
      </c>
    </row>
    <row r="902" spans="1:3" x14ac:dyDescent="0.25">
      <c r="A902">
        <v>410530052052</v>
      </c>
      <c r="B902">
        <v>51</v>
      </c>
      <c r="C902">
        <v>3.1909999999999998E-5</v>
      </c>
    </row>
    <row r="903" spans="1:3" x14ac:dyDescent="0.25">
      <c r="A903">
        <v>410530052052</v>
      </c>
      <c r="B903">
        <v>52</v>
      </c>
      <c r="C903">
        <v>1.0059100000000001E-3</v>
      </c>
    </row>
    <row r="904" spans="1:3" x14ac:dyDescent="0.25">
      <c r="A904">
        <v>410530052052</v>
      </c>
      <c r="B904">
        <v>54</v>
      </c>
      <c r="C904">
        <v>0.99264891000000011</v>
      </c>
    </row>
    <row r="905" spans="1:3" x14ac:dyDescent="0.25">
      <c r="A905">
        <v>410530052052</v>
      </c>
      <c r="B905">
        <v>55</v>
      </c>
      <c r="C905">
        <v>2.1938999999999999E-3</v>
      </c>
    </row>
    <row r="906" spans="1:3" x14ac:dyDescent="0.25">
      <c r="A906">
        <v>410530052052</v>
      </c>
      <c r="B906">
        <v>56</v>
      </c>
      <c r="C906">
        <v>2.62648E-3</v>
      </c>
    </row>
    <row r="907" spans="1:3" x14ac:dyDescent="0.25">
      <c r="A907">
        <v>410530052052</v>
      </c>
      <c r="B907">
        <v>67</v>
      </c>
      <c r="C907">
        <v>1.48978E-3</v>
      </c>
    </row>
    <row r="908" spans="1:3" x14ac:dyDescent="0.25">
      <c r="A908">
        <v>410530052053</v>
      </c>
      <c r="B908">
        <v>45</v>
      </c>
      <c r="C908">
        <v>5.1390000000000001E-5</v>
      </c>
    </row>
    <row r="909" spans="1:3" x14ac:dyDescent="0.25">
      <c r="A909">
        <v>410530052053</v>
      </c>
      <c r="B909">
        <v>47</v>
      </c>
      <c r="C909">
        <v>2.3562000000000001E-3</v>
      </c>
    </row>
    <row r="910" spans="1:3" x14ac:dyDescent="0.25">
      <c r="A910">
        <v>410530052053</v>
      </c>
      <c r="B910">
        <v>49</v>
      </c>
      <c r="C910">
        <v>0.41262363000000002</v>
      </c>
    </row>
    <row r="911" spans="1:3" x14ac:dyDescent="0.25">
      <c r="A911">
        <v>410530052053</v>
      </c>
      <c r="B911">
        <v>50</v>
      </c>
      <c r="C911">
        <v>3.4096900000000004E-3</v>
      </c>
    </row>
    <row r="912" spans="1:3" x14ac:dyDescent="0.25">
      <c r="A912">
        <v>410530052053</v>
      </c>
      <c r="B912">
        <v>51</v>
      </c>
      <c r="C912">
        <v>0.52781168000000001</v>
      </c>
    </row>
    <row r="913" spans="1:3" x14ac:dyDescent="0.25">
      <c r="A913">
        <v>410530052053</v>
      </c>
      <c r="B913">
        <v>52</v>
      </c>
      <c r="C913">
        <v>5.232183E-2</v>
      </c>
    </row>
    <row r="914" spans="1:3" x14ac:dyDescent="0.25">
      <c r="A914">
        <v>410530052053</v>
      </c>
      <c r="B914">
        <v>54</v>
      </c>
      <c r="C914">
        <v>9.0924000000000007E-4</v>
      </c>
    </row>
    <row r="915" spans="1:3" x14ac:dyDescent="0.25">
      <c r="A915">
        <v>410530052053</v>
      </c>
      <c r="B915">
        <v>447</v>
      </c>
      <c r="C915">
        <v>4.9914000000000002E-4</v>
      </c>
    </row>
    <row r="916" spans="1:3" x14ac:dyDescent="0.25">
      <c r="A916">
        <v>410530052061</v>
      </c>
      <c r="B916">
        <v>43</v>
      </c>
      <c r="C916">
        <v>0.61280327000000001</v>
      </c>
    </row>
    <row r="917" spans="1:3" x14ac:dyDescent="0.25">
      <c r="A917">
        <v>410530052061</v>
      </c>
      <c r="B917">
        <v>48</v>
      </c>
      <c r="C917">
        <v>4.9670000000000004E-5</v>
      </c>
    </row>
    <row r="918" spans="1:3" x14ac:dyDescent="0.25">
      <c r="A918">
        <v>410530052061</v>
      </c>
      <c r="B918">
        <v>49</v>
      </c>
      <c r="C918">
        <v>1.7452500000000001E-3</v>
      </c>
    </row>
    <row r="919" spans="1:3" x14ac:dyDescent="0.25">
      <c r="A919">
        <v>410530052061</v>
      </c>
      <c r="B919">
        <v>51</v>
      </c>
      <c r="C919">
        <v>4.1239999999999998E-5</v>
      </c>
    </row>
    <row r="920" spans="1:3" x14ac:dyDescent="0.25">
      <c r="A920">
        <v>410530052061</v>
      </c>
      <c r="B920">
        <v>52</v>
      </c>
      <c r="C920">
        <v>2.97365E-3</v>
      </c>
    </row>
    <row r="921" spans="1:3" x14ac:dyDescent="0.25">
      <c r="A921">
        <v>410530052061</v>
      </c>
      <c r="B921">
        <v>53</v>
      </c>
      <c r="C921">
        <v>9.0596239999999995E-2</v>
      </c>
    </row>
    <row r="922" spans="1:3" x14ac:dyDescent="0.25">
      <c r="A922">
        <v>410530052061</v>
      </c>
      <c r="B922">
        <v>61</v>
      </c>
      <c r="C922">
        <v>0.23191594999999998</v>
      </c>
    </row>
    <row r="923" spans="1:3" x14ac:dyDescent="0.25">
      <c r="A923">
        <v>410530052061</v>
      </c>
      <c r="B923">
        <v>64</v>
      </c>
      <c r="C923">
        <v>5.2448000000000002E-4</v>
      </c>
    </row>
    <row r="924" spans="1:3" x14ac:dyDescent="0.25">
      <c r="A924">
        <v>410530052061</v>
      </c>
      <c r="B924">
        <v>120</v>
      </c>
      <c r="C924">
        <v>5.5942000000000003E-4</v>
      </c>
    </row>
    <row r="925" spans="1:3" x14ac:dyDescent="0.25">
      <c r="A925">
        <v>410530052061</v>
      </c>
      <c r="B925">
        <v>124</v>
      </c>
      <c r="C925">
        <v>1.8052999999999999E-3</v>
      </c>
    </row>
    <row r="926" spans="1:3" x14ac:dyDescent="0.25">
      <c r="A926">
        <v>410530052061</v>
      </c>
      <c r="B926">
        <v>226</v>
      </c>
      <c r="C926">
        <v>2.3549700000000001E-3</v>
      </c>
    </row>
    <row r="927" spans="1:3" x14ac:dyDescent="0.25">
      <c r="A927">
        <v>410530052061</v>
      </c>
      <c r="B927">
        <v>227</v>
      </c>
      <c r="C927">
        <v>1.2639389999999999E-2</v>
      </c>
    </row>
    <row r="928" spans="1:3" x14ac:dyDescent="0.25">
      <c r="A928">
        <v>410530052061</v>
      </c>
      <c r="B928">
        <v>238</v>
      </c>
      <c r="C928">
        <v>1.053601E-2</v>
      </c>
    </row>
    <row r="929" spans="1:3" x14ac:dyDescent="0.25">
      <c r="A929">
        <v>410530052061</v>
      </c>
      <c r="B929">
        <v>447</v>
      </c>
      <c r="C929">
        <v>3.1450510000000001E-2</v>
      </c>
    </row>
    <row r="930" spans="1:3" x14ac:dyDescent="0.25">
      <c r="A930">
        <v>410530053011</v>
      </c>
      <c r="B930">
        <v>39</v>
      </c>
      <c r="C930">
        <v>5.7107000000000002E-4</v>
      </c>
    </row>
    <row r="931" spans="1:3" x14ac:dyDescent="0.25">
      <c r="A931">
        <v>410530053011</v>
      </c>
      <c r="B931">
        <v>40</v>
      </c>
      <c r="C931">
        <v>2.753266E-2</v>
      </c>
    </row>
    <row r="932" spans="1:3" x14ac:dyDescent="0.25">
      <c r="A932">
        <v>410530053011</v>
      </c>
      <c r="B932">
        <v>41</v>
      </c>
      <c r="C932">
        <v>1.6629999999999998E-5</v>
      </c>
    </row>
    <row r="933" spans="1:3" x14ac:dyDescent="0.25">
      <c r="A933">
        <v>410530053011</v>
      </c>
      <c r="B933">
        <v>50</v>
      </c>
      <c r="C933">
        <v>4.299E-5</v>
      </c>
    </row>
    <row r="934" spans="1:3" x14ac:dyDescent="0.25">
      <c r="A934">
        <v>410530053011</v>
      </c>
      <c r="B934">
        <v>55</v>
      </c>
      <c r="C934">
        <v>0.24139772000000001</v>
      </c>
    </row>
    <row r="935" spans="1:3" x14ac:dyDescent="0.25">
      <c r="A935">
        <v>410530053011</v>
      </c>
      <c r="B935">
        <v>56</v>
      </c>
      <c r="C935">
        <v>0.72939639000000001</v>
      </c>
    </row>
    <row r="936" spans="1:3" x14ac:dyDescent="0.25">
      <c r="A936">
        <v>410530053011</v>
      </c>
      <c r="B936">
        <v>67</v>
      </c>
      <c r="C936">
        <v>1.0425300000000001E-3</v>
      </c>
    </row>
    <row r="937" spans="1:3" x14ac:dyDescent="0.25">
      <c r="A937">
        <v>410530053012</v>
      </c>
      <c r="B937">
        <v>32</v>
      </c>
      <c r="C937">
        <v>3.9004999999999997E-4</v>
      </c>
    </row>
    <row r="938" spans="1:3" x14ac:dyDescent="0.25">
      <c r="A938">
        <v>410530053012</v>
      </c>
      <c r="B938">
        <v>42</v>
      </c>
      <c r="C938">
        <v>9.3208600000000003E-3</v>
      </c>
    </row>
    <row r="939" spans="1:3" x14ac:dyDescent="0.25">
      <c r="A939">
        <v>410530053012</v>
      </c>
      <c r="B939">
        <v>43</v>
      </c>
      <c r="C939">
        <v>0.80484015999999992</v>
      </c>
    </row>
    <row r="940" spans="1:3" x14ac:dyDescent="0.25">
      <c r="A940">
        <v>410530053012</v>
      </c>
      <c r="B940">
        <v>44</v>
      </c>
      <c r="C940">
        <v>0.14257275999999999</v>
      </c>
    </row>
    <row r="941" spans="1:3" x14ac:dyDescent="0.25">
      <c r="A941">
        <v>410530053012</v>
      </c>
      <c r="B941">
        <v>45</v>
      </c>
      <c r="C941">
        <v>7.1494000000000006E-4</v>
      </c>
    </row>
    <row r="942" spans="1:3" x14ac:dyDescent="0.25">
      <c r="A942">
        <v>410530053012</v>
      </c>
      <c r="B942">
        <v>47</v>
      </c>
      <c r="C942">
        <v>1.00314E-3</v>
      </c>
    </row>
    <row r="943" spans="1:3" x14ac:dyDescent="0.25">
      <c r="A943">
        <v>410530053012</v>
      </c>
      <c r="B943">
        <v>48</v>
      </c>
      <c r="C943">
        <v>3.5475850000000003E-2</v>
      </c>
    </row>
    <row r="944" spans="1:3" x14ac:dyDescent="0.25">
      <c r="A944">
        <v>410530053012</v>
      </c>
      <c r="B944">
        <v>49</v>
      </c>
      <c r="C944">
        <v>1.61085E-3</v>
      </c>
    </row>
    <row r="945" spans="1:3" x14ac:dyDescent="0.25">
      <c r="A945">
        <v>410530053012</v>
      </c>
      <c r="B945">
        <v>81</v>
      </c>
      <c r="C945">
        <v>2.8540800000000002E-3</v>
      </c>
    </row>
    <row r="946" spans="1:3" x14ac:dyDescent="0.25">
      <c r="A946">
        <v>410530053012</v>
      </c>
      <c r="B946">
        <v>111</v>
      </c>
      <c r="C946">
        <v>2.3810999999999998E-4</v>
      </c>
    </row>
    <row r="947" spans="1:3" x14ac:dyDescent="0.25">
      <c r="A947">
        <v>410530053012</v>
      </c>
      <c r="B947">
        <v>120</v>
      </c>
      <c r="C947">
        <v>9.0337000000000002E-4</v>
      </c>
    </row>
    <row r="948" spans="1:3" x14ac:dyDescent="0.25">
      <c r="A948">
        <v>410530053012</v>
      </c>
      <c r="B948">
        <v>447</v>
      </c>
      <c r="C948">
        <v>4.5770000000000004E-5</v>
      </c>
    </row>
    <row r="949" spans="1:3" x14ac:dyDescent="0.25">
      <c r="A949">
        <v>410530053013</v>
      </c>
      <c r="B949">
        <v>31</v>
      </c>
      <c r="C949">
        <v>2.2889399999999997E-3</v>
      </c>
    </row>
    <row r="950" spans="1:3" x14ac:dyDescent="0.25">
      <c r="A950">
        <v>410530053013</v>
      </c>
      <c r="B950">
        <v>32</v>
      </c>
      <c r="C950">
        <v>0.48923565000000002</v>
      </c>
    </row>
    <row r="951" spans="1:3" x14ac:dyDescent="0.25">
      <c r="A951">
        <v>410530053013</v>
      </c>
      <c r="B951">
        <v>33</v>
      </c>
      <c r="C951">
        <v>1.1331000000000001E-4</v>
      </c>
    </row>
    <row r="952" spans="1:3" x14ac:dyDescent="0.25">
      <c r="A952">
        <v>410530053013</v>
      </c>
      <c r="B952">
        <v>34</v>
      </c>
      <c r="C952">
        <v>5.9986700000000002E-3</v>
      </c>
    </row>
    <row r="953" spans="1:3" x14ac:dyDescent="0.25">
      <c r="A953">
        <v>410530053013</v>
      </c>
      <c r="B953">
        <v>40</v>
      </c>
      <c r="C953">
        <v>8.2900000000000002E-6</v>
      </c>
    </row>
    <row r="954" spans="1:3" x14ac:dyDescent="0.25">
      <c r="A954">
        <v>410530053013</v>
      </c>
      <c r="B954">
        <v>41</v>
      </c>
      <c r="C954">
        <v>2.97819E-2</v>
      </c>
    </row>
    <row r="955" spans="1:3" x14ac:dyDescent="0.25">
      <c r="A955">
        <v>410530053013</v>
      </c>
      <c r="B955">
        <v>42</v>
      </c>
      <c r="C955">
        <v>0.19779852000000001</v>
      </c>
    </row>
    <row r="956" spans="1:3" x14ac:dyDescent="0.25">
      <c r="A956">
        <v>410530053013</v>
      </c>
      <c r="B956">
        <v>43</v>
      </c>
      <c r="C956">
        <v>4.2482000000000002E-4</v>
      </c>
    </row>
    <row r="957" spans="1:3" x14ac:dyDescent="0.25">
      <c r="A957">
        <v>410530053013</v>
      </c>
      <c r="B957">
        <v>44</v>
      </c>
      <c r="C957">
        <v>1.1502999999999999E-4</v>
      </c>
    </row>
    <row r="958" spans="1:3" x14ac:dyDescent="0.25">
      <c r="A958">
        <v>410530053013</v>
      </c>
      <c r="B958">
        <v>45</v>
      </c>
      <c r="C958">
        <v>0.12412677999999999</v>
      </c>
    </row>
    <row r="959" spans="1:3" x14ac:dyDescent="0.25">
      <c r="A959">
        <v>410530053013</v>
      </c>
      <c r="B959">
        <v>47</v>
      </c>
      <c r="C959">
        <v>2.9837669999999997E-2</v>
      </c>
    </row>
    <row r="960" spans="1:3" x14ac:dyDescent="0.25">
      <c r="A960">
        <v>410530053013</v>
      </c>
      <c r="B960">
        <v>49</v>
      </c>
      <c r="C960">
        <v>6.2299999999999996E-6</v>
      </c>
    </row>
    <row r="961" spans="1:3" x14ac:dyDescent="0.25">
      <c r="A961">
        <v>410530053013</v>
      </c>
      <c r="B961">
        <v>50</v>
      </c>
      <c r="C961">
        <v>0.11417825000000001</v>
      </c>
    </row>
    <row r="962" spans="1:3" x14ac:dyDescent="0.25">
      <c r="A962">
        <v>410530053013</v>
      </c>
      <c r="B962">
        <v>51</v>
      </c>
      <c r="C962">
        <v>5.0569999999999999E-5</v>
      </c>
    </row>
    <row r="963" spans="1:3" x14ac:dyDescent="0.25">
      <c r="A963">
        <v>410530053013</v>
      </c>
      <c r="B963">
        <v>55</v>
      </c>
      <c r="C963">
        <v>5.0220000000000004E-5</v>
      </c>
    </row>
    <row r="964" spans="1:3" x14ac:dyDescent="0.25">
      <c r="A964">
        <v>410530053013</v>
      </c>
      <c r="B964">
        <v>81</v>
      </c>
      <c r="C964">
        <v>5.9863500000000005E-3</v>
      </c>
    </row>
    <row r="965" spans="1:3" x14ac:dyDescent="0.25">
      <c r="A965">
        <v>410530053014</v>
      </c>
      <c r="B965">
        <v>35</v>
      </c>
      <c r="C965">
        <v>7.2619000000000004E-4</v>
      </c>
    </row>
    <row r="966" spans="1:3" x14ac:dyDescent="0.25">
      <c r="A966">
        <v>410530053014</v>
      </c>
      <c r="B966">
        <v>36</v>
      </c>
      <c r="C966">
        <v>0.60960278999999995</v>
      </c>
    </row>
    <row r="967" spans="1:3" x14ac:dyDescent="0.25">
      <c r="A967">
        <v>410530053014</v>
      </c>
      <c r="B967">
        <v>37</v>
      </c>
      <c r="C967">
        <v>0.1194688</v>
      </c>
    </row>
    <row r="968" spans="1:3" x14ac:dyDescent="0.25">
      <c r="A968">
        <v>410530053014</v>
      </c>
      <c r="B968">
        <v>38</v>
      </c>
      <c r="C968">
        <v>2.9999999999999997E-6</v>
      </c>
    </row>
    <row r="969" spans="1:3" x14ac:dyDescent="0.25">
      <c r="A969">
        <v>410530053014</v>
      </c>
      <c r="B969">
        <v>39</v>
      </c>
      <c r="C969">
        <v>0.19840901</v>
      </c>
    </row>
    <row r="970" spans="1:3" x14ac:dyDescent="0.25">
      <c r="A970">
        <v>410530053014</v>
      </c>
      <c r="B970">
        <v>40</v>
      </c>
      <c r="C970">
        <v>6.6552840000000002E-2</v>
      </c>
    </row>
    <row r="971" spans="1:3" x14ac:dyDescent="0.25">
      <c r="A971">
        <v>410530053014</v>
      </c>
      <c r="B971">
        <v>41</v>
      </c>
      <c r="C971">
        <v>1.9406E-4</v>
      </c>
    </row>
    <row r="972" spans="1:3" x14ac:dyDescent="0.25">
      <c r="A972">
        <v>410530053014</v>
      </c>
      <c r="B972">
        <v>56</v>
      </c>
      <c r="C972">
        <v>5.0432799999999998E-3</v>
      </c>
    </row>
    <row r="973" spans="1:3" x14ac:dyDescent="0.25">
      <c r="A973">
        <v>410530053021</v>
      </c>
      <c r="B973">
        <v>31</v>
      </c>
      <c r="C973">
        <v>4.0888499999999998E-3</v>
      </c>
    </row>
    <row r="974" spans="1:3" x14ac:dyDescent="0.25">
      <c r="A974">
        <v>410530053021</v>
      </c>
      <c r="B974">
        <v>32</v>
      </c>
      <c r="C974">
        <v>7.9608700000000001E-3</v>
      </c>
    </row>
    <row r="975" spans="1:3" x14ac:dyDescent="0.25">
      <c r="A975">
        <v>410530053021</v>
      </c>
      <c r="B975">
        <v>33</v>
      </c>
      <c r="C975">
        <v>0.87320103999999998</v>
      </c>
    </row>
    <row r="976" spans="1:3" x14ac:dyDescent="0.25">
      <c r="A976">
        <v>410530053021</v>
      </c>
      <c r="B976">
        <v>34</v>
      </c>
      <c r="C976">
        <v>2.1846000000000002E-4</v>
      </c>
    </row>
    <row r="977" spans="1:3" x14ac:dyDescent="0.25">
      <c r="A977">
        <v>410530053021</v>
      </c>
      <c r="B977">
        <v>35</v>
      </c>
      <c r="C977">
        <v>1.7558599999999999E-3</v>
      </c>
    </row>
    <row r="978" spans="1:3" x14ac:dyDescent="0.25">
      <c r="A978">
        <v>410530053021</v>
      </c>
      <c r="B978">
        <v>36</v>
      </c>
      <c r="C978">
        <v>1.3488370000000001E-2</v>
      </c>
    </row>
    <row r="979" spans="1:3" x14ac:dyDescent="0.25">
      <c r="A979">
        <v>410530053021</v>
      </c>
      <c r="B979">
        <v>37</v>
      </c>
      <c r="C979">
        <v>9.5861290000000002E-2</v>
      </c>
    </row>
    <row r="980" spans="1:3" x14ac:dyDescent="0.25">
      <c r="A980">
        <v>410530053021</v>
      </c>
      <c r="B980">
        <v>432</v>
      </c>
      <c r="C980">
        <v>2.3311499999999997E-3</v>
      </c>
    </row>
    <row r="981" spans="1:3" x14ac:dyDescent="0.25">
      <c r="A981">
        <v>410530053021</v>
      </c>
      <c r="B981">
        <v>435</v>
      </c>
      <c r="C981">
        <v>1.0939000000000001E-3</v>
      </c>
    </row>
    <row r="982" spans="1:3" x14ac:dyDescent="0.25">
      <c r="A982">
        <v>410530053022</v>
      </c>
      <c r="B982">
        <v>31</v>
      </c>
      <c r="C982">
        <v>0.31585106000000002</v>
      </c>
    </row>
    <row r="983" spans="1:3" x14ac:dyDescent="0.25">
      <c r="A983">
        <v>410530053022</v>
      </c>
      <c r="B983">
        <v>32</v>
      </c>
      <c r="C983">
        <v>0.18868822999999998</v>
      </c>
    </row>
    <row r="984" spans="1:3" x14ac:dyDescent="0.25">
      <c r="A984">
        <v>410530053022</v>
      </c>
      <c r="B984">
        <v>33</v>
      </c>
      <c r="C984">
        <v>0.16027079</v>
      </c>
    </row>
    <row r="985" spans="1:3" x14ac:dyDescent="0.25">
      <c r="A985">
        <v>410530053022</v>
      </c>
      <c r="B985">
        <v>34</v>
      </c>
      <c r="C985">
        <v>0.19968534999999998</v>
      </c>
    </row>
    <row r="986" spans="1:3" x14ac:dyDescent="0.25">
      <c r="A986">
        <v>410530053022</v>
      </c>
      <c r="B986">
        <v>35</v>
      </c>
      <c r="C986">
        <v>9.6564840000000013E-2</v>
      </c>
    </row>
    <row r="987" spans="1:3" x14ac:dyDescent="0.25">
      <c r="A987">
        <v>410530053022</v>
      </c>
      <c r="B987">
        <v>36</v>
      </c>
      <c r="C987">
        <v>3.3100999999999996E-4</v>
      </c>
    </row>
    <row r="988" spans="1:3" x14ac:dyDescent="0.25">
      <c r="A988">
        <v>410530053022</v>
      </c>
      <c r="B988">
        <v>40</v>
      </c>
      <c r="C988">
        <v>1.2158E-4</v>
      </c>
    </row>
    <row r="989" spans="1:3" x14ac:dyDescent="0.25">
      <c r="A989">
        <v>410530053022</v>
      </c>
      <c r="B989">
        <v>41</v>
      </c>
      <c r="C989">
        <v>3.5230980000000002E-2</v>
      </c>
    </row>
    <row r="990" spans="1:3" x14ac:dyDescent="0.25">
      <c r="A990">
        <v>410530053022</v>
      </c>
      <c r="B990">
        <v>42</v>
      </c>
      <c r="C990">
        <v>2.6103599999999999E-3</v>
      </c>
    </row>
    <row r="991" spans="1:3" x14ac:dyDescent="0.25">
      <c r="A991">
        <v>410530053022</v>
      </c>
      <c r="B991">
        <v>45</v>
      </c>
      <c r="C991">
        <v>5.5835999999999993E-4</v>
      </c>
    </row>
    <row r="992" spans="1:3" x14ac:dyDescent="0.25">
      <c r="A992">
        <v>410530053022</v>
      </c>
      <c r="B992">
        <v>50</v>
      </c>
      <c r="C992">
        <v>8.7449999999999998E-5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F3CA-A0C2-4CF4-85AC-F77FBDF15D5F}">
  <dimension ref="A1:C992"/>
  <sheetViews>
    <sheetView workbookViewId="0">
      <selection activeCell="G17" sqref="G17"/>
    </sheetView>
  </sheetViews>
  <sheetFormatPr defaultRowHeight="15" x14ac:dyDescent="0.25"/>
  <sheetData>
    <row r="1" spans="1:3" x14ac:dyDescent="0.25">
      <c r="A1" t="s">
        <v>11</v>
      </c>
      <c r="B1" t="s">
        <v>0</v>
      </c>
      <c r="C1" t="s">
        <v>16</v>
      </c>
    </row>
    <row r="2" spans="1:3" x14ac:dyDescent="0.25">
      <c r="A2">
        <v>31</v>
      </c>
      <c r="B2">
        <v>410530053013</v>
      </c>
      <c r="C2">
        <v>3.8059399999999998E-3</v>
      </c>
    </row>
    <row r="3" spans="1:3" x14ac:dyDescent="0.25">
      <c r="A3">
        <v>31</v>
      </c>
      <c r="B3">
        <v>410530053021</v>
      </c>
      <c r="C3">
        <v>5.1725999999999996E-4</v>
      </c>
    </row>
    <row r="4" spans="1:3" x14ac:dyDescent="0.25">
      <c r="A4">
        <v>31</v>
      </c>
      <c r="B4">
        <v>410530053022</v>
      </c>
      <c r="C4">
        <v>0.99567679999999992</v>
      </c>
    </row>
    <row r="5" spans="1:3" x14ac:dyDescent="0.25">
      <c r="A5">
        <v>32</v>
      </c>
      <c r="B5">
        <v>410530053012</v>
      </c>
      <c r="C5">
        <v>1.8228999999999999E-4</v>
      </c>
    </row>
    <row r="6" spans="1:3" x14ac:dyDescent="0.25">
      <c r="A6">
        <v>32</v>
      </c>
      <c r="B6">
        <v>410530053013</v>
      </c>
      <c r="C6">
        <v>0.57713121000000001</v>
      </c>
    </row>
    <row r="7" spans="1:3" x14ac:dyDescent="0.25">
      <c r="A7">
        <v>32</v>
      </c>
      <c r="B7">
        <v>410530053021</v>
      </c>
      <c r="C7">
        <v>7.1453E-4</v>
      </c>
    </row>
    <row r="8" spans="1:3" x14ac:dyDescent="0.25">
      <c r="A8">
        <v>32</v>
      </c>
      <c r="B8">
        <v>410530053022</v>
      </c>
      <c r="C8">
        <v>0.42197197000000003</v>
      </c>
    </row>
    <row r="9" spans="1:3" x14ac:dyDescent="0.25">
      <c r="A9">
        <v>33</v>
      </c>
      <c r="B9">
        <v>410530053013</v>
      </c>
      <c r="C9">
        <v>3.0594999999999998E-4</v>
      </c>
    </row>
    <row r="10" spans="1:3" x14ac:dyDescent="0.25">
      <c r="A10">
        <v>33</v>
      </c>
      <c r="B10">
        <v>410530053021</v>
      </c>
      <c r="C10">
        <v>0.17941214</v>
      </c>
    </row>
    <row r="11" spans="1:3" x14ac:dyDescent="0.25">
      <c r="A11">
        <v>33</v>
      </c>
      <c r="B11">
        <v>410530053022</v>
      </c>
      <c r="C11">
        <v>0.82028191000000006</v>
      </c>
    </row>
    <row r="12" spans="1:3" x14ac:dyDescent="0.25">
      <c r="A12">
        <v>34</v>
      </c>
      <c r="B12">
        <v>410530053013</v>
      </c>
      <c r="C12">
        <v>1.5599140000000001E-2</v>
      </c>
    </row>
    <row r="13" spans="1:3" x14ac:dyDescent="0.25">
      <c r="A13">
        <v>34</v>
      </c>
      <c r="B13">
        <v>410530053021</v>
      </c>
      <c r="C13">
        <v>4.3220000000000003E-5</v>
      </c>
    </row>
    <row r="14" spans="1:3" x14ac:dyDescent="0.25">
      <c r="A14">
        <v>34</v>
      </c>
      <c r="B14">
        <v>410530053022</v>
      </c>
      <c r="C14">
        <v>0.98435764000000003</v>
      </c>
    </row>
    <row r="15" spans="1:3" x14ac:dyDescent="0.25">
      <c r="A15">
        <v>35</v>
      </c>
      <c r="B15">
        <v>410530053014</v>
      </c>
      <c r="C15">
        <v>4.4725299999999997E-3</v>
      </c>
    </row>
    <row r="16" spans="1:3" x14ac:dyDescent="0.25">
      <c r="A16">
        <v>35</v>
      </c>
      <c r="B16">
        <v>410530053021</v>
      </c>
      <c r="C16">
        <v>7.2595000000000005E-4</v>
      </c>
    </row>
    <row r="17" spans="1:3" x14ac:dyDescent="0.25">
      <c r="A17">
        <v>35</v>
      </c>
      <c r="B17">
        <v>410530053022</v>
      </c>
      <c r="C17">
        <v>0.99480153000000004</v>
      </c>
    </row>
    <row r="18" spans="1:3" x14ac:dyDescent="0.25">
      <c r="A18">
        <v>36</v>
      </c>
      <c r="B18">
        <v>410530053014</v>
      </c>
      <c r="C18">
        <v>0.99761122000000002</v>
      </c>
    </row>
    <row r="19" spans="1:3" x14ac:dyDescent="0.25">
      <c r="A19">
        <v>36</v>
      </c>
      <c r="B19">
        <v>410530053021</v>
      </c>
      <c r="C19">
        <v>1.48262E-3</v>
      </c>
    </row>
    <row r="20" spans="1:3" x14ac:dyDescent="0.25">
      <c r="A20">
        <v>36</v>
      </c>
      <c r="B20">
        <v>410530053022</v>
      </c>
      <c r="C20">
        <v>9.0616000000000004E-4</v>
      </c>
    </row>
    <row r="21" spans="1:3" x14ac:dyDescent="0.25">
      <c r="A21">
        <v>37</v>
      </c>
      <c r="B21">
        <v>410470024002</v>
      </c>
      <c r="C21">
        <v>1.415311E-2</v>
      </c>
    </row>
    <row r="22" spans="1:3" x14ac:dyDescent="0.25">
      <c r="A22">
        <v>37</v>
      </c>
      <c r="B22">
        <v>410530052042</v>
      </c>
      <c r="C22">
        <v>1.974654E-2</v>
      </c>
    </row>
    <row r="23" spans="1:3" x14ac:dyDescent="0.25">
      <c r="A23">
        <v>37</v>
      </c>
      <c r="B23">
        <v>410530053014</v>
      </c>
      <c r="C23">
        <v>0.91671145999999992</v>
      </c>
    </row>
    <row r="24" spans="1:3" x14ac:dyDescent="0.25">
      <c r="A24">
        <v>37</v>
      </c>
      <c r="B24">
        <v>410530053021</v>
      </c>
      <c r="C24">
        <v>4.9388889999999998E-2</v>
      </c>
    </row>
    <row r="25" spans="1:3" x14ac:dyDescent="0.25">
      <c r="A25">
        <v>38</v>
      </c>
      <c r="B25">
        <v>410470024002</v>
      </c>
      <c r="C25">
        <v>2.5434849999999998E-2</v>
      </c>
    </row>
    <row r="26" spans="1:3" x14ac:dyDescent="0.25">
      <c r="A26">
        <v>38</v>
      </c>
      <c r="B26">
        <v>410530052042</v>
      </c>
      <c r="C26">
        <v>0.97454262000000003</v>
      </c>
    </row>
    <row r="27" spans="1:3" x14ac:dyDescent="0.25">
      <c r="A27">
        <v>38</v>
      </c>
      <c r="B27">
        <v>410530053014</v>
      </c>
      <c r="C27">
        <v>2.2560000000000001E-5</v>
      </c>
    </row>
    <row r="28" spans="1:3" x14ac:dyDescent="0.25">
      <c r="A28">
        <v>39</v>
      </c>
      <c r="B28">
        <v>410530052042</v>
      </c>
      <c r="C28">
        <v>2.8504299999999997E-3</v>
      </c>
    </row>
    <row r="29" spans="1:3" x14ac:dyDescent="0.25">
      <c r="A29">
        <v>39</v>
      </c>
      <c r="B29">
        <v>410530053011</v>
      </c>
      <c r="C29">
        <v>3.9725000000000003E-4</v>
      </c>
    </row>
    <row r="30" spans="1:3" x14ac:dyDescent="0.25">
      <c r="A30">
        <v>39</v>
      </c>
      <c r="B30">
        <v>410530053014</v>
      </c>
      <c r="C30">
        <v>0.99675234000000001</v>
      </c>
    </row>
    <row r="31" spans="1:3" x14ac:dyDescent="0.25">
      <c r="A31">
        <v>40</v>
      </c>
      <c r="B31">
        <v>410530053011</v>
      </c>
      <c r="C31">
        <v>5.4016630000000003E-2</v>
      </c>
    </row>
    <row r="32" spans="1:3" x14ac:dyDescent="0.25">
      <c r="A32">
        <v>40</v>
      </c>
      <c r="B32">
        <v>410530053013</v>
      </c>
      <c r="C32">
        <v>1.0344999999999999E-4</v>
      </c>
    </row>
    <row r="33" spans="1:3" x14ac:dyDescent="0.25">
      <c r="A33">
        <v>40</v>
      </c>
      <c r="B33">
        <v>410530053014</v>
      </c>
      <c r="C33">
        <v>0.94299880000000003</v>
      </c>
    </row>
    <row r="34" spans="1:3" x14ac:dyDescent="0.25">
      <c r="A34">
        <v>40</v>
      </c>
      <c r="B34">
        <v>410530053022</v>
      </c>
      <c r="C34">
        <v>2.8811100000000001E-3</v>
      </c>
    </row>
    <row r="35" spans="1:3" x14ac:dyDescent="0.25">
      <c r="A35">
        <v>41</v>
      </c>
      <c r="B35">
        <v>410530053011</v>
      </c>
      <c r="C35">
        <v>2.7139999999999998E-5</v>
      </c>
    </row>
    <row r="36" spans="1:3" x14ac:dyDescent="0.25">
      <c r="A36">
        <v>41</v>
      </c>
      <c r="B36">
        <v>410530053013</v>
      </c>
      <c r="C36">
        <v>0.30770121</v>
      </c>
    </row>
    <row r="37" spans="1:3" x14ac:dyDescent="0.25">
      <c r="A37">
        <v>41</v>
      </c>
      <c r="B37">
        <v>410530053014</v>
      </c>
      <c r="C37">
        <v>2.2727900000000002E-3</v>
      </c>
    </row>
    <row r="38" spans="1:3" x14ac:dyDescent="0.25">
      <c r="A38">
        <v>41</v>
      </c>
      <c r="B38">
        <v>410530053022</v>
      </c>
      <c r="C38">
        <v>0.68999887000000004</v>
      </c>
    </row>
    <row r="39" spans="1:3" x14ac:dyDescent="0.25">
      <c r="A39">
        <v>42</v>
      </c>
      <c r="B39">
        <v>410470014012</v>
      </c>
      <c r="C39">
        <v>1.4173600000000001E-3</v>
      </c>
    </row>
    <row r="40" spans="1:3" x14ac:dyDescent="0.25">
      <c r="A40">
        <v>42</v>
      </c>
      <c r="B40">
        <v>410470025021</v>
      </c>
      <c r="C40">
        <v>3.3075100000000001E-3</v>
      </c>
    </row>
    <row r="41" spans="1:3" x14ac:dyDescent="0.25">
      <c r="A41">
        <v>42</v>
      </c>
      <c r="B41">
        <v>410530053012</v>
      </c>
      <c r="C41">
        <v>1.780282E-2</v>
      </c>
    </row>
    <row r="42" spans="1:3" x14ac:dyDescent="0.25">
      <c r="A42">
        <v>42</v>
      </c>
      <c r="B42">
        <v>410530053013</v>
      </c>
      <c r="C42">
        <v>0.95360908</v>
      </c>
    </row>
    <row r="43" spans="1:3" x14ac:dyDescent="0.25">
      <c r="A43">
        <v>42</v>
      </c>
      <c r="B43">
        <v>410530053022</v>
      </c>
      <c r="C43">
        <v>2.3863229999999999E-2</v>
      </c>
    </row>
    <row r="44" spans="1:3" x14ac:dyDescent="0.25">
      <c r="A44">
        <v>43</v>
      </c>
      <c r="B44">
        <v>410470003003</v>
      </c>
      <c r="C44">
        <v>2.6866099999999999E-3</v>
      </c>
    </row>
    <row r="45" spans="1:3" x14ac:dyDescent="0.25">
      <c r="A45">
        <v>43</v>
      </c>
      <c r="B45">
        <v>410470004001</v>
      </c>
      <c r="C45">
        <v>1.5765000000000001E-4</v>
      </c>
    </row>
    <row r="46" spans="1:3" x14ac:dyDescent="0.25">
      <c r="A46">
        <v>43</v>
      </c>
      <c r="B46">
        <v>410470014012</v>
      </c>
      <c r="C46">
        <v>3.7941E-4</v>
      </c>
    </row>
    <row r="47" spans="1:3" x14ac:dyDescent="0.25">
      <c r="A47">
        <v>43</v>
      </c>
      <c r="B47">
        <v>410470014021</v>
      </c>
      <c r="C47">
        <v>7.9706000000000004E-4</v>
      </c>
    </row>
    <row r="48" spans="1:3" x14ac:dyDescent="0.25">
      <c r="A48">
        <v>43</v>
      </c>
      <c r="B48">
        <v>410470014023</v>
      </c>
      <c r="C48">
        <v>9.2828999999999991E-4</v>
      </c>
    </row>
    <row r="49" spans="1:3" x14ac:dyDescent="0.25">
      <c r="A49">
        <v>43</v>
      </c>
      <c r="B49">
        <v>410530052061</v>
      </c>
      <c r="C49">
        <v>0.36110079</v>
      </c>
    </row>
    <row r="50" spans="1:3" x14ac:dyDescent="0.25">
      <c r="A50">
        <v>43</v>
      </c>
      <c r="B50">
        <v>410530053012</v>
      </c>
      <c r="C50">
        <v>0.63310676999999993</v>
      </c>
    </row>
    <row r="51" spans="1:3" x14ac:dyDescent="0.25">
      <c r="A51">
        <v>43</v>
      </c>
      <c r="B51">
        <v>410530053013</v>
      </c>
      <c r="C51">
        <v>8.4338999999999996E-4</v>
      </c>
    </row>
    <row r="52" spans="1:3" x14ac:dyDescent="0.25">
      <c r="A52">
        <v>44</v>
      </c>
      <c r="B52">
        <v>410530053012</v>
      </c>
      <c r="C52">
        <v>0.99796830000000003</v>
      </c>
    </row>
    <row r="53" spans="1:3" x14ac:dyDescent="0.25">
      <c r="A53">
        <v>44</v>
      </c>
      <c r="B53">
        <v>410530053013</v>
      </c>
      <c r="C53">
        <v>2.0317199999999999E-3</v>
      </c>
    </row>
    <row r="54" spans="1:3" x14ac:dyDescent="0.25">
      <c r="A54">
        <v>45</v>
      </c>
      <c r="B54">
        <v>410530052053</v>
      </c>
      <c r="C54">
        <v>6.3650000000000002E-5</v>
      </c>
    </row>
    <row r="55" spans="1:3" x14ac:dyDescent="0.25">
      <c r="A55">
        <v>45</v>
      </c>
      <c r="B55">
        <v>410530053012</v>
      </c>
      <c r="C55">
        <v>2.2579900000000001E-3</v>
      </c>
    </row>
    <row r="56" spans="1:3" x14ac:dyDescent="0.25">
      <c r="A56">
        <v>45</v>
      </c>
      <c r="B56">
        <v>410530053013</v>
      </c>
      <c r="C56">
        <v>0.98924274999999995</v>
      </c>
    </row>
    <row r="57" spans="1:3" x14ac:dyDescent="0.25">
      <c r="A57">
        <v>45</v>
      </c>
      <c r="B57">
        <v>410530053022</v>
      </c>
      <c r="C57">
        <v>8.4356499999999994E-3</v>
      </c>
    </row>
    <row r="58" spans="1:3" x14ac:dyDescent="0.25">
      <c r="A58">
        <v>47</v>
      </c>
      <c r="B58">
        <v>410530052053</v>
      </c>
      <c r="C58">
        <v>1.1968129999999999E-2</v>
      </c>
    </row>
    <row r="59" spans="1:3" x14ac:dyDescent="0.25">
      <c r="A59">
        <v>47</v>
      </c>
      <c r="B59">
        <v>410530053012</v>
      </c>
      <c r="C59">
        <v>1.2990390000000001E-2</v>
      </c>
    </row>
    <row r="60" spans="1:3" x14ac:dyDescent="0.25">
      <c r="A60">
        <v>47</v>
      </c>
      <c r="B60">
        <v>410530053013</v>
      </c>
      <c r="C60">
        <v>0.97504142000000005</v>
      </c>
    </row>
    <row r="61" spans="1:3" x14ac:dyDescent="0.25">
      <c r="A61">
        <v>48</v>
      </c>
      <c r="B61">
        <v>410530052061</v>
      </c>
      <c r="C61">
        <v>1.04794E-3</v>
      </c>
    </row>
    <row r="62" spans="1:3" x14ac:dyDescent="0.25">
      <c r="A62">
        <v>48</v>
      </c>
      <c r="B62">
        <v>410530053012</v>
      </c>
      <c r="C62">
        <v>0.99895098999999998</v>
      </c>
    </row>
    <row r="63" spans="1:3" x14ac:dyDescent="0.25">
      <c r="A63">
        <v>49</v>
      </c>
      <c r="B63">
        <v>410530052053</v>
      </c>
      <c r="C63">
        <v>0.98219441000000007</v>
      </c>
    </row>
    <row r="64" spans="1:3" x14ac:dyDescent="0.25">
      <c r="A64">
        <v>49</v>
      </c>
      <c r="B64">
        <v>410530052061</v>
      </c>
      <c r="C64">
        <v>7.9351500000000002E-3</v>
      </c>
    </row>
    <row r="65" spans="1:3" x14ac:dyDescent="0.25">
      <c r="A65">
        <v>49</v>
      </c>
      <c r="B65">
        <v>410530053012</v>
      </c>
      <c r="C65">
        <v>9.7750400000000005E-3</v>
      </c>
    </row>
    <row r="66" spans="1:3" x14ac:dyDescent="0.25">
      <c r="A66">
        <v>49</v>
      </c>
      <c r="B66">
        <v>410530053013</v>
      </c>
      <c r="C66">
        <v>9.5460000000000011E-5</v>
      </c>
    </row>
    <row r="67" spans="1:3" x14ac:dyDescent="0.25">
      <c r="A67">
        <v>50</v>
      </c>
      <c r="B67">
        <v>410530052052</v>
      </c>
      <c r="C67">
        <v>3.2099999999999998E-6</v>
      </c>
    </row>
    <row r="68" spans="1:3" x14ac:dyDescent="0.25">
      <c r="A68">
        <v>50</v>
      </c>
      <c r="B68">
        <v>410530052053</v>
      </c>
      <c r="C68">
        <v>4.6137299999999999E-3</v>
      </c>
    </row>
    <row r="69" spans="1:3" x14ac:dyDescent="0.25">
      <c r="A69">
        <v>50</v>
      </c>
      <c r="B69">
        <v>410530053011</v>
      </c>
      <c r="C69">
        <v>5.8710000000000005E-5</v>
      </c>
    </row>
    <row r="70" spans="1:3" x14ac:dyDescent="0.25">
      <c r="A70">
        <v>50</v>
      </c>
      <c r="B70">
        <v>410530053013</v>
      </c>
      <c r="C70">
        <v>0.99388129000000003</v>
      </c>
    </row>
    <row r="71" spans="1:3" x14ac:dyDescent="0.25">
      <c r="A71">
        <v>50</v>
      </c>
      <c r="B71">
        <v>410530053022</v>
      </c>
      <c r="C71">
        <v>1.44309E-3</v>
      </c>
    </row>
    <row r="72" spans="1:3" x14ac:dyDescent="0.25">
      <c r="A72">
        <v>51</v>
      </c>
      <c r="B72">
        <v>410530052051</v>
      </c>
      <c r="C72">
        <v>8.871000000000001E-5</v>
      </c>
    </row>
    <row r="73" spans="1:3" x14ac:dyDescent="0.25">
      <c r="A73">
        <v>51</v>
      </c>
      <c r="B73">
        <v>410530052052</v>
      </c>
      <c r="C73">
        <v>4.6290000000000006E-5</v>
      </c>
    </row>
    <row r="74" spans="1:3" x14ac:dyDescent="0.25">
      <c r="A74">
        <v>51</v>
      </c>
      <c r="B74">
        <v>410530052053</v>
      </c>
      <c r="C74">
        <v>0.9991000699999999</v>
      </c>
    </row>
    <row r="75" spans="1:3" x14ac:dyDescent="0.25">
      <c r="A75">
        <v>51</v>
      </c>
      <c r="B75">
        <v>410530052061</v>
      </c>
      <c r="C75">
        <v>1.4913E-4</v>
      </c>
    </row>
    <row r="76" spans="1:3" x14ac:dyDescent="0.25">
      <c r="A76">
        <v>51</v>
      </c>
      <c r="B76">
        <v>410530053013</v>
      </c>
      <c r="C76">
        <v>6.1573999999999993E-4</v>
      </c>
    </row>
    <row r="77" spans="1:3" x14ac:dyDescent="0.25">
      <c r="A77">
        <v>52</v>
      </c>
      <c r="B77">
        <v>410530052031</v>
      </c>
      <c r="C77">
        <v>7.9906300000000003E-3</v>
      </c>
    </row>
    <row r="78" spans="1:3" x14ac:dyDescent="0.25">
      <c r="A78">
        <v>52</v>
      </c>
      <c r="B78">
        <v>410530052051</v>
      </c>
      <c r="C78">
        <v>0.87539050000000007</v>
      </c>
    </row>
    <row r="79" spans="1:3" x14ac:dyDescent="0.25">
      <c r="A79">
        <v>52</v>
      </c>
      <c r="B79">
        <v>410530052052</v>
      </c>
      <c r="C79">
        <v>1.5291899999999999E-3</v>
      </c>
    </row>
    <row r="80" spans="1:3" x14ac:dyDescent="0.25">
      <c r="A80">
        <v>52</v>
      </c>
      <c r="B80">
        <v>410530052053</v>
      </c>
      <c r="C80">
        <v>0.10382032000000001</v>
      </c>
    </row>
    <row r="81" spans="1:3" x14ac:dyDescent="0.25">
      <c r="A81">
        <v>52</v>
      </c>
      <c r="B81">
        <v>410530052061</v>
      </c>
      <c r="C81">
        <v>1.1269380000000001E-2</v>
      </c>
    </row>
    <row r="82" spans="1:3" x14ac:dyDescent="0.25">
      <c r="A82">
        <v>53</v>
      </c>
      <c r="B82">
        <v>410530052051</v>
      </c>
      <c r="C82">
        <v>2.6800000000000002E-6</v>
      </c>
    </row>
    <row r="83" spans="1:3" x14ac:dyDescent="0.25">
      <c r="A83">
        <v>53</v>
      </c>
      <c r="B83">
        <v>410530052061</v>
      </c>
      <c r="C83">
        <v>0.99999724999999995</v>
      </c>
    </row>
    <row r="84" spans="1:3" x14ac:dyDescent="0.25">
      <c r="A84">
        <v>54</v>
      </c>
      <c r="B84">
        <v>410530052031</v>
      </c>
      <c r="C84">
        <v>1.4291999999999999E-4</v>
      </c>
    </row>
    <row r="85" spans="1:3" x14ac:dyDescent="0.25">
      <c r="A85">
        <v>54</v>
      </c>
      <c r="B85">
        <v>410530052032</v>
      </c>
      <c r="C85">
        <v>4.9589999999999998E-5</v>
      </c>
    </row>
    <row r="86" spans="1:3" x14ac:dyDescent="0.25">
      <c r="A86">
        <v>54</v>
      </c>
      <c r="B86">
        <v>410530052033</v>
      </c>
      <c r="C86">
        <v>7.23765E-3</v>
      </c>
    </row>
    <row r="87" spans="1:3" x14ac:dyDescent="0.25">
      <c r="A87">
        <v>54</v>
      </c>
      <c r="B87">
        <v>410530052051</v>
      </c>
      <c r="C87">
        <v>3.3440900000000001E-3</v>
      </c>
    </row>
    <row r="88" spans="1:3" x14ac:dyDescent="0.25">
      <c r="A88">
        <v>54</v>
      </c>
      <c r="B88">
        <v>410530052052</v>
      </c>
      <c r="C88">
        <v>0.98804451000000004</v>
      </c>
    </row>
    <row r="89" spans="1:3" x14ac:dyDescent="0.25">
      <c r="A89">
        <v>54</v>
      </c>
      <c r="B89">
        <v>410530052053</v>
      </c>
      <c r="C89">
        <v>1.18125E-3</v>
      </c>
    </row>
    <row r="90" spans="1:3" x14ac:dyDescent="0.25">
      <c r="A90">
        <v>55</v>
      </c>
      <c r="B90">
        <v>410530052052</v>
      </c>
      <c r="C90">
        <v>6.8428999999999999E-3</v>
      </c>
    </row>
    <row r="91" spans="1:3" x14ac:dyDescent="0.25">
      <c r="A91">
        <v>55</v>
      </c>
      <c r="B91">
        <v>410530053011</v>
      </c>
      <c r="C91">
        <v>0.99184223000000005</v>
      </c>
    </row>
    <row r="92" spans="1:3" x14ac:dyDescent="0.25">
      <c r="A92">
        <v>55</v>
      </c>
      <c r="B92">
        <v>410530053013</v>
      </c>
      <c r="C92">
        <v>1.3148999999999999E-3</v>
      </c>
    </row>
    <row r="93" spans="1:3" x14ac:dyDescent="0.25">
      <c r="A93">
        <v>56</v>
      </c>
      <c r="B93">
        <v>410530052032</v>
      </c>
      <c r="C93">
        <v>4.0598600000000002E-3</v>
      </c>
    </row>
    <row r="94" spans="1:3" x14ac:dyDescent="0.25">
      <c r="A94">
        <v>56</v>
      </c>
      <c r="B94">
        <v>410530052042</v>
      </c>
      <c r="C94">
        <v>2.8083599999999998E-3</v>
      </c>
    </row>
    <row r="95" spans="1:3" x14ac:dyDescent="0.25">
      <c r="A95">
        <v>56</v>
      </c>
      <c r="B95">
        <v>410530052052</v>
      </c>
      <c r="C95">
        <v>2.5792599999999999E-3</v>
      </c>
    </row>
    <row r="96" spans="1:3" x14ac:dyDescent="0.25">
      <c r="A96">
        <v>56</v>
      </c>
      <c r="B96">
        <v>410530053011</v>
      </c>
      <c r="C96">
        <v>0.94343913999999995</v>
      </c>
    </row>
    <row r="97" spans="1:3" x14ac:dyDescent="0.25">
      <c r="A97">
        <v>56</v>
      </c>
      <c r="B97">
        <v>410530053014</v>
      </c>
      <c r="C97">
        <v>4.711336E-2</v>
      </c>
    </row>
    <row r="98" spans="1:3" x14ac:dyDescent="0.25">
      <c r="A98">
        <v>61</v>
      </c>
      <c r="B98">
        <v>410470002001</v>
      </c>
      <c r="C98">
        <v>7.26437E-3</v>
      </c>
    </row>
    <row r="99" spans="1:3" x14ac:dyDescent="0.25">
      <c r="A99">
        <v>61</v>
      </c>
      <c r="B99">
        <v>410470002002</v>
      </c>
      <c r="C99">
        <v>9.1045299999999996E-3</v>
      </c>
    </row>
    <row r="100" spans="1:3" x14ac:dyDescent="0.25">
      <c r="A100">
        <v>61</v>
      </c>
      <c r="B100">
        <v>410470003003</v>
      </c>
      <c r="C100">
        <v>6.8928000000000001E-4</v>
      </c>
    </row>
    <row r="101" spans="1:3" x14ac:dyDescent="0.25">
      <c r="A101">
        <v>61</v>
      </c>
      <c r="B101">
        <v>410470013001</v>
      </c>
      <c r="C101">
        <v>3.55106E-3</v>
      </c>
    </row>
    <row r="102" spans="1:3" x14ac:dyDescent="0.25">
      <c r="A102">
        <v>61</v>
      </c>
      <c r="B102">
        <v>410530051001</v>
      </c>
      <c r="C102">
        <v>7.5728840000000006E-2</v>
      </c>
    </row>
    <row r="103" spans="1:3" x14ac:dyDescent="0.25">
      <c r="A103">
        <v>61</v>
      </c>
      <c r="B103">
        <v>410530052031</v>
      </c>
      <c r="C103">
        <v>3.4819999999999995E-5</v>
      </c>
    </row>
    <row r="104" spans="1:3" x14ac:dyDescent="0.25">
      <c r="A104">
        <v>61</v>
      </c>
      <c r="B104">
        <v>410530052041</v>
      </c>
      <c r="C104">
        <v>8.4583469999999994E-2</v>
      </c>
    </row>
    <row r="105" spans="1:3" x14ac:dyDescent="0.25">
      <c r="A105">
        <v>61</v>
      </c>
      <c r="B105">
        <v>410530052051</v>
      </c>
      <c r="C105">
        <v>2.0630000000000001E-5</v>
      </c>
    </row>
    <row r="106" spans="1:3" x14ac:dyDescent="0.25">
      <c r="A106">
        <v>61</v>
      </c>
      <c r="B106">
        <v>410530052061</v>
      </c>
      <c r="C106">
        <v>0.81902302999999999</v>
      </c>
    </row>
    <row r="107" spans="1:3" x14ac:dyDescent="0.25">
      <c r="A107">
        <v>64</v>
      </c>
      <c r="B107">
        <v>410470013001</v>
      </c>
      <c r="C107">
        <v>1.5735680000000002E-2</v>
      </c>
    </row>
    <row r="108" spans="1:3" x14ac:dyDescent="0.25">
      <c r="A108">
        <v>64</v>
      </c>
      <c r="B108">
        <v>410530051001</v>
      </c>
      <c r="C108">
        <v>0.70886931000000009</v>
      </c>
    </row>
    <row r="109" spans="1:3" x14ac:dyDescent="0.25">
      <c r="A109">
        <v>64</v>
      </c>
      <c r="B109">
        <v>410530052031</v>
      </c>
      <c r="C109">
        <v>8.6398489999999994E-2</v>
      </c>
    </row>
    <row r="110" spans="1:3" x14ac:dyDescent="0.25">
      <c r="A110">
        <v>64</v>
      </c>
      <c r="B110">
        <v>410530052041</v>
      </c>
      <c r="C110">
        <v>0.18432725000000003</v>
      </c>
    </row>
    <row r="111" spans="1:3" x14ac:dyDescent="0.25">
      <c r="A111">
        <v>64</v>
      </c>
      <c r="B111">
        <v>410530052061</v>
      </c>
      <c r="C111">
        <v>4.66921E-3</v>
      </c>
    </row>
    <row r="112" spans="1:3" x14ac:dyDescent="0.25">
      <c r="A112">
        <v>65</v>
      </c>
      <c r="B112">
        <v>410530051002</v>
      </c>
      <c r="C112">
        <v>1.1721399999999999E-3</v>
      </c>
    </row>
    <row r="113" spans="1:3" x14ac:dyDescent="0.25">
      <c r="A113">
        <v>65</v>
      </c>
      <c r="B113">
        <v>410530052031</v>
      </c>
      <c r="C113">
        <v>0.69004880999999996</v>
      </c>
    </row>
    <row r="114" spans="1:3" x14ac:dyDescent="0.25">
      <c r="A114">
        <v>65</v>
      </c>
      <c r="B114">
        <v>410530052033</v>
      </c>
      <c r="C114">
        <v>0.30877916</v>
      </c>
    </row>
    <row r="115" spans="1:3" x14ac:dyDescent="0.25">
      <c r="A115">
        <v>66</v>
      </c>
      <c r="B115">
        <v>410530052032</v>
      </c>
      <c r="C115">
        <v>3.1062E-4</v>
      </c>
    </row>
    <row r="116" spans="1:3" x14ac:dyDescent="0.25">
      <c r="A116">
        <v>66</v>
      </c>
      <c r="B116">
        <v>410530052033</v>
      </c>
      <c r="C116">
        <v>0.99842896999999997</v>
      </c>
    </row>
    <row r="117" spans="1:3" x14ac:dyDescent="0.25">
      <c r="A117">
        <v>66</v>
      </c>
      <c r="B117">
        <v>410530052041</v>
      </c>
      <c r="C117">
        <v>5.4113000000000002E-4</v>
      </c>
    </row>
    <row r="118" spans="1:3" x14ac:dyDescent="0.25">
      <c r="A118">
        <v>66</v>
      </c>
      <c r="B118">
        <v>410530052042</v>
      </c>
      <c r="C118">
        <v>7.1925999999999999E-4</v>
      </c>
    </row>
    <row r="119" spans="1:3" x14ac:dyDescent="0.25">
      <c r="A119">
        <v>67</v>
      </c>
      <c r="B119">
        <v>410530052032</v>
      </c>
      <c r="C119">
        <v>0.87293138999999997</v>
      </c>
    </row>
    <row r="120" spans="1:3" x14ac:dyDescent="0.25">
      <c r="A120">
        <v>67</v>
      </c>
      <c r="B120">
        <v>410530052033</v>
      </c>
      <c r="C120">
        <v>0.11992409999999999</v>
      </c>
    </row>
    <row r="121" spans="1:3" x14ac:dyDescent="0.25">
      <c r="A121">
        <v>67</v>
      </c>
      <c r="B121">
        <v>410530052042</v>
      </c>
      <c r="C121">
        <v>3.0995899999999997E-3</v>
      </c>
    </row>
    <row r="122" spans="1:3" x14ac:dyDescent="0.25">
      <c r="A122">
        <v>67</v>
      </c>
      <c r="B122">
        <v>410530052052</v>
      </c>
      <c r="C122">
        <v>2.1047700000000002E-3</v>
      </c>
    </row>
    <row r="123" spans="1:3" x14ac:dyDescent="0.25">
      <c r="A123">
        <v>67</v>
      </c>
      <c r="B123">
        <v>410530053011</v>
      </c>
      <c r="C123">
        <v>1.9401099999999999E-3</v>
      </c>
    </row>
    <row r="124" spans="1:3" x14ac:dyDescent="0.25">
      <c r="A124">
        <v>70</v>
      </c>
      <c r="B124">
        <v>410530052032</v>
      </c>
      <c r="C124">
        <v>1E-8</v>
      </c>
    </row>
    <row r="125" spans="1:3" x14ac:dyDescent="0.25">
      <c r="A125">
        <v>70</v>
      </c>
      <c r="B125">
        <v>410530052033</v>
      </c>
      <c r="C125">
        <v>3.1825000000000001E-4</v>
      </c>
    </row>
    <row r="126" spans="1:3" x14ac:dyDescent="0.25">
      <c r="A126">
        <v>70</v>
      </c>
      <c r="B126">
        <v>410530052042</v>
      </c>
      <c r="C126">
        <v>0.99968175000000004</v>
      </c>
    </row>
    <row r="127" spans="1:3" x14ac:dyDescent="0.25">
      <c r="A127">
        <v>71</v>
      </c>
      <c r="B127">
        <v>410470024002</v>
      </c>
      <c r="C127">
        <v>1.320492E-2</v>
      </c>
    </row>
    <row r="128" spans="1:3" x14ac:dyDescent="0.25">
      <c r="A128">
        <v>71</v>
      </c>
      <c r="B128">
        <v>410530052031</v>
      </c>
      <c r="C128">
        <v>1.9841699999999999E-3</v>
      </c>
    </row>
    <row r="129" spans="1:3" x14ac:dyDescent="0.25">
      <c r="A129">
        <v>71</v>
      </c>
      <c r="B129">
        <v>410530052033</v>
      </c>
      <c r="C129">
        <v>3.3451700000000002E-3</v>
      </c>
    </row>
    <row r="130" spans="1:3" x14ac:dyDescent="0.25">
      <c r="A130">
        <v>71</v>
      </c>
      <c r="B130">
        <v>410530052041</v>
      </c>
      <c r="C130">
        <v>0.85228020999999998</v>
      </c>
    </row>
    <row r="131" spans="1:3" x14ac:dyDescent="0.25">
      <c r="A131">
        <v>71</v>
      </c>
      <c r="B131">
        <v>410530052042</v>
      </c>
      <c r="C131">
        <v>0.12918554000000002</v>
      </c>
    </row>
    <row r="132" spans="1:3" x14ac:dyDescent="0.25">
      <c r="A132">
        <v>74</v>
      </c>
      <c r="B132">
        <v>410530051002</v>
      </c>
      <c r="C132">
        <v>2.5168750000000004E-2</v>
      </c>
    </row>
    <row r="133" spans="1:3" x14ac:dyDescent="0.25">
      <c r="A133">
        <v>74</v>
      </c>
      <c r="B133">
        <v>410530052031</v>
      </c>
      <c r="C133">
        <v>0.50406041999999995</v>
      </c>
    </row>
    <row r="134" spans="1:3" x14ac:dyDescent="0.25">
      <c r="A134">
        <v>74</v>
      </c>
      <c r="B134">
        <v>410530052033</v>
      </c>
      <c r="C134">
        <v>0.46952227999999996</v>
      </c>
    </row>
    <row r="135" spans="1:3" x14ac:dyDescent="0.25">
      <c r="A135">
        <v>74</v>
      </c>
      <c r="B135">
        <v>410530052041</v>
      </c>
      <c r="C135">
        <v>1.2485200000000001E-3</v>
      </c>
    </row>
    <row r="136" spans="1:3" x14ac:dyDescent="0.25">
      <c r="A136">
        <v>75</v>
      </c>
      <c r="B136">
        <v>410530051001</v>
      </c>
      <c r="C136">
        <v>3.0705000000000001E-4</v>
      </c>
    </row>
    <row r="137" spans="1:3" x14ac:dyDescent="0.25">
      <c r="A137">
        <v>75</v>
      </c>
      <c r="B137">
        <v>410530051002</v>
      </c>
      <c r="C137">
        <v>0.99840417999999997</v>
      </c>
    </row>
    <row r="138" spans="1:3" x14ac:dyDescent="0.25">
      <c r="A138">
        <v>75</v>
      </c>
      <c r="B138">
        <v>410530052031</v>
      </c>
      <c r="C138">
        <v>1.2887199999999999E-3</v>
      </c>
    </row>
    <row r="139" spans="1:3" x14ac:dyDescent="0.25">
      <c r="A139">
        <v>76</v>
      </c>
      <c r="B139">
        <v>410470013001</v>
      </c>
      <c r="C139">
        <v>8.9353499999999999E-3</v>
      </c>
    </row>
    <row r="140" spans="1:3" x14ac:dyDescent="0.25">
      <c r="A140">
        <v>76</v>
      </c>
      <c r="B140">
        <v>410530051001</v>
      </c>
      <c r="C140">
        <v>4.1330000000000006E-5</v>
      </c>
    </row>
    <row r="141" spans="1:3" x14ac:dyDescent="0.25">
      <c r="A141">
        <v>76</v>
      </c>
      <c r="B141">
        <v>410530051002</v>
      </c>
      <c r="C141">
        <v>0.21026827999999997</v>
      </c>
    </row>
    <row r="142" spans="1:3" x14ac:dyDescent="0.25">
      <c r="A142">
        <v>76</v>
      </c>
      <c r="B142">
        <v>410530052031</v>
      </c>
      <c r="C142">
        <v>0.34217691</v>
      </c>
    </row>
    <row r="143" spans="1:3" x14ac:dyDescent="0.25">
      <c r="A143">
        <v>76</v>
      </c>
      <c r="B143">
        <v>410530052041</v>
      </c>
      <c r="C143">
        <v>0.43857816999999999</v>
      </c>
    </row>
    <row r="144" spans="1:3" x14ac:dyDescent="0.25">
      <c r="A144">
        <v>77</v>
      </c>
      <c r="B144">
        <v>410470013001</v>
      </c>
      <c r="C144">
        <v>4.0048630000000002E-2</v>
      </c>
    </row>
    <row r="145" spans="1:3" x14ac:dyDescent="0.25">
      <c r="A145">
        <v>77</v>
      </c>
      <c r="B145">
        <v>410530051001</v>
      </c>
      <c r="C145">
        <v>0.41785280000000002</v>
      </c>
    </row>
    <row r="146" spans="1:3" x14ac:dyDescent="0.25">
      <c r="A146">
        <v>77</v>
      </c>
      <c r="B146">
        <v>410530051002</v>
      </c>
      <c r="C146">
        <v>5.4429999999999999E-5</v>
      </c>
    </row>
    <row r="147" spans="1:3" x14ac:dyDescent="0.25">
      <c r="A147">
        <v>77</v>
      </c>
      <c r="B147">
        <v>410530052041</v>
      </c>
      <c r="C147">
        <v>0.54204406999999999</v>
      </c>
    </row>
    <row r="148" spans="1:3" x14ac:dyDescent="0.25">
      <c r="A148">
        <v>78</v>
      </c>
      <c r="B148">
        <v>410530051001</v>
      </c>
      <c r="C148">
        <v>0.76346343999999999</v>
      </c>
    </row>
    <row r="149" spans="1:3" x14ac:dyDescent="0.25">
      <c r="A149">
        <v>78</v>
      </c>
      <c r="B149">
        <v>410530051002</v>
      </c>
      <c r="C149">
        <v>9.6342999999999993E-4</v>
      </c>
    </row>
    <row r="150" spans="1:3" x14ac:dyDescent="0.25">
      <c r="A150">
        <v>78</v>
      </c>
      <c r="B150">
        <v>410530052031</v>
      </c>
      <c r="C150">
        <v>0.23557314000000001</v>
      </c>
    </row>
    <row r="151" spans="1:3" x14ac:dyDescent="0.25">
      <c r="A151">
        <v>80</v>
      </c>
      <c r="B151">
        <v>410470014012</v>
      </c>
      <c r="C151">
        <v>4.9950000000000001E-5</v>
      </c>
    </row>
    <row r="152" spans="1:3" x14ac:dyDescent="0.25">
      <c r="A152">
        <v>80</v>
      </c>
      <c r="B152">
        <v>410470025021</v>
      </c>
      <c r="C152">
        <v>0.99992289000000001</v>
      </c>
    </row>
    <row r="153" spans="1:3" x14ac:dyDescent="0.25">
      <c r="A153">
        <v>80</v>
      </c>
      <c r="B153">
        <v>410470025032</v>
      </c>
      <c r="C153">
        <v>2.374E-5</v>
      </c>
    </row>
    <row r="154" spans="1:3" x14ac:dyDescent="0.25">
      <c r="A154">
        <v>80</v>
      </c>
      <c r="B154">
        <v>410470025043</v>
      </c>
      <c r="C154">
        <v>3.41E-6</v>
      </c>
    </row>
    <row r="155" spans="1:3" x14ac:dyDescent="0.25">
      <c r="A155">
        <v>81</v>
      </c>
      <c r="B155">
        <v>410470014012</v>
      </c>
      <c r="C155">
        <v>0.97235315</v>
      </c>
    </row>
    <row r="156" spans="1:3" x14ac:dyDescent="0.25">
      <c r="A156">
        <v>81</v>
      </c>
      <c r="B156">
        <v>410470014021</v>
      </c>
      <c r="C156">
        <v>9.129999999999999E-6</v>
      </c>
    </row>
    <row r="157" spans="1:3" x14ac:dyDescent="0.25">
      <c r="A157">
        <v>81</v>
      </c>
      <c r="B157">
        <v>410470025021</v>
      </c>
      <c r="C157">
        <v>6.9843500000000003E-3</v>
      </c>
    </row>
    <row r="158" spans="1:3" x14ac:dyDescent="0.25">
      <c r="A158">
        <v>81</v>
      </c>
      <c r="B158">
        <v>410530053012</v>
      </c>
      <c r="C158">
        <v>3.2812400000000004E-3</v>
      </c>
    </row>
    <row r="159" spans="1:3" x14ac:dyDescent="0.25">
      <c r="A159">
        <v>81</v>
      </c>
      <c r="B159">
        <v>410530053013</v>
      </c>
      <c r="C159">
        <v>1.7372120000000001E-2</v>
      </c>
    </row>
    <row r="160" spans="1:3" x14ac:dyDescent="0.25">
      <c r="A160">
        <v>82</v>
      </c>
      <c r="B160">
        <v>410470014011</v>
      </c>
      <c r="C160">
        <v>0.94055336999999994</v>
      </c>
    </row>
    <row r="161" spans="1:3" x14ac:dyDescent="0.25">
      <c r="A161">
        <v>82</v>
      </c>
      <c r="B161">
        <v>410470014012</v>
      </c>
      <c r="C161">
        <v>5.3028299999999997E-3</v>
      </c>
    </row>
    <row r="162" spans="1:3" x14ac:dyDescent="0.25">
      <c r="A162">
        <v>82</v>
      </c>
      <c r="B162">
        <v>410470014013</v>
      </c>
      <c r="C162">
        <v>5.3884800000000002E-3</v>
      </c>
    </row>
    <row r="163" spans="1:3" x14ac:dyDescent="0.25">
      <c r="A163">
        <v>82</v>
      </c>
      <c r="B163">
        <v>410470015012</v>
      </c>
      <c r="C163">
        <v>9.3159999999999996E-5</v>
      </c>
    </row>
    <row r="164" spans="1:3" x14ac:dyDescent="0.25">
      <c r="A164">
        <v>82</v>
      </c>
      <c r="B164">
        <v>410470015013</v>
      </c>
      <c r="C164">
        <v>1.9029699999999999E-3</v>
      </c>
    </row>
    <row r="165" spans="1:3" x14ac:dyDescent="0.25">
      <c r="A165">
        <v>82</v>
      </c>
      <c r="B165">
        <v>410470025021</v>
      </c>
      <c r="C165">
        <v>3.80256E-2</v>
      </c>
    </row>
    <row r="166" spans="1:3" x14ac:dyDescent="0.25">
      <c r="A166">
        <v>82</v>
      </c>
      <c r="B166">
        <v>410470025032</v>
      </c>
      <c r="C166">
        <v>8.7335700000000013E-3</v>
      </c>
    </row>
    <row r="167" spans="1:3" x14ac:dyDescent="0.25">
      <c r="A167">
        <v>83</v>
      </c>
      <c r="B167">
        <v>410470025021</v>
      </c>
      <c r="C167">
        <v>0.99935828000000004</v>
      </c>
    </row>
    <row r="168" spans="1:3" x14ac:dyDescent="0.25">
      <c r="A168">
        <v>83</v>
      </c>
      <c r="B168">
        <v>410470025043</v>
      </c>
      <c r="C168">
        <v>6.4170000000000004E-4</v>
      </c>
    </row>
    <row r="169" spans="1:3" x14ac:dyDescent="0.25">
      <c r="A169">
        <v>84</v>
      </c>
      <c r="B169">
        <v>410470025021</v>
      </c>
      <c r="C169">
        <v>0.99999999000000006</v>
      </c>
    </row>
    <row r="170" spans="1:3" x14ac:dyDescent="0.25">
      <c r="A170">
        <v>85</v>
      </c>
      <c r="B170">
        <v>410470025021</v>
      </c>
      <c r="C170">
        <v>0.68221293000000005</v>
      </c>
    </row>
    <row r="171" spans="1:3" x14ac:dyDescent="0.25">
      <c r="A171">
        <v>85</v>
      </c>
      <c r="B171">
        <v>410470025042</v>
      </c>
      <c r="C171">
        <v>0.31778711999999998</v>
      </c>
    </row>
    <row r="172" spans="1:3" x14ac:dyDescent="0.25">
      <c r="A172">
        <v>86</v>
      </c>
      <c r="B172">
        <v>410470025021</v>
      </c>
      <c r="C172">
        <v>0.59828539999999997</v>
      </c>
    </row>
    <row r="173" spans="1:3" x14ac:dyDescent="0.25">
      <c r="A173">
        <v>86</v>
      </c>
      <c r="B173">
        <v>410470025031</v>
      </c>
      <c r="C173">
        <v>1.3590199999999998E-3</v>
      </c>
    </row>
    <row r="174" spans="1:3" x14ac:dyDescent="0.25">
      <c r="A174">
        <v>86</v>
      </c>
      <c r="B174">
        <v>410470025033</v>
      </c>
      <c r="C174">
        <v>0.39517972999999995</v>
      </c>
    </row>
    <row r="175" spans="1:3" x14ac:dyDescent="0.25">
      <c r="A175">
        <v>86</v>
      </c>
      <c r="B175">
        <v>410470025042</v>
      </c>
      <c r="C175">
        <v>5.1758499999999992E-3</v>
      </c>
    </row>
    <row r="176" spans="1:3" x14ac:dyDescent="0.25">
      <c r="A176">
        <v>87</v>
      </c>
      <c r="B176">
        <v>410470025021</v>
      </c>
      <c r="C176">
        <v>4.2331900000000004E-3</v>
      </c>
    </row>
    <row r="177" spans="1:3" x14ac:dyDescent="0.25">
      <c r="A177">
        <v>87</v>
      </c>
      <c r="B177">
        <v>410470025041</v>
      </c>
      <c r="C177">
        <v>0.18272269000000002</v>
      </c>
    </row>
    <row r="178" spans="1:3" x14ac:dyDescent="0.25">
      <c r="A178">
        <v>87</v>
      </c>
      <c r="B178">
        <v>410470025042</v>
      </c>
      <c r="C178">
        <v>0.41936888999999999</v>
      </c>
    </row>
    <row r="179" spans="1:3" x14ac:dyDescent="0.25">
      <c r="A179">
        <v>87</v>
      </c>
      <c r="B179">
        <v>410470025043</v>
      </c>
      <c r="C179">
        <v>0.39367522999999999</v>
      </c>
    </row>
    <row r="180" spans="1:3" x14ac:dyDescent="0.25">
      <c r="A180">
        <v>88</v>
      </c>
      <c r="B180">
        <v>410470014011</v>
      </c>
      <c r="C180">
        <v>2.8571899999999999E-3</v>
      </c>
    </row>
    <row r="181" spans="1:3" x14ac:dyDescent="0.25">
      <c r="A181">
        <v>88</v>
      </c>
      <c r="B181">
        <v>410470025021</v>
      </c>
      <c r="C181">
        <v>0.34001973000000002</v>
      </c>
    </row>
    <row r="182" spans="1:3" x14ac:dyDescent="0.25">
      <c r="A182">
        <v>88</v>
      </c>
      <c r="B182">
        <v>410470025031</v>
      </c>
      <c r="C182">
        <v>4.0412119999999996E-2</v>
      </c>
    </row>
    <row r="183" spans="1:3" x14ac:dyDescent="0.25">
      <c r="A183">
        <v>88</v>
      </c>
      <c r="B183">
        <v>410470025032</v>
      </c>
      <c r="C183">
        <v>0.38620444999999998</v>
      </c>
    </row>
    <row r="184" spans="1:3" x14ac:dyDescent="0.25">
      <c r="A184">
        <v>88</v>
      </c>
      <c r="B184">
        <v>410470025041</v>
      </c>
      <c r="C184">
        <v>0.17196137</v>
      </c>
    </row>
    <row r="185" spans="1:3" x14ac:dyDescent="0.25">
      <c r="A185">
        <v>88</v>
      </c>
      <c r="B185">
        <v>410470025043</v>
      </c>
      <c r="C185">
        <v>5.854521E-2</v>
      </c>
    </row>
    <row r="186" spans="1:3" x14ac:dyDescent="0.25">
      <c r="A186">
        <v>89</v>
      </c>
      <c r="B186">
        <v>410470025031</v>
      </c>
      <c r="C186">
        <v>0.49130895000000002</v>
      </c>
    </row>
    <row r="187" spans="1:3" x14ac:dyDescent="0.25">
      <c r="A187">
        <v>89</v>
      </c>
      <c r="B187">
        <v>410470025032</v>
      </c>
      <c r="C187">
        <v>1.66971E-3</v>
      </c>
    </row>
    <row r="188" spans="1:3" x14ac:dyDescent="0.25">
      <c r="A188">
        <v>89</v>
      </c>
      <c r="B188">
        <v>410470025033</v>
      </c>
      <c r="C188">
        <v>2.2438499999999999E-3</v>
      </c>
    </row>
    <row r="189" spans="1:3" x14ac:dyDescent="0.25">
      <c r="A189">
        <v>89</v>
      </c>
      <c r="B189">
        <v>410470025041</v>
      </c>
      <c r="C189">
        <v>0.41352533000000002</v>
      </c>
    </row>
    <row r="190" spans="1:3" x14ac:dyDescent="0.25">
      <c r="A190">
        <v>89</v>
      </c>
      <c r="B190">
        <v>410470025042</v>
      </c>
      <c r="C190">
        <v>9.1252159999999999E-2</v>
      </c>
    </row>
    <row r="191" spans="1:3" x14ac:dyDescent="0.25">
      <c r="A191">
        <v>90</v>
      </c>
      <c r="B191">
        <v>410470014011</v>
      </c>
      <c r="C191">
        <v>4.2195799999999997E-3</v>
      </c>
    </row>
    <row r="192" spans="1:3" x14ac:dyDescent="0.25">
      <c r="A192">
        <v>90</v>
      </c>
      <c r="B192">
        <v>410470015012</v>
      </c>
      <c r="C192">
        <v>2.0788899999999999E-3</v>
      </c>
    </row>
    <row r="193" spans="1:3" x14ac:dyDescent="0.25">
      <c r="A193">
        <v>90</v>
      </c>
      <c r="B193">
        <v>410470025031</v>
      </c>
      <c r="C193">
        <v>1.715467E-2</v>
      </c>
    </row>
    <row r="194" spans="1:3" x14ac:dyDescent="0.25">
      <c r="A194">
        <v>90</v>
      </c>
      <c r="B194">
        <v>410470025032</v>
      </c>
      <c r="C194">
        <v>0.97578169000000003</v>
      </c>
    </row>
    <row r="195" spans="1:3" x14ac:dyDescent="0.25">
      <c r="A195">
        <v>90</v>
      </c>
      <c r="B195">
        <v>410470025033</v>
      </c>
      <c r="C195">
        <v>7.6525999999999992E-4</v>
      </c>
    </row>
    <row r="196" spans="1:3" x14ac:dyDescent="0.25">
      <c r="A196">
        <v>91</v>
      </c>
      <c r="B196">
        <v>410470015012</v>
      </c>
      <c r="C196">
        <v>3.1935820000000004E-2</v>
      </c>
    </row>
    <row r="197" spans="1:3" x14ac:dyDescent="0.25">
      <c r="A197">
        <v>91</v>
      </c>
      <c r="B197">
        <v>410470025031</v>
      </c>
      <c r="C197">
        <v>1.9401399999999999E-3</v>
      </c>
    </row>
    <row r="198" spans="1:3" x14ac:dyDescent="0.25">
      <c r="A198">
        <v>91</v>
      </c>
      <c r="B198">
        <v>410470025032</v>
      </c>
      <c r="C198">
        <v>6.6247699999999994E-3</v>
      </c>
    </row>
    <row r="199" spans="1:3" x14ac:dyDescent="0.25">
      <c r="A199">
        <v>91</v>
      </c>
      <c r="B199">
        <v>410470025033</v>
      </c>
      <c r="C199">
        <v>0.95949923000000004</v>
      </c>
    </row>
    <row r="200" spans="1:3" x14ac:dyDescent="0.25">
      <c r="A200">
        <v>92</v>
      </c>
      <c r="B200">
        <v>410470015011</v>
      </c>
      <c r="C200">
        <v>0.96318616000000001</v>
      </c>
    </row>
    <row r="201" spans="1:3" x14ac:dyDescent="0.25">
      <c r="A201">
        <v>92</v>
      </c>
      <c r="B201">
        <v>410470015012</v>
      </c>
      <c r="C201">
        <v>7.1965700000000002E-3</v>
      </c>
    </row>
    <row r="202" spans="1:3" x14ac:dyDescent="0.25">
      <c r="A202">
        <v>92</v>
      </c>
      <c r="B202">
        <v>410470015022</v>
      </c>
      <c r="C202">
        <v>3.0497E-4</v>
      </c>
    </row>
    <row r="203" spans="1:3" x14ac:dyDescent="0.25">
      <c r="A203">
        <v>92</v>
      </c>
      <c r="B203">
        <v>410470025021</v>
      </c>
      <c r="C203">
        <v>1.438712E-2</v>
      </c>
    </row>
    <row r="204" spans="1:3" x14ac:dyDescent="0.25">
      <c r="A204">
        <v>92</v>
      </c>
      <c r="B204">
        <v>410470025023</v>
      </c>
      <c r="C204">
        <v>1.172161E-2</v>
      </c>
    </row>
    <row r="205" spans="1:3" x14ac:dyDescent="0.25">
      <c r="A205">
        <v>92</v>
      </c>
      <c r="B205">
        <v>410470025033</v>
      </c>
      <c r="C205">
        <v>3.2035499999999999E-3</v>
      </c>
    </row>
    <row r="206" spans="1:3" x14ac:dyDescent="0.25">
      <c r="A206">
        <v>94</v>
      </c>
      <c r="B206">
        <v>410470015011</v>
      </c>
      <c r="C206">
        <v>8.5523870000000002E-2</v>
      </c>
    </row>
    <row r="207" spans="1:3" x14ac:dyDescent="0.25">
      <c r="A207">
        <v>94</v>
      </c>
      <c r="B207">
        <v>410470015012</v>
      </c>
      <c r="C207">
        <v>0.90109651999999996</v>
      </c>
    </row>
    <row r="208" spans="1:3" x14ac:dyDescent="0.25">
      <c r="A208">
        <v>94</v>
      </c>
      <c r="B208">
        <v>410470015022</v>
      </c>
      <c r="C208">
        <v>3.9315000000000004E-4</v>
      </c>
    </row>
    <row r="209" spans="1:3" x14ac:dyDescent="0.25">
      <c r="A209">
        <v>94</v>
      </c>
      <c r="B209">
        <v>410470015023</v>
      </c>
      <c r="C209">
        <v>9.1996999999999999E-4</v>
      </c>
    </row>
    <row r="210" spans="1:3" x14ac:dyDescent="0.25">
      <c r="A210">
        <v>94</v>
      </c>
      <c r="B210">
        <v>410470025033</v>
      </c>
      <c r="C210">
        <v>1.2066509999999999E-2</v>
      </c>
    </row>
    <row r="211" spans="1:3" x14ac:dyDescent="0.25">
      <c r="A211">
        <v>95</v>
      </c>
      <c r="B211">
        <v>410470014011</v>
      </c>
      <c r="C211">
        <v>4.7571000000000001E-4</v>
      </c>
    </row>
    <row r="212" spans="1:3" x14ac:dyDescent="0.25">
      <c r="A212">
        <v>95</v>
      </c>
      <c r="B212">
        <v>410470015012</v>
      </c>
      <c r="C212">
        <v>0.44090483999999996</v>
      </c>
    </row>
    <row r="213" spans="1:3" x14ac:dyDescent="0.25">
      <c r="A213">
        <v>95</v>
      </c>
      <c r="B213">
        <v>410470015013</v>
      </c>
      <c r="C213">
        <v>0.55500768999999994</v>
      </c>
    </row>
    <row r="214" spans="1:3" x14ac:dyDescent="0.25">
      <c r="A214">
        <v>95</v>
      </c>
      <c r="B214">
        <v>410470015023</v>
      </c>
      <c r="C214">
        <v>5.5695000000000007E-4</v>
      </c>
    </row>
    <row r="215" spans="1:3" x14ac:dyDescent="0.25">
      <c r="A215">
        <v>95</v>
      </c>
      <c r="B215">
        <v>410470025033</v>
      </c>
      <c r="C215">
        <v>3.0548300000000001E-3</v>
      </c>
    </row>
    <row r="216" spans="1:3" x14ac:dyDescent="0.25">
      <c r="A216">
        <v>100</v>
      </c>
      <c r="B216">
        <v>410470015011</v>
      </c>
      <c r="C216">
        <v>8.8391800000000003E-3</v>
      </c>
    </row>
    <row r="217" spans="1:3" x14ac:dyDescent="0.25">
      <c r="A217">
        <v>100</v>
      </c>
      <c r="B217">
        <v>410470015013</v>
      </c>
      <c r="C217">
        <v>4.5529999999999999E-5</v>
      </c>
    </row>
    <row r="218" spans="1:3" x14ac:dyDescent="0.25">
      <c r="A218">
        <v>100</v>
      </c>
      <c r="B218">
        <v>410470015021</v>
      </c>
      <c r="C218">
        <v>6.1254000000000007E-4</v>
      </c>
    </row>
    <row r="219" spans="1:3" x14ac:dyDescent="0.25">
      <c r="A219">
        <v>100</v>
      </c>
      <c r="B219">
        <v>410470015022</v>
      </c>
      <c r="C219">
        <v>0.98267255000000009</v>
      </c>
    </row>
    <row r="220" spans="1:3" x14ac:dyDescent="0.25">
      <c r="A220">
        <v>100</v>
      </c>
      <c r="B220">
        <v>410470015023</v>
      </c>
      <c r="C220">
        <v>3.3851999999999997E-3</v>
      </c>
    </row>
    <row r="221" spans="1:3" x14ac:dyDescent="0.25">
      <c r="A221">
        <v>100</v>
      </c>
      <c r="B221">
        <v>410470025023</v>
      </c>
      <c r="C221">
        <v>4.4448999999999999E-3</v>
      </c>
    </row>
    <row r="222" spans="1:3" x14ac:dyDescent="0.25">
      <c r="A222">
        <v>103</v>
      </c>
      <c r="B222">
        <v>410470015011</v>
      </c>
      <c r="C222">
        <v>7.8445000000000001E-4</v>
      </c>
    </row>
    <row r="223" spans="1:3" x14ac:dyDescent="0.25">
      <c r="A223">
        <v>103</v>
      </c>
      <c r="B223">
        <v>410470015012</v>
      </c>
      <c r="C223">
        <v>1.5380999999999999E-4</v>
      </c>
    </row>
    <row r="224" spans="1:3" x14ac:dyDescent="0.25">
      <c r="A224">
        <v>103</v>
      </c>
      <c r="B224">
        <v>410470015013</v>
      </c>
      <c r="C224">
        <v>0.25421136999999999</v>
      </c>
    </row>
    <row r="225" spans="1:3" x14ac:dyDescent="0.25">
      <c r="A225">
        <v>103</v>
      </c>
      <c r="B225">
        <v>410470015021</v>
      </c>
      <c r="C225">
        <v>2.2180999999999999E-4</v>
      </c>
    </row>
    <row r="226" spans="1:3" x14ac:dyDescent="0.25">
      <c r="A226">
        <v>103</v>
      </c>
      <c r="B226">
        <v>410470015022</v>
      </c>
      <c r="C226">
        <v>0.11577932000000001</v>
      </c>
    </row>
    <row r="227" spans="1:3" x14ac:dyDescent="0.25">
      <c r="A227">
        <v>103</v>
      </c>
      <c r="B227">
        <v>410470015023</v>
      </c>
      <c r="C227">
        <v>0.62884923999999998</v>
      </c>
    </row>
    <row r="228" spans="1:3" x14ac:dyDescent="0.25">
      <c r="A228">
        <v>104</v>
      </c>
      <c r="B228">
        <v>410470014013</v>
      </c>
      <c r="C228">
        <v>1.266366E-2</v>
      </c>
    </row>
    <row r="229" spans="1:3" x14ac:dyDescent="0.25">
      <c r="A229">
        <v>104</v>
      </c>
      <c r="B229">
        <v>410470015013</v>
      </c>
      <c r="C229">
        <v>0.55248038999999993</v>
      </c>
    </row>
    <row r="230" spans="1:3" x14ac:dyDescent="0.25">
      <c r="A230">
        <v>104</v>
      </c>
      <c r="B230">
        <v>410470015021</v>
      </c>
      <c r="C230">
        <v>0.43485591999999995</v>
      </c>
    </row>
    <row r="231" spans="1:3" x14ac:dyDescent="0.25">
      <c r="A231">
        <v>107</v>
      </c>
      <c r="B231">
        <v>410470014012</v>
      </c>
      <c r="C231">
        <v>1.046104E-2</v>
      </c>
    </row>
    <row r="232" spans="1:3" x14ac:dyDescent="0.25">
      <c r="A232">
        <v>107</v>
      </c>
      <c r="B232">
        <v>410470014013</v>
      </c>
      <c r="C232">
        <v>0.98756632999999994</v>
      </c>
    </row>
    <row r="233" spans="1:3" x14ac:dyDescent="0.25">
      <c r="A233">
        <v>107</v>
      </c>
      <c r="B233">
        <v>410470014021</v>
      </c>
      <c r="C233">
        <v>1.22E-5</v>
      </c>
    </row>
    <row r="234" spans="1:3" x14ac:dyDescent="0.25">
      <c r="A234">
        <v>107</v>
      </c>
      <c r="B234">
        <v>410470014022</v>
      </c>
      <c r="C234">
        <v>7.7432E-4</v>
      </c>
    </row>
    <row r="235" spans="1:3" x14ac:dyDescent="0.25">
      <c r="A235">
        <v>107</v>
      </c>
      <c r="B235">
        <v>410470015013</v>
      </c>
      <c r="C235">
        <v>1.1861199999999999E-3</v>
      </c>
    </row>
    <row r="236" spans="1:3" x14ac:dyDescent="0.25">
      <c r="A236">
        <v>110</v>
      </c>
      <c r="B236">
        <v>410470014012</v>
      </c>
      <c r="C236">
        <v>0.99530344999999998</v>
      </c>
    </row>
    <row r="237" spans="1:3" x14ac:dyDescent="0.25">
      <c r="A237">
        <v>110</v>
      </c>
      <c r="B237">
        <v>410470014021</v>
      </c>
      <c r="C237">
        <v>4.6966400000000002E-3</v>
      </c>
    </row>
    <row r="238" spans="1:3" x14ac:dyDescent="0.25">
      <c r="A238">
        <v>111</v>
      </c>
      <c r="B238">
        <v>410470014012</v>
      </c>
      <c r="C238">
        <v>8.7150049999999993E-2</v>
      </c>
    </row>
    <row r="239" spans="1:3" x14ac:dyDescent="0.25">
      <c r="A239">
        <v>111</v>
      </c>
      <c r="B239">
        <v>410470014021</v>
      </c>
      <c r="C239">
        <v>0.90311835000000007</v>
      </c>
    </row>
    <row r="240" spans="1:3" x14ac:dyDescent="0.25">
      <c r="A240">
        <v>111</v>
      </c>
      <c r="B240">
        <v>410470014022</v>
      </c>
      <c r="C240">
        <v>1.3290000000000002E-5</v>
      </c>
    </row>
    <row r="241" spans="1:3" x14ac:dyDescent="0.25">
      <c r="A241">
        <v>111</v>
      </c>
      <c r="B241">
        <v>410470014023</v>
      </c>
      <c r="C241">
        <v>8.0874199999999997E-3</v>
      </c>
    </row>
    <row r="242" spans="1:3" x14ac:dyDescent="0.25">
      <c r="A242">
        <v>111</v>
      </c>
      <c r="B242">
        <v>410530053012</v>
      </c>
      <c r="C242">
        <v>1.6308100000000001E-3</v>
      </c>
    </row>
    <row r="243" spans="1:3" x14ac:dyDescent="0.25">
      <c r="A243">
        <v>112</v>
      </c>
      <c r="B243">
        <v>410470014013</v>
      </c>
      <c r="C243">
        <v>2.0220400000000001E-3</v>
      </c>
    </row>
    <row r="244" spans="1:3" x14ac:dyDescent="0.25">
      <c r="A244">
        <v>112</v>
      </c>
      <c r="B244">
        <v>410470014021</v>
      </c>
      <c r="C244">
        <v>8.462260000000001E-3</v>
      </c>
    </row>
    <row r="245" spans="1:3" x14ac:dyDescent="0.25">
      <c r="A245">
        <v>112</v>
      </c>
      <c r="B245">
        <v>410470014022</v>
      </c>
      <c r="C245">
        <v>0.98827659999999995</v>
      </c>
    </row>
    <row r="246" spans="1:3" x14ac:dyDescent="0.25">
      <c r="A246">
        <v>112</v>
      </c>
      <c r="B246">
        <v>410470014023</v>
      </c>
      <c r="C246">
        <v>1.23909E-3</v>
      </c>
    </row>
    <row r="247" spans="1:3" x14ac:dyDescent="0.25">
      <c r="A247">
        <v>114</v>
      </c>
      <c r="B247">
        <v>410470014013</v>
      </c>
      <c r="C247">
        <v>4.5609999999999999E-5</v>
      </c>
    </row>
    <row r="248" spans="1:3" x14ac:dyDescent="0.25">
      <c r="A248">
        <v>114</v>
      </c>
      <c r="B248">
        <v>410470014022</v>
      </c>
      <c r="C248">
        <v>5.7498899999999997E-3</v>
      </c>
    </row>
    <row r="249" spans="1:3" x14ac:dyDescent="0.25">
      <c r="A249">
        <v>114</v>
      </c>
      <c r="B249">
        <v>410470015013</v>
      </c>
      <c r="C249">
        <v>4.0221000000000001E-4</v>
      </c>
    </row>
    <row r="250" spans="1:3" x14ac:dyDescent="0.25">
      <c r="A250">
        <v>114</v>
      </c>
      <c r="B250">
        <v>410470015021</v>
      </c>
      <c r="C250">
        <v>0.53159860999999997</v>
      </c>
    </row>
    <row r="251" spans="1:3" x14ac:dyDescent="0.25">
      <c r="A251">
        <v>114</v>
      </c>
      <c r="B251">
        <v>410470015033</v>
      </c>
      <c r="C251">
        <v>0.46220374999999997</v>
      </c>
    </row>
    <row r="252" spans="1:3" x14ac:dyDescent="0.25">
      <c r="A252">
        <v>116</v>
      </c>
      <c r="B252">
        <v>410470015013</v>
      </c>
      <c r="C252">
        <v>2.0616999999999999E-4</v>
      </c>
    </row>
    <row r="253" spans="1:3" x14ac:dyDescent="0.25">
      <c r="A253">
        <v>116</v>
      </c>
      <c r="B253">
        <v>410470015021</v>
      </c>
      <c r="C253">
        <v>0.48490411999999999</v>
      </c>
    </row>
    <row r="254" spans="1:3" x14ac:dyDescent="0.25">
      <c r="A254">
        <v>116</v>
      </c>
      <c r="B254">
        <v>410470015022</v>
      </c>
      <c r="C254">
        <v>0.31372240000000001</v>
      </c>
    </row>
    <row r="255" spans="1:3" x14ac:dyDescent="0.25">
      <c r="A255">
        <v>116</v>
      </c>
      <c r="B255">
        <v>410470015033</v>
      </c>
      <c r="C255">
        <v>0.20116731000000002</v>
      </c>
    </row>
    <row r="256" spans="1:3" x14ac:dyDescent="0.25">
      <c r="A256">
        <v>117</v>
      </c>
      <c r="B256">
        <v>410470015031</v>
      </c>
      <c r="C256">
        <v>0.42044389999999998</v>
      </c>
    </row>
    <row r="257" spans="1:3" x14ac:dyDescent="0.25">
      <c r="A257">
        <v>117</v>
      </c>
      <c r="B257">
        <v>410470015032</v>
      </c>
      <c r="C257">
        <v>7.7988080000000001E-2</v>
      </c>
    </row>
    <row r="258" spans="1:3" x14ac:dyDescent="0.25">
      <c r="A258">
        <v>117</v>
      </c>
      <c r="B258">
        <v>410470015033</v>
      </c>
      <c r="C258">
        <v>0.50156802</v>
      </c>
    </row>
    <row r="259" spans="1:3" x14ac:dyDescent="0.25">
      <c r="A259">
        <v>118</v>
      </c>
      <c r="B259">
        <v>410470004001</v>
      </c>
      <c r="C259">
        <v>1.1673500000000002E-3</v>
      </c>
    </row>
    <row r="260" spans="1:3" x14ac:dyDescent="0.25">
      <c r="A260">
        <v>118</v>
      </c>
      <c r="B260">
        <v>410470014022</v>
      </c>
      <c r="C260">
        <v>6.7514000000000007E-4</v>
      </c>
    </row>
    <row r="261" spans="1:3" x14ac:dyDescent="0.25">
      <c r="A261">
        <v>118</v>
      </c>
      <c r="B261">
        <v>410470014023</v>
      </c>
      <c r="C261">
        <v>1.4400759999999999E-2</v>
      </c>
    </row>
    <row r="262" spans="1:3" x14ac:dyDescent="0.25">
      <c r="A262">
        <v>118</v>
      </c>
      <c r="B262">
        <v>410470015031</v>
      </c>
      <c r="C262">
        <v>0.17751639</v>
      </c>
    </row>
    <row r="263" spans="1:3" x14ac:dyDescent="0.25">
      <c r="A263">
        <v>118</v>
      </c>
      <c r="B263">
        <v>410470015032</v>
      </c>
      <c r="C263">
        <v>0.73693854999999997</v>
      </c>
    </row>
    <row r="264" spans="1:3" x14ac:dyDescent="0.25">
      <c r="A264">
        <v>118</v>
      </c>
      <c r="B264">
        <v>410470015033</v>
      </c>
      <c r="C264">
        <v>6.9301779999999993E-2</v>
      </c>
    </row>
    <row r="265" spans="1:3" x14ac:dyDescent="0.25">
      <c r="A265">
        <v>120</v>
      </c>
      <c r="B265">
        <v>410470004001</v>
      </c>
      <c r="C265">
        <v>1.89093E-2</v>
      </c>
    </row>
    <row r="266" spans="1:3" x14ac:dyDescent="0.25">
      <c r="A266">
        <v>120</v>
      </c>
      <c r="B266">
        <v>410470014021</v>
      </c>
      <c r="C266">
        <v>5.1529999999999996E-5</v>
      </c>
    </row>
    <row r="267" spans="1:3" x14ac:dyDescent="0.25">
      <c r="A267">
        <v>120</v>
      </c>
      <c r="B267">
        <v>410470014022</v>
      </c>
      <c r="C267">
        <v>1.5859999999999998E-4</v>
      </c>
    </row>
    <row r="268" spans="1:3" x14ac:dyDescent="0.25">
      <c r="A268">
        <v>120</v>
      </c>
      <c r="B268">
        <v>410470014023</v>
      </c>
      <c r="C268">
        <v>0.97576539999999989</v>
      </c>
    </row>
    <row r="269" spans="1:3" x14ac:dyDescent="0.25">
      <c r="A269">
        <v>120</v>
      </c>
      <c r="B269">
        <v>410530052061</v>
      </c>
      <c r="C269">
        <v>1.6210199999999999E-3</v>
      </c>
    </row>
    <row r="270" spans="1:3" x14ac:dyDescent="0.25">
      <c r="A270">
        <v>120</v>
      </c>
      <c r="B270">
        <v>410530053012</v>
      </c>
      <c r="C270">
        <v>3.4941499999999997E-3</v>
      </c>
    </row>
    <row r="271" spans="1:3" x14ac:dyDescent="0.25">
      <c r="A271">
        <v>124</v>
      </c>
      <c r="B271">
        <v>410470004001</v>
      </c>
      <c r="C271">
        <v>0.98412215000000003</v>
      </c>
    </row>
    <row r="272" spans="1:3" x14ac:dyDescent="0.25">
      <c r="A272">
        <v>124</v>
      </c>
      <c r="B272">
        <v>410470014023</v>
      </c>
      <c r="C272">
        <v>7.8779000000000002E-4</v>
      </c>
    </row>
    <row r="273" spans="1:3" x14ac:dyDescent="0.25">
      <c r="A273">
        <v>124</v>
      </c>
      <c r="B273">
        <v>410530052061</v>
      </c>
      <c r="C273">
        <v>1.50901E-2</v>
      </c>
    </row>
    <row r="274" spans="1:3" x14ac:dyDescent="0.25">
      <c r="A274">
        <v>125</v>
      </c>
      <c r="B274">
        <v>410470004001</v>
      </c>
      <c r="C274">
        <v>0.57135210000000003</v>
      </c>
    </row>
    <row r="275" spans="1:3" x14ac:dyDescent="0.25">
      <c r="A275">
        <v>125</v>
      </c>
      <c r="B275">
        <v>410470004002</v>
      </c>
      <c r="C275">
        <v>0.42156674999999999</v>
      </c>
    </row>
    <row r="276" spans="1:3" x14ac:dyDescent="0.25">
      <c r="A276">
        <v>125</v>
      </c>
      <c r="B276">
        <v>410470015032</v>
      </c>
      <c r="C276">
        <v>7.0811800000000003E-3</v>
      </c>
    </row>
    <row r="277" spans="1:3" x14ac:dyDescent="0.25">
      <c r="A277">
        <v>126</v>
      </c>
      <c r="B277">
        <v>410470004001</v>
      </c>
      <c r="C277">
        <v>4.4491999999999995E-3</v>
      </c>
    </row>
    <row r="278" spans="1:3" x14ac:dyDescent="0.25">
      <c r="A278">
        <v>126</v>
      </c>
      <c r="B278">
        <v>410470004002</v>
      </c>
      <c r="C278">
        <v>0.97822771000000008</v>
      </c>
    </row>
    <row r="279" spans="1:3" x14ac:dyDescent="0.25">
      <c r="A279">
        <v>126</v>
      </c>
      <c r="B279">
        <v>410470015031</v>
      </c>
      <c r="C279">
        <v>4.6928999999999998E-3</v>
      </c>
    </row>
    <row r="280" spans="1:3" x14ac:dyDescent="0.25">
      <c r="A280">
        <v>126</v>
      </c>
      <c r="B280">
        <v>410470015032</v>
      </c>
      <c r="C280">
        <v>1.2630189999999999E-2</v>
      </c>
    </row>
    <row r="281" spans="1:3" x14ac:dyDescent="0.25">
      <c r="A281">
        <v>128</v>
      </c>
      <c r="B281">
        <v>410470004002</v>
      </c>
      <c r="C281">
        <v>8.5407299999999998E-3</v>
      </c>
    </row>
    <row r="282" spans="1:3" x14ac:dyDescent="0.25">
      <c r="A282">
        <v>128</v>
      </c>
      <c r="B282">
        <v>410470015031</v>
      </c>
      <c r="C282">
        <v>0.27604755000000003</v>
      </c>
    </row>
    <row r="283" spans="1:3" x14ac:dyDescent="0.25">
      <c r="A283">
        <v>128</v>
      </c>
      <c r="B283">
        <v>410470015032</v>
      </c>
      <c r="C283">
        <v>0.47288447</v>
      </c>
    </row>
    <row r="284" spans="1:3" x14ac:dyDescent="0.25">
      <c r="A284">
        <v>128</v>
      </c>
      <c r="B284">
        <v>410470015033</v>
      </c>
      <c r="C284">
        <v>0.24252724000000001</v>
      </c>
    </row>
    <row r="285" spans="1:3" x14ac:dyDescent="0.25">
      <c r="A285">
        <v>129</v>
      </c>
      <c r="B285">
        <v>410470025021</v>
      </c>
      <c r="C285">
        <v>1</v>
      </c>
    </row>
    <row r="286" spans="1:3" x14ac:dyDescent="0.25">
      <c r="A286">
        <v>130</v>
      </c>
      <c r="B286">
        <v>410470025021</v>
      </c>
      <c r="C286">
        <v>8.7987499999999993E-3</v>
      </c>
    </row>
    <row r="287" spans="1:3" x14ac:dyDescent="0.25">
      <c r="A287">
        <v>130</v>
      </c>
      <c r="B287">
        <v>410470025022</v>
      </c>
      <c r="C287">
        <v>0.99120119000000007</v>
      </c>
    </row>
    <row r="288" spans="1:3" x14ac:dyDescent="0.25">
      <c r="A288">
        <v>131</v>
      </c>
      <c r="B288">
        <v>410470025021</v>
      </c>
      <c r="C288">
        <v>0.91859464000000002</v>
      </c>
    </row>
    <row r="289" spans="1:3" x14ac:dyDescent="0.25">
      <c r="A289">
        <v>131</v>
      </c>
      <c r="B289">
        <v>410470025022</v>
      </c>
      <c r="C289">
        <v>2.1802499999999999E-3</v>
      </c>
    </row>
    <row r="290" spans="1:3" x14ac:dyDescent="0.25">
      <c r="A290">
        <v>131</v>
      </c>
      <c r="B290">
        <v>410470025023</v>
      </c>
      <c r="C290">
        <v>7.9225099999999993E-2</v>
      </c>
    </row>
    <row r="291" spans="1:3" x14ac:dyDescent="0.25">
      <c r="A291">
        <v>132</v>
      </c>
      <c r="B291">
        <v>410470025021</v>
      </c>
      <c r="C291">
        <v>1.54371E-3</v>
      </c>
    </row>
    <row r="292" spans="1:3" x14ac:dyDescent="0.25">
      <c r="A292">
        <v>132</v>
      </c>
      <c r="B292">
        <v>410470025022</v>
      </c>
      <c r="C292">
        <v>0.99845629000000002</v>
      </c>
    </row>
    <row r="293" spans="1:3" x14ac:dyDescent="0.25">
      <c r="A293">
        <v>133</v>
      </c>
      <c r="B293">
        <v>410470025021</v>
      </c>
      <c r="C293">
        <v>3.2749999999999999E-4</v>
      </c>
    </row>
    <row r="294" spans="1:3" x14ac:dyDescent="0.25">
      <c r="A294">
        <v>133</v>
      </c>
      <c r="B294">
        <v>410470025022</v>
      </c>
      <c r="C294">
        <v>0.99844731999999992</v>
      </c>
    </row>
    <row r="295" spans="1:3" x14ac:dyDescent="0.25">
      <c r="A295">
        <v>133</v>
      </c>
      <c r="B295">
        <v>410470026001</v>
      </c>
      <c r="C295">
        <v>1.2106300000000001E-3</v>
      </c>
    </row>
    <row r="296" spans="1:3" x14ac:dyDescent="0.25">
      <c r="A296">
        <v>133</v>
      </c>
      <c r="B296">
        <v>410470026002</v>
      </c>
      <c r="C296">
        <v>1.455E-5</v>
      </c>
    </row>
    <row r="297" spans="1:3" x14ac:dyDescent="0.25">
      <c r="A297">
        <v>134</v>
      </c>
      <c r="B297">
        <v>410470025022</v>
      </c>
      <c r="C297">
        <v>0.99880234000000001</v>
      </c>
    </row>
    <row r="298" spans="1:3" x14ac:dyDescent="0.25">
      <c r="A298">
        <v>134</v>
      </c>
      <c r="B298">
        <v>410470025023</v>
      </c>
      <c r="C298">
        <v>1.19769E-3</v>
      </c>
    </row>
    <row r="299" spans="1:3" x14ac:dyDescent="0.25">
      <c r="A299">
        <v>135</v>
      </c>
      <c r="B299">
        <v>410470016011</v>
      </c>
      <c r="C299">
        <v>3.5334070000000002E-2</v>
      </c>
    </row>
    <row r="300" spans="1:3" x14ac:dyDescent="0.25">
      <c r="A300">
        <v>135</v>
      </c>
      <c r="B300">
        <v>410470016014</v>
      </c>
      <c r="C300">
        <v>5.3476999999999995E-4</v>
      </c>
    </row>
    <row r="301" spans="1:3" x14ac:dyDescent="0.25">
      <c r="A301">
        <v>135</v>
      </c>
      <c r="B301">
        <v>410470025021</v>
      </c>
      <c r="C301">
        <v>8.02486E-3</v>
      </c>
    </row>
    <row r="302" spans="1:3" x14ac:dyDescent="0.25">
      <c r="A302">
        <v>135</v>
      </c>
      <c r="B302">
        <v>410470025023</v>
      </c>
      <c r="C302">
        <v>0.95610631000000001</v>
      </c>
    </row>
    <row r="303" spans="1:3" x14ac:dyDescent="0.25">
      <c r="A303">
        <v>136</v>
      </c>
      <c r="B303">
        <v>410470016014</v>
      </c>
      <c r="C303">
        <v>2.5741399999999999E-3</v>
      </c>
    </row>
    <row r="304" spans="1:3" x14ac:dyDescent="0.25">
      <c r="A304">
        <v>136</v>
      </c>
      <c r="B304">
        <v>410470016015</v>
      </c>
      <c r="C304">
        <v>2.0357500000000002E-3</v>
      </c>
    </row>
    <row r="305" spans="1:3" x14ac:dyDescent="0.25">
      <c r="A305">
        <v>136</v>
      </c>
      <c r="B305">
        <v>410470025022</v>
      </c>
      <c r="C305">
        <v>2.5024299999999999E-3</v>
      </c>
    </row>
    <row r="306" spans="1:3" x14ac:dyDescent="0.25">
      <c r="A306">
        <v>136</v>
      </c>
      <c r="B306">
        <v>410470025023</v>
      </c>
      <c r="C306">
        <v>0.99288767000000011</v>
      </c>
    </row>
    <row r="307" spans="1:3" x14ac:dyDescent="0.25">
      <c r="A307">
        <v>137</v>
      </c>
      <c r="B307">
        <v>410470016015</v>
      </c>
      <c r="C307">
        <v>4.3099999999999997E-5</v>
      </c>
    </row>
    <row r="308" spans="1:3" x14ac:dyDescent="0.25">
      <c r="A308">
        <v>137</v>
      </c>
      <c r="B308">
        <v>410470016031</v>
      </c>
      <c r="C308">
        <v>4.2621300000000003E-3</v>
      </c>
    </row>
    <row r="309" spans="1:3" x14ac:dyDescent="0.25">
      <c r="A309">
        <v>137</v>
      </c>
      <c r="B309">
        <v>410470025022</v>
      </c>
      <c r="C309">
        <v>2.1274879999999999E-2</v>
      </c>
    </row>
    <row r="310" spans="1:3" x14ac:dyDescent="0.25">
      <c r="A310">
        <v>137</v>
      </c>
      <c r="B310">
        <v>410470025023</v>
      </c>
      <c r="C310">
        <v>0.97441981</v>
      </c>
    </row>
    <row r="311" spans="1:3" x14ac:dyDescent="0.25">
      <c r="A311">
        <v>138</v>
      </c>
      <c r="B311">
        <v>410470016031</v>
      </c>
      <c r="C311">
        <v>1.4530000000000001E-4</v>
      </c>
    </row>
    <row r="312" spans="1:3" x14ac:dyDescent="0.25">
      <c r="A312">
        <v>138</v>
      </c>
      <c r="B312">
        <v>410470025022</v>
      </c>
      <c r="C312">
        <v>0.98225773000000005</v>
      </c>
    </row>
    <row r="313" spans="1:3" x14ac:dyDescent="0.25">
      <c r="A313">
        <v>138</v>
      </c>
      <c r="B313">
        <v>410470025023</v>
      </c>
      <c r="C313">
        <v>1.1750000000000001E-5</v>
      </c>
    </row>
    <row r="314" spans="1:3" x14ac:dyDescent="0.25">
      <c r="A314">
        <v>138</v>
      </c>
      <c r="B314">
        <v>410470026001</v>
      </c>
      <c r="C314">
        <v>1.758523E-2</v>
      </c>
    </row>
    <row r="315" spans="1:3" x14ac:dyDescent="0.25">
      <c r="A315">
        <v>139</v>
      </c>
      <c r="B315">
        <v>410470016031</v>
      </c>
      <c r="C315">
        <v>0.99747494000000003</v>
      </c>
    </row>
    <row r="316" spans="1:3" x14ac:dyDescent="0.25">
      <c r="A316">
        <v>139</v>
      </c>
      <c r="B316">
        <v>410470016033</v>
      </c>
      <c r="C316">
        <v>3.0260000000000002E-5</v>
      </c>
    </row>
    <row r="317" spans="1:3" x14ac:dyDescent="0.25">
      <c r="A317">
        <v>139</v>
      </c>
      <c r="B317">
        <v>410470025022</v>
      </c>
      <c r="C317">
        <v>1.02458E-3</v>
      </c>
    </row>
    <row r="318" spans="1:3" x14ac:dyDescent="0.25">
      <c r="A318">
        <v>139</v>
      </c>
      <c r="B318">
        <v>410470026001</v>
      </c>
      <c r="C318">
        <v>1.4702100000000002E-3</v>
      </c>
    </row>
    <row r="319" spans="1:3" x14ac:dyDescent="0.25">
      <c r="A319">
        <v>140</v>
      </c>
      <c r="B319">
        <v>410470016012</v>
      </c>
      <c r="C319">
        <v>9.4759999999999994E-5</v>
      </c>
    </row>
    <row r="320" spans="1:3" x14ac:dyDescent="0.25">
      <c r="A320">
        <v>140</v>
      </c>
      <c r="B320">
        <v>410470016013</v>
      </c>
      <c r="C320">
        <v>0.11029918</v>
      </c>
    </row>
    <row r="321" spans="1:3" x14ac:dyDescent="0.25">
      <c r="A321">
        <v>140</v>
      </c>
      <c r="B321">
        <v>410470016014</v>
      </c>
      <c r="C321">
        <v>0.24925615000000001</v>
      </c>
    </row>
    <row r="322" spans="1:3" x14ac:dyDescent="0.25">
      <c r="A322">
        <v>140</v>
      </c>
      <c r="B322">
        <v>410470016015</v>
      </c>
      <c r="C322">
        <v>0.39517113999999998</v>
      </c>
    </row>
    <row r="323" spans="1:3" x14ac:dyDescent="0.25">
      <c r="A323">
        <v>140</v>
      </c>
      <c r="B323">
        <v>410470016031</v>
      </c>
      <c r="C323">
        <v>0.24056370000000002</v>
      </c>
    </row>
    <row r="324" spans="1:3" x14ac:dyDescent="0.25">
      <c r="A324">
        <v>140</v>
      </c>
      <c r="B324">
        <v>410470016032</v>
      </c>
      <c r="C324">
        <v>3.7339999999999999E-3</v>
      </c>
    </row>
    <row r="325" spans="1:3" x14ac:dyDescent="0.25">
      <c r="A325">
        <v>140</v>
      </c>
      <c r="B325">
        <v>410470025022</v>
      </c>
      <c r="C325">
        <v>2.9932E-4</v>
      </c>
    </row>
    <row r="326" spans="1:3" x14ac:dyDescent="0.25">
      <c r="A326">
        <v>140</v>
      </c>
      <c r="B326">
        <v>410470025023</v>
      </c>
      <c r="C326">
        <v>5.8179E-4</v>
      </c>
    </row>
    <row r="327" spans="1:3" x14ac:dyDescent="0.25">
      <c r="A327">
        <v>141</v>
      </c>
      <c r="B327">
        <v>410470016011</v>
      </c>
      <c r="C327">
        <v>0.73040476999999993</v>
      </c>
    </row>
    <row r="328" spans="1:3" x14ac:dyDescent="0.25">
      <c r="A328">
        <v>141</v>
      </c>
      <c r="B328">
        <v>410470016012</v>
      </c>
      <c r="C328">
        <v>0.18598901999999998</v>
      </c>
    </row>
    <row r="329" spans="1:3" x14ac:dyDescent="0.25">
      <c r="A329">
        <v>141</v>
      </c>
      <c r="B329">
        <v>410470016014</v>
      </c>
      <c r="C329">
        <v>1.0409980000000001E-2</v>
      </c>
    </row>
    <row r="330" spans="1:3" x14ac:dyDescent="0.25">
      <c r="A330">
        <v>141</v>
      </c>
      <c r="B330">
        <v>410470016051</v>
      </c>
      <c r="C330">
        <v>7.3075760000000003E-2</v>
      </c>
    </row>
    <row r="331" spans="1:3" x14ac:dyDescent="0.25">
      <c r="A331">
        <v>141</v>
      </c>
      <c r="B331">
        <v>410470016063</v>
      </c>
      <c r="C331">
        <v>1.2043999999999999E-4</v>
      </c>
    </row>
    <row r="332" spans="1:3" x14ac:dyDescent="0.25">
      <c r="A332">
        <v>143</v>
      </c>
      <c r="B332">
        <v>410470016011</v>
      </c>
      <c r="C332">
        <v>0.99699721999999991</v>
      </c>
    </row>
    <row r="333" spans="1:3" x14ac:dyDescent="0.25">
      <c r="A333">
        <v>143</v>
      </c>
      <c r="B333">
        <v>410470016014</v>
      </c>
      <c r="C333">
        <v>3.00279E-3</v>
      </c>
    </row>
    <row r="334" spans="1:3" x14ac:dyDescent="0.25">
      <c r="A334">
        <v>144</v>
      </c>
      <c r="B334">
        <v>410470004003</v>
      </c>
      <c r="C334">
        <v>1.9230000000000001E-5</v>
      </c>
    </row>
    <row r="335" spans="1:3" x14ac:dyDescent="0.25">
      <c r="A335">
        <v>144</v>
      </c>
      <c r="B335">
        <v>410470016011</v>
      </c>
      <c r="C335">
        <v>0.95223149000000007</v>
      </c>
    </row>
    <row r="336" spans="1:3" x14ac:dyDescent="0.25">
      <c r="A336">
        <v>144</v>
      </c>
      <c r="B336">
        <v>410470016051</v>
      </c>
      <c r="C336">
        <v>4.774933E-2</v>
      </c>
    </row>
    <row r="337" spans="1:3" x14ac:dyDescent="0.25">
      <c r="A337">
        <v>146</v>
      </c>
      <c r="B337">
        <v>410470016012</v>
      </c>
      <c r="C337">
        <v>0.48879745999999996</v>
      </c>
    </row>
    <row r="338" spans="1:3" x14ac:dyDescent="0.25">
      <c r="A338">
        <v>146</v>
      </c>
      <c r="B338">
        <v>410470016013</v>
      </c>
      <c r="C338">
        <v>0.34850898999999996</v>
      </c>
    </row>
    <row r="339" spans="1:3" x14ac:dyDescent="0.25">
      <c r="A339">
        <v>146</v>
      </c>
      <c r="B339">
        <v>410470016014</v>
      </c>
      <c r="C339">
        <v>6.9128410000000001E-2</v>
      </c>
    </row>
    <row r="340" spans="1:3" x14ac:dyDescent="0.25">
      <c r="A340">
        <v>146</v>
      </c>
      <c r="B340">
        <v>410470016015</v>
      </c>
      <c r="C340">
        <v>4.7329999999999996E-4</v>
      </c>
    </row>
    <row r="341" spans="1:3" x14ac:dyDescent="0.25">
      <c r="A341">
        <v>146</v>
      </c>
      <c r="B341">
        <v>410470016032</v>
      </c>
      <c r="C341">
        <v>2.8273999999999999E-3</v>
      </c>
    </row>
    <row r="342" spans="1:3" x14ac:dyDescent="0.25">
      <c r="A342">
        <v>146</v>
      </c>
      <c r="B342">
        <v>410470016062</v>
      </c>
      <c r="C342">
        <v>4.2959999999999998E-4</v>
      </c>
    </row>
    <row r="343" spans="1:3" x14ac:dyDescent="0.25">
      <c r="A343">
        <v>146</v>
      </c>
      <c r="B343">
        <v>410470016063</v>
      </c>
      <c r="C343">
        <v>8.9834849999999994E-2</v>
      </c>
    </row>
    <row r="344" spans="1:3" x14ac:dyDescent="0.25">
      <c r="A344">
        <v>147</v>
      </c>
      <c r="B344">
        <v>410470016012</v>
      </c>
      <c r="C344">
        <v>8.4882639999999995E-2</v>
      </c>
    </row>
    <row r="345" spans="1:3" x14ac:dyDescent="0.25">
      <c r="A345">
        <v>147</v>
      </c>
      <c r="B345">
        <v>410470016013</v>
      </c>
      <c r="C345">
        <v>3.2877999999999998E-4</v>
      </c>
    </row>
    <row r="346" spans="1:3" x14ac:dyDescent="0.25">
      <c r="A346">
        <v>147</v>
      </c>
      <c r="B346">
        <v>410470016031</v>
      </c>
      <c r="C346">
        <v>1.6605140000000001E-2</v>
      </c>
    </row>
    <row r="347" spans="1:3" x14ac:dyDescent="0.25">
      <c r="A347">
        <v>147</v>
      </c>
      <c r="B347">
        <v>410470016032</v>
      </c>
      <c r="C347">
        <v>0.68007619000000008</v>
      </c>
    </row>
    <row r="348" spans="1:3" x14ac:dyDescent="0.25">
      <c r="A348">
        <v>147</v>
      </c>
      <c r="B348">
        <v>410470016033</v>
      </c>
      <c r="C348">
        <v>5.7349999999999998E-5</v>
      </c>
    </row>
    <row r="349" spans="1:3" x14ac:dyDescent="0.25">
      <c r="A349">
        <v>147</v>
      </c>
      <c r="B349">
        <v>410470016061</v>
      </c>
      <c r="C349">
        <v>2.3897000000000002E-4</v>
      </c>
    </row>
    <row r="350" spans="1:3" x14ac:dyDescent="0.25">
      <c r="A350">
        <v>147</v>
      </c>
      <c r="B350">
        <v>410470016062</v>
      </c>
      <c r="C350">
        <v>0.21781088000000001</v>
      </c>
    </row>
    <row r="351" spans="1:3" x14ac:dyDescent="0.25">
      <c r="A351">
        <v>148</v>
      </c>
      <c r="B351">
        <v>410470016031</v>
      </c>
      <c r="C351">
        <v>1.137292E-2</v>
      </c>
    </row>
    <row r="352" spans="1:3" x14ac:dyDescent="0.25">
      <c r="A352">
        <v>148</v>
      </c>
      <c r="B352">
        <v>410470016032</v>
      </c>
      <c r="C352">
        <v>6.9778000000000006E-4</v>
      </c>
    </row>
    <row r="353" spans="1:3" x14ac:dyDescent="0.25">
      <c r="A353">
        <v>148</v>
      </c>
      <c r="B353">
        <v>410470016033</v>
      </c>
      <c r="C353">
        <v>0.61763683999999996</v>
      </c>
    </row>
    <row r="354" spans="1:3" x14ac:dyDescent="0.25">
      <c r="A354">
        <v>148</v>
      </c>
      <c r="B354">
        <v>410470016034</v>
      </c>
      <c r="C354">
        <v>2.3411399999999998E-3</v>
      </c>
    </row>
    <row r="355" spans="1:3" x14ac:dyDescent="0.25">
      <c r="A355">
        <v>148</v>
      </c>
      <c r="B355">
        <v>410470016061</v>
      </c>
      <c r="C355">
        <v>0.36741853999999996</v>
      </c>
    </row>
    <row r="356" spans="1:3" x14ac:dyDescent="0.25">
      <c r="A356">
        <v>148</v>
      </c>
      <c r="B356">
        <v>410470016062</v>
      </c>
      <c r="C356">
        <v>5.3282000000000004E-4</v>
      </c>
    </row>
    <row r="357" spans="1:3" x14ac:dyDescent="0.25">
      <c r="A357">
        <v>149</v>
      </c>
      <c r="B357">
        <v>410470016061</v>
      </c>
      <c r="C357">
        <v>5.7605899999999995E-3</v>
      </c>
    </row>
    <row r="358" spans="1:3" x14ac:dyDescent="0.25">
      <c r="A358">
        <v>149</v>
      </c>
      <c r="B358">
        <v>410470016062</v>
      </c>
      <c r="C358">
        <v>4.8735799999999998E-3</v>
      </c>
    </row>
    <row r="359" spans="1:3" x14ac:dyDescent="0.25">
      <c r="A359">
        <v>149</v>
      </c>
      <c r="B359">
        <v>410470016063</v>
      </c>
      <c r="C359">
        <v>0.98899844999999997</v>
      </c>
    </row>
    <row r="360" spans="1:3" x14ac:dyDescent="0.25">
      <c r="A360">
        <v>149</v>
      </c>
      <c r="B360">
        <v>410470016072</v>
      </c>
      <c r="C360">
        <v>3.6741999999999998E-4</v>
      </c>
    </row>
    <row r="361" spans="1:3" x14ac:dyDescent="0.25">
      <c r="A361">
        <v>150</v>
      </c>
      <c r="B361">
        <v>410470016051</v>
      </c>
      <c r="C361">
        <v>0.57664906000000005</v>
      </c>
    </row>
    <row r="362" spans="1:3" x14ac:dyDescent="0.25">
      <c r="A362">
        <v>150</v>
      </c>
      <c r="B362">
        <v>410470016052</v>
      </c>
      <c r="C362">
        <v>0.39770197000000002</v>
      </c>
    </row>
    <row r="363" spans="1:3" x14ac:dyDescent="0.25">
      <c r="A363">
        <v>150</v>
      </c>
      <c r="B363">
        <v>410470016063</v>
      </c>
      <c r="C363">
        <v>2.5648970000000004E-2</v>
      </c>
    </row>
    <row r="364" spans="1:3" x14ac:dyDescent="0.25">
      <c r="A364">
        <v>151</v>
      </c>
      <c r="B364">
        <v>410470016052</v>
      </c>
      <c r="C364">
        <v>0.97539195000000012</v>
      </c>
    </row>
    <row r="365" spans="1:3" x14ac:dyDescent="0.25">
      <c r="A365">
        <v>151</v>
      </c>
      <c r="B365">
        <v>410470016063</v>
      </c>
      <c r="C365">
        <v>2.2237920000000001E-2</v>
      </c>
    </row>
    <row r="366" spans="1:3" x14ac:dyDescent="0.25">
      <c r="A366">
        <v>151</v>
      </c>
      <c r="B366">
        <v>410470016071</v>
      </c>
      <c r="C366">
        <v>2.2805300000000002E-3</v>
      </c>
    </row>
    <row r="367" spans="1:3" x14ac:dyDescent="0.25">
      <c r="A367">
        <v>151</v>
      </c>
      <c r="B367">
        <v>410470016072</v>
      </c>
      <c r="C367">
        <v>8.9630000000000008E-5</v>
      </c>
    </row>
    <row r="368" spans="1:3" x14ac:dyDescent="0.25">
      <c r="A368">
        <v>152</v>
      </c>
      <c r="B368">
        <v>410470016031</v>
      </c>
      <c r="C368">
        <v>0.99598346000000004</v>
      </c>
    </row>
    <row r="369" spans="1:3" x14ac:dyDescent="0.25">
      <c r="A369">
        <v>152</v>
      </c>
      <c r="B369">
        <v>410470026001</v>
      </c>
      <c r="C369">
        <v>4.0165499999999998E-3</v>
      </c>
    </row>
    <row r="370" spans="1:3" x14ac:dyDescent="0.25">
      <c r="A370">
        <v>153</v>
      </c>
      <c r="B370">
        <v>410470016031</v>
      </c>
      <c r="C370">
        <v>0.99596403</v>
      </c>
    </row>
    <row r="371" spans="1:3" x14ac:dyDescent="0.25">
      <c r="A371">
        <v>153</v>
      </c>
      <c r="B371">
        <v>410470016034</v>
      </c>
      <c r="C371">
        <v>2.1308000000000001E-4</v>
      </c>
    </row>
    <row r="372" spans="1:3" x14ac:dyDescent="0.25">
      <c r="A372">
        <v>153</v>
      </c>
      <c r="B372">
        <v>410470017031</v>
      </c>
      <c r="C372">
        <v>5.7620999999999996E-4</v>
      </c>
    </row>
    <row r="373" spans="1:3" x14ac:dyDescent="0.25">
      <c r="A373">
        <v>153</v>
      </c>
      <c r="B373">
        <v>410470026001</v>
      </c>
      <c r="C373">
        <v>3.2466699999999997E-3</v>
      </c>
    </row>
    <row r="374" spans="1:3" x14ac:dyDescent="0.25">
      <c r="A374">
        <v>154</v>
      </c>
      <c r="B374">
        <v>410470016031</v>
      </c>
      <c r="C374">
        <v>0.17540738</v>
      </c>
    </row>
    <row r="375" spans="1:3" x14ac:dyDescent="0.25">
      <c r="A375">
        <v>154</v>
      </c>
      <c r="B375">
        <v>410470016033</v>
      </c>
      <c r="C375">
        <v>2.8564000000000003E-3</v>
      </c>
    </row>
    <row r="376" spans="1:3" x14ac:dyDescent="0.25">
      <c r="A376">
        <v>154</v>
      </c>
      <c r="B376">
        <v>410470016034</v>
      </c>
      <c r="C376">
        <v>0.32260685</v>
      </c>
    </row>
    <row r="377" spans="1:3" x14ac:dyDescent="0.25">
      <c r="A377">
        <v>154</v>
      </c>
      <c r="B377">
        <v>410470016061</v>
      </c>
      <c r="C377">
        <v>3.4361000000000005E-4</v>
      </c>
    </row>
    <row r="378" spans="1:3" x14ac:dyDescent="0.25">
      <c r="A378">
        <v>154</v>
      </c>
      <c r="B378">
        <v>410470016081</v>
      </c>
      <c r="C378">
        <v>0.32129322999999999</v>
      </c>
    </row>
    <row r="379" spans="1:3" x14ac:dyDescent="0.25">
      <c r="A379">
        <v>154</v>
      </c>
      <c r="B379">
        <v>410470016082</v>
      </c>
      <c r="C379">
        <v>0.17640139000000002</v>
      </c>
    </row>
    <row r="380" spans="1:3" x14ac:dyDescent="0.25">
      <c r="A380">
        <v>154</v>
      </c>
      <c r="B380">
        <v>410470017022</v>
      </c>
      <c r="C380">
        <v>1.0911E-3</v>
      </c>
    </row>
    <row r="381" spans="1:3" x14ac:dyDescent="0.25">
      <c r="A381">
        <v>155</v>
      </c>
      <c r="B381">
        <v>410470016061</v>
      </c>
      <c r="C381">
        <v>1.3980400000000001E-3</v>
      </c>
    </row>
    <row r="382" spans="1:3" x14ac:dyDescent="0.25">
      <c r="A382">
        <v>155</v>
      </c>
      <c r="B382">
        <v>410470016063</v>
      </c>
      <c r="C382">
        <v>9.7922000000000005E-4</v>
      </c>
    </row>
    <row r="383" spans="1:3" x14ac:dyDescent="0.25">
      <c r="A383">
        <v>155</v>
      </c>
      <c r="B383">
        <v>410470016081</v>
      </c>
      <c r="C383">
        <v>0.50654874999999999</v>
      </c>
    </row>
    <row r="384" spans="1:3" x14ac:dyDescent="0.25">
      <c r="A384">
        <v>155</v>
      </c>
      <c r="B384">
        <v>410470016082</v>
      </c>
      <c r="C384">
        <v>0.48887659999999999</v>
      </c>
    </row>
    <row r="385" spans="1:3" x14ac:dyDescent="0.25">
      <c r="A385">
        <v>155</v>
      </c>
      <c r="B385">
        <v>410470017011</v>
      </c>
      <c r="C385">
        <v>4.9122E-4</v>
      </c>
    </row>
    <row r="386" spans="1:3" x14ac:dyDescent="0.25">
      <c r="A386">
        <v>155</v>
      </c>
      <c r="B386">
        <v>410470017022</v>
      </c>
      <c r="C386">
        <v>1.7061799999999998E-3</v>
      </c>
    </row>
    <row r="387" spans="1:3" x14ac:dyDescent="0.25">
      <c r="A387">
        <v>156</v>
      </c>
      <c r="B387">
        <v>410470016063</v>
      </c>
      <c r="C387">
        <v>1.2589E-4</v>
      </c>
    </row>
    <row r="388" spans="1:3" x14ac:dyDescent="0.25">
      <c r="A388">
        <v>156</v>
      </c>
      <c r="B388">
        <v>410470016072</v>
      </c>
      <c r="C388">
        <v>0.98487272000000003</v>
      </c>
    </row>
    <row r="389" spans="1:3" x14ac:dyDescent="0.25">
      <c r="A389">
        <v>156</v>
      </c>
      <c r="B389">
        <v>410470016081</v>
      </c>
      <c r="C389">
        <v>2.6114199999999997E-3</v>
      </c>
    </row>
    <row r="390" spans="1:3" x14ac:dyDescent="0.25">
      <c r="A390">
        <v>156</v>
      </c>
      <c r="B390">
        <v>410470016082</v>
      </c>
      <c r="C390">
        <v>1.2390000000000002E-2</v>
      </c>
    </row>
    <row r="391" spans="1:3" x14ac:dyDescent="0.25">
      <c r="A391">
        <v>158</v>
      </c>
      <c r="B391">
        <v>410470016052</v>
      </c>
      <c r="C391">
        <v>6.1306000000000002E-4</v>
      </c>
    </row>
    <row r="392" spans="1:3" x14ac:dyDescent="0.25">
      <c r="A392">
        <v>158</v>
      </c>
      <c r="B392">
        <v>410470016071</v>
      </c>
      <c r="C392">
        <v>0.97825907000000001</v>
      </c>
    </row>
    <row r="393" spans="1:3" x14ac:dyDescent="0.25">
      <c r="A393">
        <v>158</v>
      </c>
      <c r="B393">
        <v>410470016072</v>
      </c>
      <c r="C393">
        <v>2.1127859999999998E-2</v>
      </c>
    </row>
    <row r="394" spans="1:3" x14ac:dyDescent="0.25">
      <c r="A394">
        <v>162</v>
      </c>
      <c r="B394">
        <v>410470016072</v>
      </c>
      <c r="C394">
        <v>0.98782561000000002</v>
      </c>
    </row>
    <row r="395" spans="1:3" x14ac:dyDescent="0.25">
      <c r="A395">
        <v>162</v>
      </c>
      <c r="B395">
        <v>410470016081</v>
      </c>
      <c r="C395">
        <v>1.1572809999999999E-2</v>
      </c>
    </row>
    <row r="396" spans="1:3" x14ac:dyDescent="0.25">
      <c r="A396">
        <v>162</v>
      </c>
      <c r="B396">
        <v>410470017011</v>
      </c>
      <c r="C396">
        <v>6.0157000000000006E-4</v>
      </c>
    </row>
    <row r="397" spans="1:3" x14ac:dyDescent="0.25">
      <c r="A397">
        <v>164</v>
      </c>
      <c r="B397">
        <v>410470016071</v>
      </c>
      <c r="C397">
        <v>2.4318400000000002E-3</v>
      </c>
    </row>
    <row r="398" spans="1:3" x14ac:dyDescent="0.25">
      <c r="A398">
        <v>164</v>
      </c>
      <c r="B398">
        <v>410470016072</v>
      </c>
      <c r="C398">
        <v>6.0719000000000007E-4</v>
      </c>
    </row>
    <row r="399" spans="1:3" x14ac:dyDescent="0.25">
      <c r="A399">
        <v>164</v>
      </c>
      <c r="B399">
        <v>410470017011</v>
      </c>
      <c r="C399">
        <v>0.99084040000000007</v>
      </c>
    </row>
    <row r="400" spans="1:3" x14ac:dyDescent="0.25">
      <c r="A400">
        <v>164</v>
      </c>
      <c r="B400">
        <v>410470017012</v>
      </c>
      <c r="C400">
        <v>9.8930000000000003E-5</v>
      </c>
    </row>
    <row r="401" spans="1:3" x14ac:dyDescent="0.25">
      <c r="A401">
        <v>164</v>
      </c>
      <c r="B401">
        <v>410470017022</v>
      </c>
      <c r="C401">
        <v>5.9595400000000001E-3</v>
      </c>
    </row>
    <row r="402" spans="1:3" x14ac:dyDescent="0.25">
      <c r="A402">
        <v>164</v>
      </c>
      <c r="B402">
        <v>410470017023</v>
      </c>
      <c r="C402">
        <v>6.2100000000000005E-5</v>
      </c>
    </row>
    <row r="403" spans="1:3" x14ac:dyDescent="0.25">
      <c r="A403">
        <v>168</v>
      </c>
      <c r="B403">
        <v>410470016031</v>
      </c>
      <c r="C403">
        <v>4.9717399999999997E-3</v>
      </c>
    </row>
    <row r="404" spans="1:3" x14ac:dyDescent="0.25">
      <c r="A404">
        <v>168</v>
      </c>
      <c r="B404">
        <v>410470016081</v>
      </c>
      <c r="C404">
        <v>7.4621999999999991E-4</v>
      </c>
    </row>
    <row r="405" spans="1:3" x14ac:dyDescent="0.25">
      <c r="A405">
        <v>168</v>
      </c>
      <c r="B405">
        <v>410470017021</v>
      </c>
      <c r="C405">
        <v>4.1493600000000004E-3</v>
      </c>
    </row>
    <row r="406" spans="1:3" x14ac:dyDescent="0.25">
      <c r="A406">
        <v>168</v>
      </c>
      <c r="B406">
        <v>410470017022</v>
      </c>
      <c r="C406">
        <v>0.98359993000000001</v>
      </c>
    </row>
    <row r="407" spans="1:3" x14ac:dyDescent="0.25">
      <c r="A407">
        <v>168</v>
      </c>
      <c r="B407">
        <v>410470017031</v>
      </c>
      <c r="C407">
        <v>6.5327500000000004E-3</v>
      </c>
    </row>
    <row r="408" spans="1:3" x14ac:dyDescent="0.25">
      <c r="A408">
        <v>169</v>
      </c>
      <c r="B408">
        <v>410470016031</v>
      </c>
      <c r="C408">
        <v>3.7369999999999999E-3</v>
      </c>
    </row>
    <row r="409" spans="1:3" x14ac:dyDescent="0.25">
      <c r="A409">
        <v>169</v>
      </c>
      <c r="B409">
        <v>410470017031</v>
      </c>
      <c r="C409">
        <v>0.99626309000000002</v>
      </c>
    </row>
    <row r="410" spans="1:3" x14ac:dyDescent="0.25">
      <c r="A410">
        <v>170</v>
      </c>
      <c r="B410">
        <v>410470016031</v>
      </c>
      <c r="C410">
        <v>2.1158E-4</v>
      </c>
    </row>
    <row r="411" spans="1:3" x14ac:dyDescent="0.25">
      <c r="A411">
        <v>170</v>
      </c>
      <c r="B411">
        <v>410470017031</v>
      </c>
      <c r="C411">
        <v>0.99863758999999996</v>
      </c>
    </row>
    <row r="412" spans="1:3" x14ac:dyDescent="0.25">
      <c r="A412">
        <v>170</v>
      </c>
      <c r="B412">
        <v>410470026001</v>
      </c>
      <c r="C412">
        <v>1.1508200000000001E-3</v>
      </c>
    </row>
    <row r="413" spans="1:3" x14ac:dyDescent="0.25">
      <c r="A413">
        <v>171</v>
      </c>
      <c r="B413">
        <v>410470017031</v>
      </c>
      <c r="C413">
        <v>0.99999998000000001</v>
      </c>
    </row>
    <row r="414" spans="1:3" x14ac:dyDescent="0.25">
      <c r="A414">
        <v>172</v>
      </c>
      <c r="B414">
        <v>410470017021</v>
      </c>
      <c r="C414">
        <v>0.40506107000000002</v>
      </c>
    </row>
    <row r="415" spans="1:3" x14ac:dyDescent="0.25">
      <c r="A415">
        <v>172</v>
      </c>
      <c r="B415">
        <v>410470017022</v>
      </c>
      <c r="C415">
        <v>4.019023E-2</v>
      </c>
    </row>
    <row r="416" spans="1:3" x14ac:dyDescent="0.25">
      <c r="A416">
        <v>172</v>
      </c>
      <c r="B416">
        <v>410470017031</v>
      </c>
      <c r="C416">
        <v>7.2955800000000003E-3</v>
      </c>
    </row>
    <row r="417" spans="1:3" x14ac:dyDescent="0.25">
      <c r="A417">
        <v>172</v>
      </c>
      <c r="B417">
        <v>410470017032</v>
      </c>
      <c r="C417">
        <v>8.8941599999999999E-3</v>
      </c>
    </row>
    <row r="418" spans="1:3" x14ac:dyDescent="0.25">
      <c r="A418">
        <v>172</v>
      </c>
      <c r="B418">
        <v>410470017033</v>
      </c>
      <c r="C418">
        <v>0.53855896000000003</v>
      </c>
    </row>
    <row r="419" spans="1:3" x14ac:dyDescent="0.25">
      <c r="A419">
        <v>173</v>
      </c>
      <c r="B419">
        <v>410470017011</v>
      </c>
      <c r="C419">
        <v>1.024796E-2</v>
      </c>
    </row>
    <row r="420" spans="1:3" x14ac:dyDescent="0.25">
      <c r="A420">
        <v>173</v>
      </c>
      <c r="B420">
        <v>410470017012</v>
      </c>
      <c r="C420">
        <v>0.53390293999999994</v>
      </c>
    </row>
    <row r="421" spans="1:3" x14ac:dyDescent="0.25">
      <c r="A421">
        <v>173</v>
      </c>
      <c r="B421">
        <v>410470017013</v>
      </c>
      <c r="C421">
        <v>1.9118E-4</v>
      </c>
    </row>
    <row r="422" spans="1:3" x14ac:dyDescent="0.25">
      <c r="A422">
        <v>173</v>
      </c>
      <c r="B422">
        <v>410470017021</v>
      </c>
      <c r="C422">
        <v>4.3250499999999996E-3</v>
      </c>
    </row>
    <row r="423" spans="1:3" x14ac:dyDescent="0.25">
      <c r="A423">
        <v>173</v>
      </c>
      <c r="B423">
        <v>410470017022</v>
      </c>
      <c r="C423">
        <v>3.2071000000000004E-4</v>
      </c>
    </row>
    <row r="424" spans="1:3" x14ac:dyDescent="0.25">
      <c r="A424">
        <v>173</v>
      </c>
      <c r="B424">
        <v>410470017023</v>
      </c>
      <c r="C424">
        <v>0.44966769999999995</v>
      </c>
    </row>
    <row r="425" spans="1:3" x14ac:dyDescent="0.25">
      <c r="A425">
        <v>173</v>
      </c>
      <c r="B425">
        <v>410470017032</v>
      </c>
      <c r="C425">
        <v>1.3444700000000002E-3</v>
      </c>
    </row>
    <row r="426" spans="1:3" x14ac:dyDescent="0.25">
      <c r="A426">
        <v>180</v>
      </c>
      <c r="B426">
        <v>410470017012</v>
      </c>
      <c r="C426">
        <v>0.18076249</v>
      </c>
    </row>
    <row r="427" spans="1:3" x14ac:dyDescent="0.25">
      <c r="A427">
        <v>180</v>
      </c>
      <c r="B427">
        <v>410470017013</v>
      </c>
      <c r="C427">
        <v>0.41416791000000003</v>
      </c>
    </row>
    <row r="428" spans="1:3" x14ac:dyDescent="0.25">
      <c r="A428">
        <v>180</v>
      </c>
      <c r="B428">
        <v>410470017031</v>
      </c>
      <c r="C428">
        <v>1.7263600000000001E-3</v>
      </c>
    </row>
    <row r="429" spans="1:3" x14ac:dyDescent="0.25">
      <c r="A429">
        <v>180</v>
      </c>
      <c r="B429">
        <v>410470017032</v>
      </c>
      <c r="C429">
        <v>0.39647865000000004</v>
      </c>
    </row>
    <row r="430" spans="1:3" x14ac:dyDescent="0.25">
      <c r="A430">
        <v>180</v>
      </c>
      <c r="B430">
        <v>410470018011</v>
      </c>
      <c r="C430">
        <v>6.8646200000000001E-3</v>
      </c>
    </row>
    <row r="431" spans="1:3" x14ac:dyDescent="0.25">
      <c r="A431">
        <v>185</v>
      </c>
      <c r="B431">
        <v>410470017031</v>
      </c>
      <c r="C431">
        <v>0.99969167000000003</v>
      </c>
    </row>
    <row r="432" spans="1:3" x14ac:dyDescent="0.25">
      <c r="A432">
        <v>185</v>
      </c>
      <c r="B432">
        <v>410470026001</v>
      </c>
      <c r="C432">
        <v>3.0831000000000001E-4</v>
      </c>
    </row>
    <row r="433" spans="1:3" x14ac:dyDescent="0.25">
      <c r="A433">
        <v>186</v>
      </c>
      <c r="B433">
        <v>410470017031</v>
      </c>
      <c r="C433">
        <v>1.132998E-2</v>
      </c>
    </row>
    <row r="434" spans="1:3" x14ac:dyDescent="0.25">
      <c r="A434">
        <v>186</v>
      </c>
      <c r="B434">
        <v>410470017032</v>
      </c>
      <c r="C434">
        <v>0.98866995999999996</v>
      </c>
    </row>
    <row r="435" spans="1:3" x14ac:dyDescent="0.25">
      <c r="A435">
        <v>189</v>
      </c>
      <c r="B435">
        <v>410470017013</v>
      </c>
      <c r="C435">
        <v>2.0480999999999999E-4</v>
      </c>
    </row>
    <row r="436" spans="1:3" x14ac:dyDescent="0.25">
      <c r="A436">
        <v>189</v>
      </c>
      <c r="B436">
        <v>410470017031</v>
      </c>
      <c r="C436">
        <v>1.1109000000000001E-4</v>
      </c>
    </row>
    <row r="437" spans="1:3" x14ac:dyDescent="0.25">
      <c r="A437">
        <v>189</v>
      </c>
      <c r="B437">
        <v>410470017032</v>
      </c>
      <c r="C437">
        <v>6.9624699999999992E-3</v>
      </c>
    </row>
    <row r="438" spans="1:3" x14ac:dyDescent="0.25">
      <c r="A438">
        <v>189</v>
      </c>
      <c r="B438">
        <v>410470018011</v>
      </c>
      <c r="C438">
        <v>0.98163612999999994</v>
      </c>
    </row>
    <row r="439" spans="1:3" x14ac:dyDescent="0.25">
      <c r="A439">
        <v>189</v>
      </c>
      <c r="B439">
        <v>410470018012</v>
      </c>
      <c r="C439">
        <v>4.4502000000000002E-4</v>
      </c>
    </row>
    <row r="440" spans="1:3" x14ac:dyDescent="0.25">
      <c r="A440">
        <v>189</v>
      </c>
      <c r="B440">
        <v>410470018014</v>
      </c>
      <c r="C440">
        <v>5.2866500000000004E-3</v>
      </c>
    </row>
    <row r="441" spans="1:3" x14ac:dyDescent="0.25">
      <c r="A441">
        <v>189</v>
      </c>
      <c r="B441">
        <v>410470018021</v>
      </c>
      <c r="C441">
        <v>2.1068300000000001E-3</v>
      </c>
    </row>
    <row r="442" spans="1:3" x14ac:dyDescent="0.25">
      <c r="A442">
        <v>189</v>
      </c>
      <c r="B442">
        <v>410470018022</v>
      </c>
      <c r="C442">
        <v>3.2469599999999997E-3</v>
      </c>
    </row>
    <row r="443" spans="1:3" x14ac:dyDescent="0.25">
      <c r="A443">
        <v>193</v>
      </c>
      <c r="B443">
        <v>410470017031</v>
      </c>
      <c r="C443">
        <v>7.3296680000000003E-2</v>
      </c>
    </row>
    <row r="444" spans="1:3" x14ac:dyDescent="0.25">
      <c r="A444">
        <v>193</v>
      </c>
      <c r="B444">
        <v>410470018021</v>
      </c>
      <c r="C444">
        <v>0.92556209999999994</v>
      </c>
    </row>
    <row r="445" spans="1:3" x14ac:dyDescent="0.25">
      <c r="A445">
        <v>193</v>
      </c>
      <c r="B445">
        <v>410470026001</v>
      </c>
      <c r="C445">
        <v>1.1411399999999999E-3</v>
      </c>
    </row>
    <row r="446" spans="1:3" x14ac:dyDescent="0.25">
      <c r="A446">
        <v>193</v>
      </c>
      <c r="B446">
        <v>410470027022</v>
      </c>
      <c r="C446">
        <v>1.9000000000000001E-7</v>
      </c>
    </row>
    <row r="447" spans="1:3" x14ac:dyDescent="0.25">
      <c r="A447">
        <v>194</v>
      </c>
      <c r="B447">
        <v>410470018011</v>
      </c>
      <c r="C447">
        <v>2.4075E-4</v>
      </c>
    </row>
    <row r="448" spans="1:3" x14ac:dyDescent="0.25">
      <c r="A448">
        <v>194</v>
      </c>
      <c r="B448">
        <v>410470018012</v>
      </c>
      <c r="C448">
        <v>0.97960839000000011</v>
      </c>
    </row>
    <row r="449" spans="1:3" x14ac:dyDescent="0.25">
      <c r="A449">
        <v>194</v>
      </c>
      <c r="B449">
        <v>410470018013</v>
      </c>
      <c r="C449">
        <v>4.9560899999999998E-3</v>
      </c>
    </row>
    <row r="450" spans="1:3" x14ac:dyDescent="0.25">
      <c r="A450">
        <v>194</v>
      </c>
      <c r="B450">
        <v>410470018014</v>
      </c>
      <c r="C450">
        <v>4.4735499999999997E-3</v>
      </c>
    </row>
    <row r="451" spans="1:3" x14ac:dyDescent="0.25">
      <c r="A451">
        <v>194</v>
      </c>
      <c r="B451">
        <v>410470018024</v>
      </c>
      <c r="C451">
        <v>2.6649199999999999E-3</v>
      </c>
    </row>
    <row r="452" spans="1:3" x14ac:dyDescent="0.25">
      <c r="A452">
        <v>194</v>
      </c>
      <c r="B452">
        <v>410470018031</v>
      </c>
      <c r="C452">
        <v>4.1320000000000004E-5</v>
      </c>
    </row>
    <row r="453" spans="1:3" x14ac:dyDescent="0.25">
      <c r="A453">
        <v>194</v>
      </c>
      <c r="B453">
        <v>410470018032</v>
      </c>
      <c r="C453">
        <v>8.0149999999999996E-3</v>
      </c>
    </row>
    <row r="454" spans="1:3" x14ac:dyDescent="0.25">
      <c r="A454">
        <v>196</v>
      </c>
      <c r="B454">
        <v>410470018011</v>
      </c>
      <c r="C454">
        <v>2.6889999999999998E-5</v>
      </c>
    </row>
    <row r="455" spans="1:3" x14ac:dyDescent="0.25">
      <c r="A455">
        <v>196</v>
      </c>
      <c r="B455">
        <v>410470018012</v>
      </c>
      <c r="C455">
        <v>3.7597190000000003E-2</v>
      </c>
    </row>
    <row r="456" spans="1:3" x14ac:dyDescent="0.25">
      <c r="A456">
        <v>196</v>
      </c>
      <c r="B456">
        <v>410470018013</v>
      </c>
      <c r="C456">
        <v>0.19658476</v>
      </c>
    </row>
    <row r="457" spans="1:3" x14ac:dyDescent="0.25">
      <c r="A457">
        <v>196</v>
      </c>
      <c r="B457">
        <v>410470018014</v>
      </c>
      <c r="C457">
        <v>0.13933624</v>
      </c>
    </row>
    <row r="458" spans="1:3" x14ac:dyDescent="0.25">
      <c r="A458">
        <v>196</v>
      </c>
      <c r="B458">
        <v>410470018021</v>
      </c>
      <c r="C458">
        <v>6.3229030000000006E-2</v>
      </c>
    </row>
    <row r="459" spans="1:3" x14ac:dyDescent="0.25">
      <c r="A459">
        <v>196</v>
      </c>
      <c r="B459">
        <v>410470018022</v>
      </c>
      <c r="C459">
        <v>7.4682419999999999E-2</v>
      </c>
    </row>
    <row r="460" spans="1:3" x14ac:dyDescent="0.25">
      <c r="A460">
        <v>196</v>
      </c>
      <c r="B460">
        <v>410470018023</v>
      </c>
      <c r="C460">
        <v>9.6764670000000011E-2</v>
      </c>
    </row>
    <row r="461" spans="1:3" x14ac:dyDescent="0.25">
      <c r="A461">
        <v>196</v>
      </c>
      <c r="B461">
        <v>410470018024</v>
      </c>
      <c r="C461">
        <v>0.20325631999999999</v>
      </c>
    </row>
    <row r="462" spans="1:3" x14ac:dyDescent="0.25">
      <c r="A462">
        <v>196</v>
      </c>
      <c r="B462">
        <v>410470018025</v>
      </c>
      <c r="C462">
        <v>0.1876024</v>
      </c>
    </row>
    <row r="463" spans="1:3" x14ac:dyDescent="0.25">
      <c r="A463">
        <v>196</v>
      </c>
      <c r="B463">
        <v>410470018031</v>
      </c>
      <c r="C463">
        <v>9.2008999999999993E-4</v>
      </c>
    </row>
    <row r="464" spans="1:3" x14ac:dyDescent="0.25">
      <c r="A464">
        <v>200</v>
      </c>
      <c r="B464">
        <v>410470018013</v>
      </c>
      <c r="C464">
        <v>2.6445E-4</v>
      </c>
    </row>
    <row r="465" spans="1:3" x14ac:dyDescent="0.25">
      <c r="A465">
        <v>200</v>
      </c>
      <c r="B465">
        <v>410470018024</v>
      </c>
      <c r="C465">
        <v>0.98211128000000003</v>
      </c>
    </row>
    <row r="466" spans="1:3" x14ac:dyDescent="0.25">
      <c r="A466">
        <v>200</v>
      </c>
      <c r="B466">
        <v>410470018025</v>
      </c>
      <c r="C466">
        <v>7.6818699999999995E-3</v>
      </c>
    </row>
    <row r="467" spans="1:3" x14ac:dyDescent="0.25">
      <c r="A467">
        <v>200</v>
      </c>
      <c r="B467">
        <v>410470018031</v>
      </c>
      <c r="C467">
        <v>9.9425299999999998E-3</v>
      </c>
    </row>
    <row r="468" spans="1:3" x14ac:dyDescent="0.25">
      <c r="A468">
        <v>204</v>
      </c>
      <c r="B468">
        <v>410470018021</v>
      </c>
      <c r="C468">
        <v>0.97368423000000004</v>
      </c>
    </row>
    <row r="469" spans="1:3" x14ac:dyDescent="0.25">
      <c r="A469">
        <v>204</v>
      </c>
      <c r="B469">
        <v>410470018024</v>
      </c>
      <c r="C469">
        <v>1.2973499999999998E-3</v>
      </c>
    </row>
    <row r="470" spans="1:3" x14ac:dyDescent="0.25">
      <c r="A470">
        <v>204</v>
      </c>
      <c r="B470">
        <v>410470018031</v>
      </c>
      <c r="C470">
        <v>1.5890000000000001E-4</v>
      </c>
    </row>
    <row r="471" spans="1:3" x14ac:dyDescent="0.25">
      <c r="A471">
        <v>204</v>
      </c>
      <c r="B471">
        <v>410470018032</v>
      </c>
      <c r="C471">
        <v>2.2289690000000001E-2</v>
      </c>
    </row>
    <row r="472" spans="1:3" x14ac:dyDescent="0.25">
      <c r="A472">
        <v>204</v>
      </c>
      <c r="B472">
        <v>410470027022</v>
      </c>
      <c r="C472">
        <v>2.5699400000000002E-3</v>
      </c>
    </row>
    <row r="473" spans="1:3" x14ac:dyDescent="0.25">
      <c r="A473">
        <v>205</v>
      </c>
      <c r="B473">
        <v>410470018021</v>
      </c>
      <c r="C473">
        <v>0.99623317</v>
      </c>
    </row>
    <row r="474" spans="1:3" x14ac:dyDescent="0.25">
      <c r="A474">
        <v>205</v>
      </c>
      <c r="B474">
        <v>410470018024</v>
      </c>
      <c r="C474">
        <v>3.1692999999999999E-4</v>
      </c>
    </row>
    <row r="475" spans="1:3" x14ac:dyDescent="0.25">
      <c r="A475">
        <v>205</v>
      </c>
      <c r="B475">
        <v>410470018025</v>
      </c>
      <c r="C475">
        <v>1.165E-5</v>
      </c>
    </row>
    <row r="476" spans="1:3" x14ac:dyDescent="0.25">
      <c r="A476">
        <v>205</v>
      </c>
      <c r="B476">
        <v>410470027022</v>
      </c>
      <c r="C476">
        <v>3.43823E-3</v>
      </c>
    </row>
    <row r="477" spans="1:3" x14ac:dyDescent="0.25">
      <c r="A477">
        <v>206</v>
      </c>
      <c r="B477">
        <v>410470018021</v>
      </c>
      <c r="C477">
        <v>0.99922995000000003</v>
      </c>
    </row>
    <row r="478" spans="1:3" x14ac:dyDescent="0.25">
      <c r="A478">
        <v>206</v>
      </c>
      <c r="B478">
        <v>410470018025</v>
      </c>
      <c r="C478">
        <v>2.8507000000000001E-4</v>
      </c>
    </row>
    <row r="479" spans="1:3" x14ac:dyDescent="0.25">
      <c r="A479">
        <v>206</v>
      </c>
      <c r="B479">
        <v>410470026001</v>
      </c>
      <c r="C479">
        <v>1.73E-6</v>
      </c>
    </row>
    <row r="480" spans="1:3" x14ac:dyDescent="0.25">
      <c r="A480">
        <v>206</v>
      </c>
      <c r="B480">
        <v>410470027022</v>
      </c>
      <c r="C480">
        <v>4.8322999999999997E-4</v>
      </c>
    </row>
    <row r="481" spans="1:3" x14ac:dyDescent="0.25">
      <c r="A481">
        <v>207</v>
      </c>
      <c r="B481">
        <v>410470018021</v>
      </c>
      <c r="C481">
        <v>4.4860000000000001E-5</v>
      </c>
    </row>
    <row r="482" spans="1:3" x14ac:dyDescent="0.25">
      <c r="A482">
        <v>207</v>
      </c>
      <c r="B482">
        <v>410470018032</v>
      </c>
      <c r="C482">
        <v>1.5109999999999999E-5</v>
      </c>
    </row>
    <row r="483" spans="1:3" x14ac:dyDescent="0.25">
      <c r="A483">
        <v>207</v>
      </c>
      <c r="B483">
        <v>410470027021</v>
      </c>
      <c r="C483">
        <v>9.0959999999999999E-4</v>
      </c>
    </row>
    <row r="484" spans="1:3" x14ac:dyDescent="0.25">
      <c r="A484">
        <v>207</v>
      </c>
      <c r="B484">
        <v>410470027022</v>
      </c>
      <c r="C484">
        <v>0.99903041999999997</v>
      </c>
    </row>
    <row r="485" spans="1:3" x14ac:dyDescent="0.25">
      <c r="A485">
        <v>211</v>
      </c>
      <c r="B485">
        <v>410470004003</v>
      </c>
      <c r="C485">
        <v>0.58770822</v>
      </c>
    </row>
    <row r="486" spans="1:3" x14ac:dyDescent="0.25">
      <c r="A486">
        <v>211</v>
      </c>
      <c r="B486">
        <v>410470015022</v>
      </c>
      <c r="C486">
        <v>0.38170779999999999</v>
      </c>
    </row>
    <row r="487" spans="1:3" x14ac:dyDescent="0.25">
      <c r="A487">
        <v>211</v>
      </c>
      <c r="B487">
        <v>410470015033</v>
      </c>
      <c r="C487">
        <v>3.1062E-4</v>
      </c>
    </row>
    <row r="488" spans="1:3" x14ac:dyDescent="0.25">
      <c r="A488">
        <v>211</v>
      </c>
      <c r="B488">
        <v>410470016011</v>
      </c>
      <c r="C488">
        <v>2.0439739999999998E-2</v>
      </c>
    </row>
    <row r="489" spans="1:3" x14ac:dyDescent="0.25">
      <c r="A489">
        <v>211</v>
      </c>
      <c r="B489">
        <v>410470025023</v>
      </c>
      <c r="C489">
        <v>9.8336800000000009E-3</v>
      </c>
    </row>
    <row r="490" spans="1:3" x14ac:dyDescent="0.25">
      <c r="A490">
        <v>212</v>
      </c>
      <c r="B490">
        <v>410470004003</v>
      </c>
      <c r="C490">
        <v>0.97278052999999998</v>
      </c>
    </row>
    <row r="491" spans="1:3" x14ac:dyDescent="0.25">
      <c r="A491">
        <v>212</v>
      </c>
      <c r="B491">
        <v>410470005023</v>
      </c>
      <c r="C491">
        <v>9.1029500000000003E-3</v>
      </c>
    </row>
    <row r="492" spans="1:3" x14ac:dyDescent="0.25">
      <c r="A492">
        <v>212</v>
      </c>
      <c r="B492">
        <v>410470016011</v>
      </c>
      <c r="C492">
        <v>1.8116420000000001E-2</v>
      </c>
    </row>
    <row r="493" spans="1:3" x14ac:dyDescent="0.25">
      <c r="A493">
        <v>213</v>
      </c>
      <c r="B493">
        <v>410470004003</v>
      </c>
      <c r="C493">
        <v>2.5207790000000001E-2</v>
      </c>
    </row>
    <row r="494" spans="1:3" x14ac:dyDescent="0.25">
      <c r="A494">
        <v>213</v>
      </c>
      <c r="B494">
        <v>410470005023</v>
      </c>
      <c r="C494">
        <v>0.95672901999999993</v>
      </c>
    </row>
    <row r="495" spans="1:3" x14ac:dyDescent="0.25">
      <c r="A495">
        <v>213</v>
      </c>
      <c r="B495">
        <v>410470016011</v>
      </c>
      <c r="C495">
        <v>1.2712999999999999E-3</v>
      </c>
    </row>
    <row r="496" spans="1:3" x14ac:dyDescent="0.25">
      <c r="A496">
        <v>213</v>
      </c>
      <c r="B496">
        <v>410470016051</v>
      </c>
      <c r="C496">
        <v>1.4123749999999999E-2</v>
      </c>
    </row>
    <row r="497" spans="1:3" x14ac:dyDescent="0.25">
      <c r="A497">
        <v>213</v>
      </c>
      <c r="B497">
        <v>410470016052</v>
      </c>
      <c r="C497">
        <v>2.6682299999999997E-3</v>
      </c>
    </row>
    <row r="498" spans="1:3" x14ac:dyDescent="0.25">
      <c r="A498">
        <v>214</v>
      </c>
      <c r="B498">
        <v>410470005011</v>
      </c>
      <c r="C498">
        <v>9.6947000000000005E-4</v>
      </c>
    </row>
    <row r="499" spans="1:3" x14ac:dyDescent="0.25">
      <c r="A499">
        <v>214</v>
      </c>
      <c r="B499">
        <v>410470005021</v>
      </c>
      <c r="C499">
        <v>8.1220000000000012E-5</v>
      </c>
    </row>
    <row r="500" spans="1:3" x14ac:dyDescent="0.25">
      <c r="A500">
        <v>214</v>
      </c>
      <c r="B500">
        <v>410470005022</v>
      </c>
      <c r="C500">
        <v>0.50798374999999996</v>
      </c>
    </row>
    <row r="501" spans="1:3" x14ac:dyDescent="0.25">
      <c r="A501">
        <v>214</v>
      </c>
      <c r="B501">
        <v>410470005023</v>
      </c>
      <c r="C501">
        <v>0.48747208999999997</v>
      </c>
    </row>
    <row r="502" spans="1:3" x14ac:dyDescent="0.25">
      <c r="A502">
        <v>214</v>
      </c>
      <c r="B502">
        <v>410470016052</v>
      </c>
      <c r="C502">
        <v>3.4934500000000004E-3</v>
      </c>
    </row>
    <row r="503" spans="1:3" x14ac:dyDescent="0.25">
      <c r="A503">
        <v>220</v>
      </c>
      <c r="B503">
        <v>410470003001</v>
      </c>
      <c r="C503">
        <v>1.3801199999999999E-3</v>
      </c>
    </row>
    <row r="504" spans="1:3" x14ac:dyDescent="0.25">
      <c r="A504">
        <v>220</v>
      </c>
      <c r="B504">
        <v>410470004003</v>
      </c>
      <c r="C504">
        <v>0.96086647999999997</v>
      </c>
    </row>
    <row r="505" spans="1:3" x14ac:dyDescent="0.25">
      <c r="A505">
        <v>220</v>
      </c>
      <c r="B505">
        <v>410470005021</v>
      </c>
      <c r="C505">
        <v>1.3295090000000001E-2</v>
      </c>
    </row>
    <row r="506" spans="1:3" x14ac:dyDescent="0.25">
      <c r="A506">
        <v>220</v>
      </c>
      <c r="B506">
        <v>410470005022</v>
      </c>
      <c r="C506">
        <v>4.4804199999999997E-3</v>
      </c>
    </row>
    <row r="507" spans="1:3" x14ac:dyDescent="0.25">
      <c r="A507">
        <v>220</v>
      </c>
      <c r="B507">
        <v>410470005023</v>
      </c>
      <c r="C507">
        <v>1.997786E-2</v>
      </c>
    </row>
    <row r="508" spans="1:3" x14ac:dyDescent="0.25">
      <c r="A508">
        <v>221</v>
      </c>
      <c r="B508">
        <v>410470004002</v>
      </c>
      <c r="C508">
        <v>6.1834300000000002E-3</v>
      </c>
    </row>
    <row r="509" spans="1:3" x14ac:dyDescent="0.25">
      <c r="A509">
        <v>221</v>
      </c>
      <c r="B509">
        <v>410470004003</v>
      </c>
      <c r="C509">
        <v>0.99198474000000003</v>
      </c>
    </row>
    <row r="510" spans="1:3" x14ac:dyDescent="0.25">
      <c r="A510">
        <v>221</v>
      </c>
      <c r="B510">
        <v>410470015033</v>
      </c>
      <c r="C510">
        <v>1.8318100000000001E-3</v>
      </c>
    </row>
    <row r="511" spans="1:3" x14ac:dyDescent="0.25">
      <c r="A511">
        <v>222</v>
      </c>
      <c r="B511">
        <v>410470004002</v>
      </c>
      <c r="C511">
        <v>0.77588095999999995</v>
      </c>
    </row>
    <row r="512" spans="1:3" x14ac:dyDescent="0.25">
      <c r="A512">
        <v>222</v>
      </c>
      <c r="B512">
        <v>410470015022</v>
      </c>
      <c r="C512">
        <v>5.57239E-3</v>
      </c>
    </row>
    <row r="513" spans="1:3" x14ac:dyDescent="0.25">
      <c r="A513">
        <v>222</v>
      </c>
      <c r="B513">
        <v>410470015031</v>
      </c>
      <c r="C513">
        <v>3.1750000000000002E-4</v>
      </c>
    </row>
    <row r="514" spans="1:3" x14ac:dyDescent="0.25">
      <c r="A514">
        <v>222</v>
      </c>
      <c r="B514">
        <v>410470015033</v>
      </c>
      <c r="C514">
        <v>0.21822911</v>
      </c>
    </row>
    <row r="515" spans="1:3" x14ac:dyDescent="0.25">
      <c r="A515">
        <v>223</v>
      </c>
      <c r="B515">
        <v>410470004002</v>
      </c>
      <c r="C515">
        <v>0.99937410999999998</v>
      </c>
    </row>
    <row r="516" spans="1:3" x14ac:dyDescent="0.25">
      <c r="A516">
        <v>223</v>
      </c>
      <c r="B516">
        <v>410470004003</v>
      </c>
      <c r="C516">
        <v>6.2589000000000004E-4</v>
      </c>
    </row>
    <row r="517" spans="1:3" x14ac:dyDescent="0.25">
      <c r="A517">
        <v>224</v>
      </c>
      <c r="B517">
        <v>410470004002</v>
      </c>
      <c r="C517">
        <v>0.99882811000000005</v>
      </c>
    </row>
    <row r="518" spans="1:3" x14ac:dyDescent="0.25">
      <c r="A518">
        <v>224</v>
      </c>
      <c r="B518">
        <v>410470004003</v>
      </c>
      <c r="C518">
        <v>1.17183E-3</v>
      </c>
    </row>
    <row r="519" spans="1:3" x14ac:dyDescent="0.25">
      <c r="A519">
        <v>225</v>
      </c>
      <c r="B519">
        <v>410470004001</v>
      </c>
      <c r="C519">
        <v>0.99610580000000004</v>
      </c>
    </row>
    <row r="520" spans="1:3" x14ac:dyDescent="0.25">
      <c r="A520">
        <v>225</v>
      </c>
      <c r="B520">
        <v>410470004002</v>
      </c>
      <c r="C520">
        <v>3.8942100000000004E-3</v>
      </c>
    </row>
    <row r="521" spans="1:3" x14ac:dyDescent="0.25">
      <c r="A521">
        <v>226</v>
      </c>
      <c r="B521">
        <v>410470003003</v>
      </c>
      <c r="C521">
        <v>0.10063447</v>
      </c>
    </row>
    <row r="522" spans="1:3" x14ac:dyDescent="0.25">
      <c r="A522">
        <v>226</v>
      </c>
      <c r="B522">
        <v>410470004001</v>
      </c>
      <c r="C522">
        <v>0.87686189999999997</v>
      </c>
    </row>
    <row r="523" spans="1:3" x14ac:dyDescent="0.25">
      <c r="A523">
        <v>226</v>
      </c>
      <c r="B523">
        <v>410530052061</v>
      </c>
      <c r="C523">
        <v>2.2503600000000002E-2</v>
      </c>
    </row>
    <row r="524" spans="1:3" x14ac:dyDescent="0.25">
      <c r="A524">
        <v>227</v>
      </c>
      <c r="B524">
        <v>410470002001</v>
      </c>
      <c r="C524">
        <v>3.3437699999999998E-3</v>
      </c>
    </row>
    <row r="525" spans="1:3" x14ac:dyDescent="0.25">
      <c r="A525">
        <v>227</v>
      </c>
      <c r="B525">
        <v>410470003003</v>
      </c>
      <c r="C525">
        <v>0.92313042999999995</v>
      </c>
    </row>
    <row r="526" spans="1:3" x14ac:dyDescent="0.25">
      <c r="A526">
        <v>227</v>
      </c>
      <c r="B526">
        <v>410470003004</v>
      </c>
      <c r="C526">
        <v>5.3228799999999995E-3</v>
      </c>
    </row>
    <row r="527" spans="1:3" x14ac:dyDescent="0.25">
      <c r="A527">
        <v>227</v>
      </c>
      <c r="B527">
        <v>410470004001</v>
      </c>
      <c r="C527">
        <v>1.9919E-4</v>
      </c>
    </row>
    <row r="528" spans="1:3" x14ac:dyDescent="0.25">
      <c r="A528">
        <v>227</v>
      </c>
      <c r="B528">
        <v>410530052061</v>
      </c>
      <c r="C528">
        <v>6.8003800000000003E-2</v>
      </c>
    </row>
    <row r="529" spans="1:3" x14ac:dyDescent="0.25">
      <c r="A529">
        <v>229</v>
      </c>
      <c r="B529">
        <v>410470003003</v>
      </c>
      <c r="C529">
        <v>2.7932800000000004E-3</v>
      </c>
    </row>
    <row r="530" spans="1:3" x14ac:dyDescent="0.25">
      <c r="A530">
        <v>229</v>
      </c>
      <c r="B530">
        <v>410470003004</v>
      </c>
      <c r="C530">
        <v>3.7849999999999998E-5</v>
      </c>
    </row>
    <row r="531" spans="1:3" x14ac:dyDescent="0.25">
      <c r="A531">
        <v>229</v>
      </c>
      <c r="B531">
        <v>410470004001</v>
      </c>
      <c r="C531">
        <v>0.98692943999999994</v>
      </c>
    </row>
    <row r="532" spans="1:3" x14ac:dyDescent="0.25">
      <c r="A532">
        <v>229</v>
      </c>
      <c r="B532">
        <v>410470004002</v>
      </c>
      <c r="C532">
        <v>1.0239409999999999E-2</v>
      </c>
    </row>
    <row r="533" spans="1:3" x14ac:dyDescent="0.25">
      <c r="A533">
        <v>230</v>
      </c>
      <c r="B533">
        <v>410470003001</v>
      </c>
      <c r="C533">
        <v>2.2929000000000002E-4</v>
      </c>
    </row>
    <row r="534" spans="1:3" x14ac:dyDescent="0.25">
      <c r="A534">
        <v>230</v>
      </c>
      <c r="B534">
        <v>410470003004</v>
      </c>
      <c r="C534">
        <v>8.0769999999999995E-4</v>
      </c>
    </row>
    <row r="535" spans="1:3" x14ac:dyDescent="0.25">
      <c r="A535">
        <v>230</v>
      </c>
      <c r="B535">
        <v>410470004002</v>
      </c>
      <c r="C535">
        <v>0.79721728000000003</v>
      </c>
    </row>
    <row r="536" spans="1:3" x14ac:dyDescent="0.25">
      <c r="A536">
        <v>230</v>
      </c>
      <c r="B536">
        <v>410470004003</v>
      </c>
      <c r="C536">
        <v>0.20174582999999999</v>
      </c>
    </row>
    <row r="537" spans="1:3" x14ac:dyDescent="0.25">
      <c r="A537">
        <v>231</v>
      </c>
      <c r="B537">
        <v>410470003001</v>
      </c>
      <c r="C537">
        <v>2.6605299999999999E-3</v>
      </c>
    </row>
    <row r="538" spans="1:3" x14ac:dyDescent="0.25">
      <c r="A538">
        <v>231</v>
      </c>
      <c r="B538">
        <v>410470003004</v>
      </c>
      <c r="C538">
        <v>0.99713816</v>
      </c>
    </row>
    <row r="539" spans="1:3" x14ac:dyDescent="0.25">
      <c r="A539">
        <v>231</v>
      </c>
      <c r="B539">
        <v>410470004002</v>
      </c>
      <c r="C539">
        <v>1.1849E-4</v>
      </c>
    </row>
    <row r="540" spans="1:3" x14ac:dyDescent="0.25">
      <c r="A540">
        <v>231</v>
      </c>
      <c r="B540">
        <v>410470004003</v>
      </c>
      <c r="C540">
        <v>8.2769999999999995E-5</v>
      </c>
    </row>
    <row r="541" spans="1:3" x14ac:dyDescent="0.25">
      <c r="A541">
        <v>232</v>
      </c>
      <c r="B541">
        <v>410470002001</v>
      </c>
      <c r="C541">
        <v>2.5296000000000003E-3</v>
      </c>
    </row>
    <row r="542" spans="1:3" x14ac:dyDescent="0.25">
      <c r="A542">
        <v>232</v>
      </c>
      <c r="B542">
        <v>410470002003</v>
      </c>
      <c r="C542">
        <v>6.9811999999999999E-4</v>
      </c>
    </row>
    <row r="543" spans="1:3" x14ac:dyDescent="0.25">
      <c r="A543">
        <v>232</v>
      </c>
      <c r="B543">
        <v>410470003001</v>
      </c>
      <c r="C543">
        <v>8.5522900000000006E-3</v>
      </c>
    </row>
    <row r="544" spans="1:3" x14ac:dyDescent="0.25">
      <c r="A544">
        <v>232</v>
      </c>
      <c r="B544">
        <v>410470003002</v>
      </c>
      <c r="C544">
        <v>0.15402151</v>
      </c>
    </row>
    <row r="545" spans="1:3" x14ac:dyDescent="0.25">
      <c r="A545">
        <v>232</v>
      </c>
      <c r="B545">
        <v>410470003003</v>
      </c>
      <c r="C545">
        <v>1.4043000000000001E-4</v>
      </c>
    </row>
    <row r="546" spans="1:3" x14ac:dyDescent="0.25">
      <c r="A546">
        <v>232</v>
      </c>
      <c r="B546">
        <v>410470003004</v>
      </c>
      <c r="C546">
        <v>0.83405801000000002</v>
      </c>
    </row>
    <row r="547" spans="1:3" x14ac:dyDescent="0.25">
      <c r="A547">
        <v>233</v>
      </c>
      <c r="B547">
        <v>410470003001</v>
      </c>
      <c r="C547">
        <v>0.99795235000000004</v>
      </c>
    </row>
    <row r="548" spans="1:3" x14ac:dyDescent="0.25">
      <c r="A548">
        <v>233</v>
      </c>
      <c r="B548">
        <v>410470003002</v>
      </c>
      <c r="C548">
        <v>1.4204E-3</v>
      </c>
    </row>
    <row r="549" spans="1:3" x14ac:dyDescent="0.25">
      <c r="A549">
        <v>233</v>
      </c>
      <c r="B549">
        <v>410470003004</v>
      </c>
      <c r="C549">
        <v>6.2723E-4</v>
      </c>
    </row>
    <row r="550" spans="1:3" x14ac:dyDescent="0.25">
      <c r="A550">
        <v>234</v>
      </c>
      <c r="B550">
        <v>410470003001</v>
      </c>
      <c r="C550">
        <v>0.99621502000000006</v>
      </c>
    </row>
    <row r="551" spans="1:3" x14ac:dyDescent="0.25">
      <c r="A551">
        <v>234</v>
      </c>
      <c r="B551">
        <v>410470003004</v>
      </c>
      <c r="C551">
        <v>1.04149E-3</v>
      </c>
    </row>
    <row r="552" spans="1:3" x14ac:dyDescent="0.25">
      <c r="A552">
        <v>234</v>
      </c>
      <c r="B552">
        <v>410470004003</v>
      </c>
      <c r="C552">
        <v>2.7435599999999999E-3</v>
      </c>
    </row>
    <row r="553" spans="1:3" x14ac:dyDescent="0.25">
      <c r="A553">
        <v>235</v>
      </c>
      <c r="B553">
        <v>410470003001</v>
      </c>
      <c r="C553">
        <v>5.1722500000000006E-3</v>
      </c>
    </row>
    <row r="554" spans="1:3" x14ac:dyDescent="0.25">
      <c r="A554">
        <v>235</v>
      </c>
      <c r="B554">
        <v>410470004002</v>
      </c>
      <c r="C554">
        <v>7.6664200000000002E-3</v>
      </c>
    </row>
    <row r="555" spans="1:3" x14ac:dyDescent="0.25">
      <c r="A555">
        <v>235</v>
      </c>
      <c r="B555">
        <v>410470004003</v>
      </c>
      <c r="C555">
        <v>0.98716128999999997</v>
      </c>
    </row>
    <row r="556" spans="1:3" x14ac:dyDescent="0.25">
      <c r="A556">
        <v>236</v>
      </c>
      <c r="B556">
        <v>410470003001</v>
      </c>
      <c r="C556">
        <v>3.4280850000000002E-2</v>
      </c>
    </row>
    <row r="557" spans="1:3" x14ac:dyDescent="0.25">
      <c r="A557">
        <v>236</v>
      </c>
      <c r="B557">
        <v>410470005011</v>
      </c>
      <c r="C557">
        <v>1.1747019999999999E-2</v>
      </c>
    </row>
    <row r="558" spans="1:3" x14ac:dyDescent="0.25">
      <c r="A558">
        <v>236</v>
      </c>
      <c r="B558">
        <v>410470005021</v>
      </c>
      <c r="C558">
        <v>0.95397215999999996</v>
      </c>
    </row>
    <row r="559" spans="1:3" x14ac:dyDescent="0.25">
      <c r="A559">
        <v>237</v>
      </c>
      <c r="B559">
        <v>410470005011</v>
      </c>
      <c r="C559">
        <v>2.94254E-3</v>
      </c>
    </row>
    <row r="560" spans="1:3" x14ac:dyDescent="0.25">
      <c r="A560">
        <v>237</v>
      </c>
      <c r="B560">
        <v>410470005021</v>
      </c>
      <c r="C560">
        <v>0.77509645000000005</v>
      </c>
    </row>
    <row r="561" spans="1:3" x14ac:dyDescent="0.25">
      <c r="A561">
        <v>237</v>
      </c>
      <c r="B561">
        <v>410470005022</v>
      </c>
      <c r="C561">
        <v>0.22196115</v>
      </c>
    </row>
    <row r="562" spans="1:3" x14ac:dyDescent="0.25">
      <c r="A562">
        <v>238</v>
      </c>
      <c r="B562">
        <v>410470002001</v>
      </c>
      <c r="C562">
        <v>0.88763513999999999</v>
      </c>
    </row>
    <row r="563" spans="1:3" x14ac:dyDescent="0.25">
      <c r="A563">
        <v>238</v>
      </c>
      <c r="B563">
        <v>410470002002</v>
      </c>
      <c r="C563">
        <v>1.8706999999999999E-3</v>
      </c>
    </row>
    <row r="564" spans="1:3" x14ac:dyDescent="0.25">
      <c r="A564">
        <v>238</v>
      </c>
      <c r="B564">
        <v>410470002003</v>
      </c>
      <c r="C564">
        <v>9.5874400000000009E-3</v>
      </c>
    </row>
    <row r="565" spans="1:3" x14ac:dyDescent="0.25">
      <c r="A565">
        <v>238</v>
      </c>
      <c r="B565">
        <v>410470003003</v>
      </c>
      <c r="C565">
        <v>4.7358460000000005E-2</v>
      </c>
    </row>
    <row r="566" spans="1:3" x14ac:dyDescent="0.25">
      <c r="A566">
        <v>238</v>
      </c>
      <c r="B566">
        <v>410530052061</v>
      </c>
      <c r="C566">
        <v>5.354826E-2</v>
      </c>
    </row>
    <row r="567" spans="1:3" x14ac:dyDescent="0.25">
      <c r="A567">
        <v>242</v>
      </c>
      <c r="B567">
        <v>410470002003</v>
      </c>
      <c r="C567">
        <v>3.0044700000000004E-3</v>
      </c>
    </row>
    <row r="568" spans="1:3" x14ac:dyDescent="0.25">
      <c r="A568">
        <v>242</v>
      </c>
      <c r="B568">
        <v>410470003001</v>
      </c>
      <c r="C568">
        <v>0.46620171999999999</v>
      </c>
    </row>
    <row r="569" spans="1:3" x14ac:dyDescent="0.25">
      <c r="A569">
        <v>242</v>
      </c>
      <c r="B569">
        <v>410470003002</v>
      </c>
      <c r="C569">
        <v>0.52964306000000005</v>
      </c>
    </row>
    <row r="570" spans="1:3" x14ac:dyDescent="0.25">
      <c r="A570">
        <v>242</v>
      </c>
      <c r="B570">
        <v>410470006001</v>
      </c>
      <c r="C570">
        <v>1.12538E-3</v>
      </c>
    </row>
    <row r="571" spans="1:3" x14ac:dyDescent="0.25">
      <c r="A571">
        <v>242</v>
      </c>
      <c r="B571">
        <v>410470006002</v>
      </c>
      <c r="C571">
        <v>2.546E-5</v>
      </c>
    </row>
    <row r="572" spans="1:3" x14ac:dyDescent="0.25">
      <c r="A572">
        <v>243</v>
      </c>
      <c r="B572">
        <v>410470003001</v>
      </c>
      <c r="C572">
        <v>3.3784450000000001E-2</v>
      </c>
    </row>
    <row r="573" spans="1:3" x14ac:dyDescent="0.25">
      <c r="A573">
        <v>243</v>
      </c>
      <c r="B573">
        <v>410470005011</v>
      </c>
      <c r="C573">
        <v>0.95811214000000011</v>
      </c>
    </row>
    <row r="574" spans="1:3" x14ac:dyDescent="0.25">
      <c r="A574">
        <v>243</v>
      </c>
      <c r="B574">
        <v>410470005021</v>
      </c>
      <c r="C574">
        <v>2.3376600000000001E-3</v>
      </c>
    </row>
    <row r="575" spans="1:3" x14ac:dyDescent="0.25">
      <c r="A575">
        <v>243</v>
      </c>
      <c r="B575">
        <v>410470006001</v>
      </c>
      <c r="C575">
        <v>5.7657199999999994E-3</v>
      </c>
    </row>
    <row r="576" spans="1:3" x14ac:dyDescent="0.25">
      <c r="A576">
        <v>244</v>
      </c>
      <c r="B576">
        <v>410470003001</v>
      </c>
      <c r="C576">
        <v>1.451E-5</v>
      </c>
    </row>
    <row r="577" spans="1:3" x14ac:dyDescent="0.25">
      <c r="A577">
        <v>244</v>
      </c>
      <c r="B577">
        <v>410470003002</v>
      </c>
      <c r="C577">
        <v>6.1748699999999998E-3</v>
      </c>
    </row>
    <row r="578" spans="1:3" x14ac:dyDescent="0.25">
      <c r="A578">
        <v>244</v>
      </c>
      <c r="B578">
        <v>410470005011</v>
      </c>
      <c r="C578">
        <v>3.5257399999999999E-3</v>
      </c>
    </row>
    <row r="579" spans="1:3" x14ac:dyDescent="0.25">
      <c r="A579">
        <v>244</v>
      </c>
      <c r="B579">
        <v>410470006001</v>
      </c>
      <c r="C579">
        <v>0.9853519300000001</v>
      </c>
    </row>
    <row r="580" spans="1:3" x14ac:dyDescent="0.25">
      <c r="A580">
        <v>244</v>
      </c>
      <c r="B580">
        <v>410470006002</v>
      </c>
      <c r="C580">
        <v>4.93284E-3</v>
      </c>
    </row>
    <row r="581" spans="1:3" x14ac:dyDescent="0.25">
      <c r="A581">
        <v>245</v>
      </c>
      <c r="B581">
        <v>410470002003</v>
      </c>
      <c r="C581">
        <v>4.5071499999999997E-3</v>
      </c>
    </row>
    <row r="582" spans="1:3" x14ac:dyDescent="0.25">
      <c r="A582">
        <v>245</v>
      </c>
      <c r="B582">
        <v>410470006002</v>
      </c>
      <c r="C582">
        <v>0.98622732000000002</v>
      </c>
    </row>
    <row r="583" spans="1:3" x14ac:dyDescent="0.25">
      <c r="A583">
        <v>245</v>
      </c>
      <c r="B583">
        <v>410470006003</v>
      </c>
      <c r="C583">
        <v>9.265520000000001E-3</v>
      </c>
    </row>
    <row r="584" spans="1:3" x14ac:dyDescent="0.25">
      <c r="A584">
        <v>246</v>
      </c>
      <c r="B584">
        <v>410470002003</v>
      </c>
      <c r="C584">
        <v>0.99728592000000005</v>
      </c>
    </row>
    <row r="585" spans="1:3" x14ac:dyDescent="0.25">
      <c r="A585">
        <v>246</v>
      </c>
      <c r="B585">
        <v>410470006002</v>
      </c>
      <c r="C585">
        <v>2.7140399999999996E-3</v>
      </c>
    </row>
    <row r="586" spans="1:3" x14ac:dyDescent="0.25">
      <c r="A586">
        <v>249</v>
      </c>
      <c r="B586">
        <v>410470002001</v>
      </c>
      <c r="C586">
        <v>5.8065699999999996E-3</v>
      </c>
    </row>
    <row r="587" spans="1:3" x14ac:dyDescent="0.25">
      <c r="A587">
        <v>249</v>
      </c>
      <c r="B587">
        <v>410470002002</v>
      </c>
      <c r="C587">
        <v>0.97624509000000004</v>
      </c>
    </row>
    <row r="588" spans="1:3" x14ac:dyDescent="0.25">
      <c r="A588">
        <v>249</v>
      </c>
      <c r="B588">
        <v>410470002003</v>
      </c>
      <c r="C588">
        <v>1.3468599999999999E-2</v>
      </c>
    </row>
    <row r="589" spans="1:3" x14ac:dyDescent="0.25">
      <c r="A589">
        <v>249</v>
      </c>
      <c r="B589">
        <v>410470013001</v>
      </c>
      <c r="C589">
        <v>4.4797399999999994E-3</v>
      </c>
    </row>
    <row r="590" spans="1:3" x14ac:dyDescent="0.25">
      <c r="A590">
        <v>254</v>
      </c>
      <c r="B590">
        <v>410470002003</v>
      </c>
      <c r="C590">
        <v>7.5102199999999997E-3</v>
      </c>
    </row>
    <row r="591" spans="1:3" x14ac:dyDescent="0.25">
      <c r="A591">
        <v>254</v>
      </c>
      <c r="B591">
        <v>410470006002</v>
      </c>
      <c r="C591">
        <v>4.7609999999999993E-5</v>
      </c>
    </row>
    <row r="592" spans="1:3" x14ac:dyDescent="0.25">
      <c r="A592">
        <v>254</v>
      </c>
      <c r="B592">
        <v>410470006003</v>
      </c>
      <c r="C592">
        <v>0.94069019999999992</v>
      </c>
    </row>
    <row r="593" spans="1:3" x14ac:dyDescent="0.25">
      <c r="A593">
        <v>254</v>
      </c>
      <c r="B593">
        <v>410470007021</v>
      </c>
      <c r="C593">
        <v>4.4228740000000002E-2</v>
      </c>
    </row>
    <row r="594" spans="1:3" x14ac:dyDescent="0.25">
      <c r="A594">
        <v>254</v>
      </c>
      <c r="B594">
        <v>410470007022</v>
      </c>
      <c r="C594">
        <v>1.9040999999999999E-4</v>
      </c>
    </row>
    <row r="595" spans="1:3" x14ac:dyDescent="0.25">
      <c r="A595">
        <v>254</v>
      </c>
      <c r="B595">
        <v>410470009005</v>
      </c>
      <c r="C595">
        <v>1.12553E-3</v>
      </c>
    </row>
    <row r="596" spans="1:3" x14ac:dyDescent="0.25">
      <c r="A596">
        <v>254</v>
      </c>
      <c r="B596">
        <v>410470009006</v>
      </c>
      <c r="C596">
        <v>6.20726E-3</v>
      </c>
    </row>
    <row r="597" spans="1:3" x14ac:dyDescent="0.25">
      <c r="A597">
        <v>256</v>
      </c>
      <c r="B597">
        <v>410470002003</v>
      </c>
      <c r="C597">
        <v>6.3668599999999994E-3</v>
      </c>
    </row>
    <row r="598" spans="1:3" x14ac:dyDescent="0.25">
      <c r="A598">
        <v>256</v>
      </c>
      <c r="B598">
        <v>410470006003</v>
      </c>
      <c r="C598">
        <v>3.7449800000000002E-3</v>
      </c>
    </row>
    <row r="599" spans="1:3" x14ac:dyDescent="0.25">
      <c r="A599">
        <v>256</v>
      </c>
      <c r="B599">
        <v>410470009001</v>
      </c>
      <c r="C599">
        <v>9.2055000000000001E-4</v>
      </c>
    </row>
    <row r="600" spans="1:3" x14ac:dyDescent="0.25">
      <c r="A600">
        <v>256</v>
      </c>
      <c r="B600">
        <v>410470009004</v>
      </c>
      <c r="C600">
        <v>4.6437200000000005E-3</v>
      </c>
    </row>
    <row r="601" spans="1:3" x14ac:dyDescent="0.25">
      <c r="A601">
        <v>256</v>
      </c>
      <c r="B601">
        <v>410470009005</v>
      </c>
      <c r="C601">
        <v>9.196600000000001E-3</v>
      </c>
    </row>
    <row r="602" spans="1:3" x14ac:dyDescent="0.25">
      <c r="A602">
        <v>256</v>
      </c>
      <c r="B602">
        <v>410470009006</v>
      </c>
      <c r="C602">
        <v>0.97512732999999996</v>
      </c>
    </row>
    <row r="603" spans="1:3" x14ac:dyDescent="0.25">
      <c r="A603">
        <v>257</v>
      </c>
      <c r="B603">
        <v>410470009003</v>
      </c>
      <c r="C603">
        <v>0.41215102000000003</v>
      </c>
    </row>
    <row r="604" spans="1:3" x14ac:dyDescent="0.25">
      <c r="A604">
        <v>257</v>
      </c>
      <c r="B604">
        <v>410470009004</v>
      </c>
      <c r="C604">
        <v>0.58784902999999999</v>
      </c>
    </row>
    <row r="605" spans="1:3" x14ac:dyDescent="0.25">
      <c r="A605">
        <v>258</v>
      </c>
      <c r="B605">
        <v>410470009002</v>
      </c>
      <c r="C605">
        <v>7.3650690000000005E-2</v>
      </c>
    </row>
    <row r="606" spans="1:3" x14ac:dyDescent="0.25">
      <c r="A606">
        <v>258</v>
      </c>
      <c r="B606">
        <v>410470009003</v>
      </c>
      <c r="C606">
        <v>0.84087599000000002</v>
      </c>
    </row>
    <row r="607" spans="1:3" x14ac:dyDescent="0.25">
      <c r="A607">
        <v>258</v>
      </c>
      <c r="B607">
        <v>410470010001</v>
      </c>
      <c r="C607">
        <v>8.4496110000000013E-2</v>
      </c>
    </row>
    <row r="608" spans="1:3" x14ac:dyDescent="0.25">
      <c r="A608">
        <v>258</v>
      </c>
      <c r="B608">
        <v>410470010002</v>
      </c>
      <c r="C608">
        <v>9.7711999999999994E-4</v>
      </c>
    </row>
    <row r="609" spans="1:3" x14ac:dyDescent="0.25">
      <c r="A609">
        <v>259</v>
      </c>
      <c r="B609">
        <v>410470002003</v>
      </c>
      <c r="C609">
        <v>2.8386459999999999E-2</v>
      </c>
    </row>
    <row r="610" spans="1:3" x14ac:dyDescent="0.25">
      <c r="A610">
        <v>259</v>
      </c>
      <c r="B610">
        <v>410470009003</v>
      </c>
      <c r="C610">
        <v>0.54132055999999995</v>
      </c>
    </row>
    <row r="611" spans="1:3" x14ac:dyDescent="0.25">
      <c r="A611">
        <v>259</v>
      </c>
      <c r="B611">
        <v>410470009004</v>
      </c>
      <c r="C611">
        <v>0.40671380999999995</v>
      </c>
    </row>
    <row r="612" spans="1:3" x14ac:dyDescent="0.25">
      <c r="A612">
        <v>259</v>
      </c>
      <c r="B612">
        <v>410470009006</v>
      </c>
      <c r="C612">
        <v>2.0311299999999999E-3</v>
      </c>
    </row>
    <row r="613" spans="1:3" x14ac:dyDescent="0.25">
      <c r="A613">
        <v>259</v>
      </c>
      <c r="B613">
        <v>410470010002</v>
      </c>
      <c r="C613">
        <v>2.1390159999999998E-2</v>
      </c>
    </row>
    <row r="614" spans="1:3" x14ac:dyDescent="0.25">
      <c r="A614">
        <v>259</v>
      </c>
      <c r="B614">
        <v>410470012001</v>
      </c>
      <c r="C614">
        <v>1.5782E-4</v>
      </c>
    </row>
    <row r="615" spans="1:3" x14ac:dyDescent="0.25">
      <c r="A615">
        <v>260</v>
      </c>
      <c r="B615">
        <v>410470002002</v>
      </c>
      <c r="C615">
        <v>3.3111600000000001E-3</v>
      </c>
    </row>
    <row r="616" spans="1:3" x14ac:dyDescent="0.25">
      <c r="A616">
        <v>260</v>
      </c>
      <c r="B616">
        <v>410470002003</v>
      </c>
      <c r="C616">
        <v>0.99383266000000003</v>
      </c>
    </row>
    <row r="617" spans="1:3" x14ac:dyDescent="0.25">
      <c r="A617">
        <v>260</v>
      </c>
      <c r="B617">
        <v>410470012001</v>
      </c>
      <c r="C617">
        <v>2.8561599999999999E-3</v>
      </c>
    </row>
    <row r="618" spans="1:3" x14ac:dyDescent="0.25">
      <c r="A618">
        <v>261</v>
      </c>
      <c r="B618">
        <v>410470002002</v>
      </c>
      <c r="C618">
        <v>7.2292400000000005E-3</v>
      </c>
    </row>
    <row r="619" spans="1:3" x14ac:dyDescent="0.25">
      <c r="A619">
        <v>261</v>
      </c>
      <c r="B619">
        <v>410470002003</v>
      </c>
      <c r="C619">
        <v>0.99246754999999998</v>
      </c>
    </row>
    <row r="620" spans="1:3" x14ac:dyDescent="0.25">
      <c r="A620">
        <v>261</v>
      </c>
      <c r="B620">
        <v>410470012001</v>
      </c>
      <c r="C620">
        <v>3.0323999999999998E-4</v>
      </c>
    </row>
    <row r="621" spans="1:3" x14ac:dyDescent="0.25">
      <c r="A621">
        <v>279</v>
      </c>
      <c r="B621">
        <v>410470002002</v>
      </c>
      <c r="C621">
        <v>1.9584E-4</v>
      </c>
    </row>
    <row r="622" spans="1:3" x14ac:dyDescent="0.25">
      <c r="A622">
        <v>279</v>
      </c>
      <c r="B622">
        <v>410470002003</v>
      </c>
      <c r="C622">
        <v>0.99980440999999998</v>
      </c>
    </row>
    <row r="623" spans="1:3" x14ac:dyDescent="0.25">
      <c r="A623">
        <v>280</v>
      </c>
      <c r="B623">
        <v>410470002003</v>
      </c>
      <c r="C623">
        <v>1</v>
      </c>
    </row>
    <row r="624" spans="1:3" x14ac:dyDescent="0.25">
      <c r="A624">
        <v>281</v>
      </c>
      <c r="B624">
        <v>410470002002</v>
      </c>
      <c r="C624">
        <v>0.24916990999999999</v>
      </c>
    </row>
    <row r="625" spans="1:3" x14ac:dyDescent="0.25">
      <c r="A625">
        <v>281</v>
      </c>
      <c r="B625">
        <v>410470002003</v>
      </c>
      <c r="C625">
        <v>0.7493964099999999</v>
      </c>
    </row>
    <row r="626" spans="1:3" x14ac:dyDescent="0.25">
      <c r="A626">
        <v>281</v>
      </c>
      <c r="B626">
        <v>410470013001</v>
      </c>
      <c r="C626">
        <v>1.4334600000000001E-3</v>
      </c>
    </row>
    <row r="627" spans="1:3" x14ac:dyDescent="0.25">
      <c r="A627">
        <v>282</v>
      </c>
      <c r="B627">
        <v>410470005011</v>
      </c>
      <c r="C627">
        <v>0.88874281999999993</v>
      </c>
    </row>
    <row r="628" spans="1:3" x14ac:dyDescent="0.25">
      <c r="A628">
        <v>282</v>
      </c>
      <c r="B628">
        <v>410470005021</v>
      </c>
      <c r="C628">
        <v>5.9632999999999995E-4</v>
      </c>
    </row>
    <row r="629" spans="1:3" x14ac:dyDescent="0.25">
      <c r="A629">
        <v>282</v>
      </c>
      <c r="B629">
        <v>410470006001</v>
      </c>
      <c r="C629">
        <v>0.11066081999999999</v>
      </c>
    </row>
    <row r="630" spans="1:3" x14ac:dyDescent="0.25">
      <c r="A630">
        <v>283</v>
      </c>
      <c r="B630">
        <v>410470005011</v>
      </c>
      <c r="C630">
        <v>0.97872528999999997</v>
      </c>
    </row>
    <row r="631" spans="1:3" x14ac:dyDescent="0.25">
      <c r="A631">
        <v>283</v>
      </c>
      <c r="B631">
        <v>410470005012</v>
      </c>
      <c r="C631">
        <v>2.098065E-2</v>
      </c>
    </row>
    <row r="632" spans="1:3" x14ac:dyDescent="0.25">
      <c r="A632">
        <v>283</v>
      </c>
      <c r="B632">
        <v>410470005022</v>
      </c>
      <c r="C632">
        <v>2.9411999999999998E-4</v>
      </c>
    </row>
    <row r="633" spans="1:3" x14ac:dyDescent="0.25">
      <c r="A633">
        <v>284</v>
      </c>
      <c r="B633">
        <v>410470005012</v>
      </c>
      <c r="C633">
        <v>0.98863656000000011</v>
      </c>
    </row>
    <row r="634" spans="1:3" x14ac:dyDescent="0.25">
      <c r="A634">
        <v>284</v>
      </c>
      <c r="B634">
        <v>410470005022</v>
      </c>
      <c r="C634">
        <v>5.7399999999999997E-4</v>
      </c>
    </row>
    <row r="635" spans="1:3" x14ac:dyDescent="0.25">
      <c r="A635">
        <v>284</v>
      </c>
      <c r="B635">
        <v>410470005023</v>
      </c>
      <c r="C635">
        <v>1.66216E-3</v>
      </c>
    </row>
    <row r="636" spans="1:3" x14ac:dyDescent="0.25">
      <c r="A636">
        <v>284</v>
      </c>
      <c r="B636">
        <v>410470016052</v>
      </c>
      <c r="C636">
        <v>1.6030000000000001E-5</v>
      </c>
    </row>
    <row r="637" spans="1:3" x14ac:dyDescent="0.25">
      <c r="A637">
        <v>284</v>
      </c>
      <c r="B637">
        <v>410470016071</v>
      </c>
      <c r="C637">
        <v>9.1112800000000011E-3</v>
      </c>
    </row>
    <row r="638" spans="1:3" x14ac:dyDescent="0.25">
      <c r="A638">
        <v>285</v>
      </c>
      <c r="B638">
        <v>410470006001</v>
      </c>
      <c r="C638">
        <v>0.99083676999999992</v>
      </c>
    </row>
    <row r="639" spans="1:3" x14ac:dyDescent="0.25">
      <c r="A639">
        <v>285</v>
      </c>
      <c r="B639">
        <v>410470006002</v>
      </c>
      <c r="C639">
        <v>8.7527899999999999E-3</v>
      </c>
    </row>
    <row r="640" spans="1:3" x14ac:dyDescent="0.25">
      <c r="A640">
        <v>285</v>
      </c>
      <c r="B640">
        <v>410470007031</v>
      </c>
      <c r="C640">
        <v>4.1044999999999998E-4</v>
      </c>
    </row>
    <row r="641" spans="1:3" x14ac:dyDescent="0.25">
      <c r="A641">
        <v>286</v>
      </c>
      <c r="B641">
        <v>410470005011</v>
      </c>
      <c r="C641">
        <v>8.1926000000000004E-4</v>
      </c>
    </row>
    <row r="642" spans="1:3" x14ac:dyDescent="0.25">
      <c r="A642">
        <v>286</v>
      </c>
      <c r="B642">
        <v>410470005012</v>
      </c>
      <c r="C642">
        <v>1.9969799999999998E-3</v>
      </c>
    </row>
    <row r="643" spans="1:3" x14ac:dyDescent="0.25">
      <c r="A643">
        <v>286</v>
      </c>
      <c r="B643">
        <v>410470006001</v>
      </c>
      <c r="C643">
        <v>9.1958860000000003E-2</v>
      </c>
    </row>
    <row r="644" spans="1:3" x14ac:dyDescent="0.25">
      <c r="A644">
        <v>286</v>
      </c>
      <c r="B644">
        <v>410470007021</v>
      </c>
      <c r="C644">
        <v>9.3168919999999988E-2</v>
      </c>
    </row>
    <row r="645" spans="1:3" x14ac:dyDescent="0.25">
      <c r="A645">
        <v>286</v>
      </c>
      <c r="B645">
        <v>410470007031</v>
      </c>
      <c r="C645">
        <v>0.80089725999999994</v>
      </c>
    </row>
    <row r="646" spans="1:3" x14ac:dyDescent="0.25">
      <c r="A646">
        <v>286</v>
      </c>
      <c r="B646">
        <v>410470016071</v>
      </c>
      <c r="C646">
        <v>5.7599999999999999E-6</v>
      </c>
    </row>
    <row r="647" spans="1:3" x14ac:dyDescent="0.25">
      <c r="A647">
        <v>286</v>
      </c>
      <c r="B647">
        <v>410470017011</v>
      </c>
      <c r="C647">
        <v>1.9855100000000002E-3</v>
      </c>
    </row>
    <row r="648" spans="1:3" x14ac:dyDescent="0.25">
      <c r="A648">
        <v>286</v>
      </c>
      <c r="B648">
        <v>410470017012</v>
      </c>
      <c r="C648">
        <v>9.167419999999999E-3</v>
      </c>
    </row>
    <row r="649" spans="1:3" x14ac:dyDescent="0.25">
      <c r="A649">
        <v>289</v>
      </c>
      <c r="B649">
        <v>410470006002</v>
      </c>
      <c r="C649">
        <v>0.97489046000000001</v>
      </c>
    </row>
    <row r="650" spans="1:3" x14ac:dyDescent="0.25">
      <c r="A650">
        <v>289</v>
      </c>
      <c r="B650">
        <v>410470006003</v>
      </c>
      <c r="C650">
        <v>1.237541E-2</v>
      </c>
    </row>
    <row r="651" spans="1:3" x14ac:dyDescent="0.25">
      <c r="A651">
        <v>289</v>
      </c>
      <c r="B651">
        <v>410470007021</v>
      </c>
      <c r="C651">
        <v>7.4180599999999998E-3</v>
      </c>
    </row>
    <row r="652" spans="1:3" x14ac:dyDescent="0.25">
      <c r="A652">
        <v>289</v>
      </c>
      <c r="B652">
        <v>410470007031</v>
      </c>
      <c r="C652">
        <v>5.3161099999999998E-3</v>
      </c>
    </row>
    <row r="653" spans="1:3" x14ac:dyDescent="0.25">
      <c r="A653">
        <v>290</v>
      </c>
      <c r="B653">
        <v>410470006002</v>
      </c>
      <c r="C653">
        <v>3.6149000000000001E-4</v>
      </c>
    </row>
    <row r="654" spans="1:3" x14ac:dyDescent="0.25">
      <c r="A654">
        <v>290</v>
      </c>
      <c r="B654">
        <v>410470007021</v>
      </c>
      <c r="C654">
        <v>0.54302264</v>
      </c>
    </row>
    <row r="655" spans="1:3" x14ac:dyDescent="0.25">
      <c r="A655">
        <v>290</v>
      </c>
      <c r="B655">
        <v>410470007031</v>
      </c>
      <c r="C655">
        <v>0.45661588999999997</v>
      </c>
    </row>
    <row r="656" spans="1:3" x14ac:dyDescent="0.25">
      <c r="A656">
        <v>294</v>
      </c>
      <c r="B656">
        <v>410470007021</v>
      </c>
      <c r="C656">
        <v>0.99880044999999995</v>
      </c>
    </row>
    <row r="657" spans="1:3" x14ac:dyDescent="0.25">
      <c r="A657">
        <v>294</v>
      </c>
      <c r="B657">
        <v>410470007022</v>
      </c>
      <c r="C657">
        <v>1.1994900000000001E-3</v>
      </c>
    </row>
    <row r="658" spans="1:3" x14ac:dyDescent="0.25">
      <c r="A658">
        <v>295</v>
      </c>
      <c r="B658">
        <v>410470007021</v>
      </c>
      <c r="C658">
        <v>0.99843836999999991</v>
      </c>
    </row>
    <row r="659" spans="1:3" x14ac:dyDescent="0.25">
      <c r="A659">
        <v>295</v>
      </c>
      <c r="B659">
        <v>410470007022</v>
      </c>
      <c r="C659">
        <v>1.56161E-3</v>
      </c>
    </row>
    <row r="660" spans="1:3" x14ac:dyDescent="0.25">
      <c r="A660">
        <v>296</v>
      </c>
      <c r="B660">
        <v>410470007021</v>
      </c>
      <c r="C660">
        <v>0.86604341000000007</v>
      </c>
    </row>
    <row r="661" spans="1:3" x14ac:dyDescent="0.25">
      <c r="A661">
        <v>296</v>
      </c>
      <c r="B661">
        <v>410470017012</v>
      </c>
      <c r="C661">
        <v>0.13350418999999999</v>
      </c>
    </row>
    <row r="662" spans="1:3" x14ac:dyDescent="0.25">
      <c r="A662">
        <v>296</v>
      </c>
      <c r="B662">
        <v>410470017013</v>
      </c>
      <c r="C662">
        <v>4.5239E-4</v>
      </c>
    </row>
    <row r="663" spans="1:3" x14ac:dyDescent="0.25">
      <c r="A663">
        <v>298</v>
      </c>
      <c r="B663">
        <v>410470006003</v>
      </c>
      <c r="C663">
        <v>1.827E-5</v>
      </c>
    </row>
    <row r="664" spans="1:3" x14ac:dyDescent="0.25">
      <c r="A664">
        <v>298</v>
      </c>
      <c r="B664">
        <v>410470007022</v>
      </c>
      <c r="C664">
        <v>0.28398709999999999</v>
      </c>
    </row>
    <row r="665" spans="1:3" x14ac:dyDescent="0.25">
      <c r="A665">
        <v>298</v>
      </c>
      <c r="B665">
        <v>410470009001</v>
      </c>
      <c r="C665">
        <v>7.5894600000000001E-3</v>
      </c>
    </row>
    <row r="666" spans="1:3" x14ac:dyDescent="0.25">
      <c r="A666">
        <v>298</v>
      </c>
      <c r="B666">
        <v>410470009005</v>
      </c>
      <c r="C666">
        <v>0.70809292000000001</v>
      </c>
    </row>
    <row r="667" spans="1:3" x14ac:dyDescent="0.25">
      <c r="A667">
        <v>298</v>
      </c>
      <c r="B667">
        <v>410470010003</v>
      </c>
      <c r="C667">
        <v>3.122E-4</v>
      </c>
    </row>
    <row r="668" spans="1:3" x14ac:dyDescent="0.25">
      <c r="A668">
        <v>299</v>
      </c>
      <c r="B668">
        <v>410470006003</v>
      </c>
      <c r="C668">
        <v>9.7000000000000003E-7</v>
      </c>
    </row>
    <row r="669" spans="1:3" x14ac:dyDescent="0.25">
      <c r="A669">
        <v>299</v>
      </c>
      <c r="B669">
        <v>410470007021</v>
      </c>
      <c r="C669">
        <v>8.6069999999999994E-5</v>
      </c>
    </row>
    <row r="670" spans="1:3" x14ac:dyDescent="0.25">
      <c r="A670">
        <v>299</v>
      </c>
      <c r="B670">
        <v>410470007022</v>
      </c>
      <c r="C670">
        <v>0.99761593999999998</v>
      </c>
    </row>
    <row r="671" spans="1:3" x14ac:dyDescent="0.25">
      <c r="A671">
        <v>299</v>
      </c>
      <c r="B671">
        <v>410470010003</v>
      </c>
      <c r="C671">
        <v>2.2970299999999998E-3</v>
      </c>
    </row>
    <row r="672" spans="1:3" x14ac:dyDescent="0.25">
      <c r="A672">
        <v>300</v>
      </c>
      <c r="B672">
        <v>410470007021</v>
      </c>
      <c r="C672">
        <v>0.60211261000000005</v>
      </c>
    </row>
    <row r="673" spans="1:3" x14ac:dyDescent="0.25">
      <c r="A673">
        <v>300</v>
      </c>
      <c r="B673">
        <v>410470007022</v>
      </c>
      <c r="C673">
        <v>0.36102842000000002</v>
      </c>
    </row>
    <row r="674" spans="1:3" x14ac:dyDescent="0.25">
      <c r="A674">
        <v>300</v>
      </c>
      <c r="B674">
        <v>410470017013</v>
      </c>
      <c r="C674">
        <v>2.5994239999999998E-2</v>
      </c>
    </row>
    <row r="675" spans="1:3" x14ac:dyDescent="0.25">
      <c r="A675">
        <v>300</v>
      </c>
      <c r="B675">
        <v>410470018011</v>
      </c>
      <c r="C675">
        <v>1.086467E-2</v>
      </c>
    </row>
    <row r="676" spans="1:3" x14ac:dyDescent="0.25">
      <c r="A676">
        <v>301</v>
      </c>
      <c r="B676">
        <v>410470009001</v>
      </c>
      <c r="C676">
        <v>0.31383716</v>
      </c>
    </row>
    <row r="677" spans="1:3" x14ac:dyDescent="0.25">
      <c r="A677">
        <v>301</v>
      </c>
      <c r="B677">
        <v>410470009002</v>
      </c>
      <c r="C677">
        <v>0.21460929000000001</v>
      </c>
    </row>
    <row r="678" spans="1:3" x14ac:dyDescent="0.25">
      <c r="A678">
        <v>301</v>
      </c>
      <c r="B678">
        <v>410470009003</v>
      </c>
      <c r="C678">
        <v>0.21549893999999997</v>
      </c>
    </row>
    <row r="679" spans="1:3" x14ac:dyDescent="0.25">
      <c r="A679">
        <v>301</v>
      </c>
      <c r="B679">
        <v>410470009004</v>
      </c>
      <c r="C679">
        <v>0.25316506</v>
      </c>
    </row>
    <row r="680" spans="1:3" x14ac:dyDescent="0.25">
      <c r="A680">
        <v>301</v>
      </c>
      <c r="B680">
        <v>410470010001</v>
      </c>
      <c r="C680">
        <v>2.8895500000000003E-3</v>
      </c>
    </row>
    <row r="681" spans="1:3" x14ac:dyDescent="0.25">
      <c r="A681">
        <v>302</v>
      </c>
      <c r="B681">
        <v>410470007022</v>
      </c>
      <c r="C681">
        <v>6.1699999999999995E-5</v>
      </c>
    </row>
    <row r="682" spans="1:3" x14ac:dyDescent="0.25">
      <c r="A682">
        <v>302</v>
      </c>
      <c r="B682">
        <v>410470009001</v>
      </c>
      <c r="C682">
        <v>0.81332395000000002</v>
      </c>
    </row>
    <row r="683" spans="1:3" x14ac:dyDescent="0.25">
      <c r="A683">
        <v>302</v>
      </c>
      <c r="B683">
        <v>410470010003</v>
      </c>
      <c r="C683">
        <v>0.18661442</v>
      </c>
    </row>
    <row r="684" spans="1:3" x14ac:dyDescent="0.25">
      <c r="A684">
        <v>303</v>
      </c>
      <c r="B684">
        <v>410470009001</v>
      </c>
      <c r="C684">
        <v>0.16599450999999998</v>
      </c>
    </row>
    <row r="685" spans="1:3" x14ac:dyDescent="0.25">
      <c r="A685">
        <v>303</v>
      </c>
      <c r="B685">
        <v>410470009002</v>
      </c>
      <c r="C685">
        <v>0.63626967000000001</v>
      </c>
    </row>
    <row r="686" spans="1:3" x14ac:dyDescent="0.25">
      <c r="A686">
        <v>303</v>
      </c>
      <c r="B686">
        <v>410470010001</v>
      </c>
      <c r="C686">
        <v>1.3233420000000001E-2</v>
      </c>
    </row>
    <row r="687" spans="1:3" x14ac:dyDescent="0.25">
      <c r="A687">
        <v>303</v>
      </c>
      <c r="B687">
        <v>410470010003</v>
      </c>
      <c r="C687">
        <v>0.18450240000000001</v>
      </c>
    </row>
    <row r="688" spans="1:3" x14ac:dyDescent="0.25">
      <c r="A688">
        <v>304</v>
      </c>
      <c r="B688">
        <v>410470007022</v>
      </c>
      <c r="C688">
        <v>1.7280799999999999E-3</v>
      </c>
    </row>
    <row r="689" spans="1:3" x14ac:dyDescent="0.25">
      <c r="A689">
        <v>304</v>
      </c>
      <c r="B689">
        <v>410470009002</v>
      </c>
      <c r="C689">
        <v>1.827E-5</v>
      </c>
    </row>
    <row r="690" spans="1:3" x14ac:dyDescent="0.25">
      <c r="A690">
        <v>304</v>
      </c>
      <c r="B690">
        <v>410470010003</v>
      </c>
      <c r="C690">
        <v>0.99070497999999996</v>
      </c>
    </row>
    <row r="691" spans="1:3" x14ac:dyDescent="0.25">
      <c r="A691">
        <v>304</v>
      </c>
      <c r="B691">
        <v>410470018011</v>
      </c>
      <c r="C691">
        <v>4.8899999999999998E-6</v>
      </c>
    </row>
    <row r="692" spans="1:3" x14ac:dyDescent="0.25">
      <c r="A692">
        <v>304</v>
      </c>
      <c r="B692">
        <v>410470018012</v>
      </c>
      <c r="C692">
        <v>7.5101600000000001E-3</v>
      </c>
    </row>
    <row r="693" spans="1:3" x14ac:dyDescent="0.25">
      <c r="A693">
        <v>304</v>
      </c>
      <c r="B693">
        <v>410470018032</v>
      </c>
      <c r="C693">
        <v>3.3609999999999998E-5</v>
      </c>
    </row>
    <row r="694" spans="1:3" x14ac:dyDescent="0.25">
      <c r="A694">
        <v>309</v>
      </c>
      <c r="B694">
        <v>410470002002</v>
      </c>
      <c r="C694">
        <v>3.9409499999999995E-3</v>
      </c>
    </row>
    <row r="695" spans="1:3" x14ac:dyDescent="0.25">
      <c r="A695">
        <v>309</v>
      </c>
      <c r="B695">
        <v>410470002003</v>
      </c>
      <c r="C695">
        <v>1.0654719999999999E-2</v>
      </c>
    </row>
    <row r="696" spans="1:3" x14ac:dyDescent="0.25">
      <c r="A696">
        <v>309</v>
      </c>
      <c r="B696">
        <v>410470012001</v>
      </c>
      <c r="C696">
        <v>3.3522999999999999E-3</v>
      </c>
    </row>
    <row r="697" spans="1:3" x14ac:dyDescent="0.25">
      <c r="A697">
        <v>309</v>
      </c>
      <c r="B697">
        <v>410470013001</v>
      </c>
      <c r="C697">
        <v>5.1477410000000001E-2</v>
      </c>
    </row>
    <row r="698" spans="1:3" x14ac:dyDescent="0.25">
      <c r="A698">
        <v>309</v>
      </c>
      <c r="B698">
        <v>410470013002</v>
      </c>
      <c r="C698">
        <v>0.93057473999999996</v>
      </c>
    </row>
    <row r="699" spans="1:3" x14ac:dyDescent="0.25">
      <c r="A699">
        <v>310</v>
      </c>
      <c r="B699">
        <v>410470002003</v>
      </c>
      <c r="C699">
        <v>2.7095599999999997E-3</v>
      </c>
    </row>
    <row r="700" spans="1:3" x14ac:dyDescent="0.25">
      <c r="A700">
        <v>310</v>
      </c>
      <c r="B700">
        <v>410470012001</v>
      </c>
      <c r="C700">
        <v>0.99588122000000001</v>
      </c>
    </row>
    <row r="701" spans="1:3" x14ac:dyDescent="0.25">
      <c r="A701">
        <v>310</v>
      </c>
      <c r="B701">
        <v>410470012002</v>
      </c>
      <c r="C701">
        <v>7.1957999999999994E-4</v>
      </c>
    </row>
    <row r="702" spans="1:3" x14ac:dyDescent="0.25">
      <c r="A702">
        <v>310</v>
      </c>
      <c r="B702">
        <v>410470013001</v>
      </c>
      <c r="C702">
        <v>5.1000000000000003E-6</v>
      </c>
    </row>
    <row r="703" spans="1:3" x14ac:dyDescent="0.25">
      <c r="A703">
        <v>310</v>
      </c>
      <c r="B703">
        <v>410470013002</v>
      </c>
      <c r="C703">
        <v>6.8453999999999997E-4</v>
      </c>
    </row>
    <row r="704" spans="1:3" x14ac:dyDescent="0.25">
      <c r="A704">
        <v>312</v>
      </c>
      <c r="B704">
        <v>410470010001</v>
      </c>
      <c r="C704">
        <v>2.92334E-3</v>
      </c>
    </row>
    <row r="705" spans="1:3" x14ac:dyDescent="0.25">
      <c r="A705">
        <v>312</v>
      </c>
      <c r="B705">
        <v>410470010002</v>
      </c>
      <c r="C705">
        <v>0.96256953000000001</v>
      </c>
    </row>
    <row r="706" spans="1:3" x14ac:dyDescent="0.25">
      <c r="A706">
        <v>312</v>
      </c>
      <c r="B706">
        <v>410470012001</v>
      </c>
      <c r="C706">
        <v>2.0354770000000001E-2</v>
      </c>
    </row>
    <row r="707" spans="1:3" x14ac:dyDescent="0.25">
      <c r="A707">
        <v>312</v>
      </c>
      <c r="B707">
        <v>410470012002</v>
      </c>
      <c r="C707">
        <v>1.4152320000000001E-2</v>
      </c>
    </row>
    <row r="708" spans="1:3" x14ac:dyDescent="0.25">
      <c r="A708">
        <v>313</v>
      </c>
      <c r="B708">
        <v>410470009002</v>
      </c>
      <c r="C708">
        <v>9.8748E-4</v>
      </c>
    </row>
    <row r="709" spans="1:3" x14ac:dyDescent="0.25">
      <c r="A709">
        <v>313</v>
      </c>
      <c r="B709">
        <v>410470009003</v>
      </c>
      <c r="C709">
        <v>3.2591E-4</v>
      </c>
    </row>
    <row r="710" spans="1:3" x14ac:dyDescent="0.25">
      <c r="A710">
        <v>313</v>
      </c>
      <c r="B710">
        <v>410470010001</v>
      </c>
      <c r="C710">
        <v>0.98611784999999996</v>
      </c>
    </row>
    <row r="711" spans="1:3" x14ac:dyDescent="0.25">
      <c r="A711">
        <v>313</v>
      </c>
      <c r="B711">
        <v>410470010002</v>
      </c>
      <c r="C711">
        <v>1.2395949999999999E-2</v>
      </c>
    </row>
    <row r="712" spans="1:3" x14ac:dyDescent="0.25">
      <c r="A712">
        <v>313</v>
      </c>
      <c r="B712">
        <v>410470010003</v>
      </c>
      <c r="C712">
        <v>1.7284000000000001E-4</v>
      </c>
    </row>
    <row r="713" spans="1:3" x14ac:dyDescent="0.25">
      <c r="A713">
        <v>314</v>
      </c>
      <c r="B713">
        <v>410470012001</v>
      </c>
      <c r="C713">
        <v>2.2625E-4</v>
      </c>
    </row>
    <row r="714" spans="1:3" x14ac:dyDescent="0.25">
      <c r="A714">
        <v>314</v>
      </c>
      <c r="B714">
        <v>410470013001</v>
      </c>
      <c r="C714">
        <v>0.49051087999999998</v>
      </c>
    </row>
    <row r="715" spans="1:3" x14ac:dyDescent="0.25">
      <c r="A715">
        <v>314</v>
      </c>
      <c r="B715">
        <v>410470013002</v>
      </c>
      <c r="C715">
        <v>0.50926291000000001</v>
      </c>
    </row>
    <row r="716" spans="1:3" x14ac:dyDescent="0.25">
      <c r="A716">
        <v>322</v>
      </c>
      <c r="B716">
        <v>410470013001</v>
      </c>
      <c r="C716">
        <v>0.55521653999999998</v>
      </c>
    </row>
    <row r="717" spans="1:3" x14ac:dyDescent="0.25">
      <c r="A717">
        <v>322</v>
      </c>
      <c r="B717">
        <v>410470013003</v>
      </c>
      <c r="C717">
        <v>0.43617641999999995</v>
      </c>
    </row>
    <row r="718" spans="1:3" x14ac:dyDescent="0.25">
      <c r="A718">
        <v>322</v>
      </c>
      <c r="B718">
        <v>410470022011</v>
      </c>
      <c r="C718">
        <v>8.6070199999999999E-3</v>
      </c>
    </row>
    <row r="719" spans="1:3" x14ac:dyDescent="0.25">
      <c r="A719">
        <v>323</v>
      </c>
      <c r="B719">
        <v>410470013001</v>
      </c>
      <c r="C719">
        <v>5.8586899999999997E-3</v>
      </c>
    </row>
    <row r="720" spans="1:3" x14ac:dyDescent="0.25">
      <c r="A720">
        <v>323</v>
      </c>
      <c r="B720">
        <v>410470013003</v>
      </c>
      <c r="C720">
        <v>0.98656434000000004</v>
      </c>
    </row>
    <row r="721" spans="1:3" x14ac:dyDescent="0.25">
      <c r="A721">
        <v>323</v>
      </c>
      <c r="B721">
        <v>410470021011</v>
      </c>
      <c r="C721">
        <v>2.7506100000000001E-3</v>
      </c>
    </row>
    <row r="722" spans="1:3" x14ac:dyDescent="0.25">
      <c r="A722">
        <v>323</v>
      </c>
      <c r="B722">
        <v>410470022011</v>
      </c>
      <c r="C722">
        <v>4.8264900000000001E-3</v>
      </c>
    </row>
    <row r="723" spans="1:3" x14ac:dyDescent="0.25">
      <c r="A723">
        <v>324</v>
      </c>
      <c r="B723">
        <v>410470011001</v>
      </c>
      <c r="C723">
        <v>1.37053E-3</v>
      </c>
    </row>
    <row r="724" spans="1:3" x14ac:dyDescent="0.25">
      <c r="A724">
        <v>324</v>
      </c>
      <c r="B724">
        <v>410470011003</v>
      </c>
      <c r="C724">
        <v>8.6165000000000005E-4</v>
      </c>
    </row>
    <row r="725" spans="1:3" x14ac:dyDescent="0.25">
      <c r="A725">
        <v>324</v>
      </c>
      <c r="B725">
        <v>410470012001</v>
      </c>
      <c r="C725">
        <v>1.8407399999999998E-3</v>
      </c>
    </row>
    <row r="726" spans="1:3" x14ac:dyDescent="0.25">
      <c r="A726">
        <v>324</v>
      </c>
      <c r="B726">
        <v>410470012002</v>
      </c>
      <c r="C726">
        <v>0.99243423000000008</v>
      </c>
    </row>
    <row r="727" spans="1:3" x14ac:dyDescent="0.25">
      <c r="A727">
        <v>324</v>
      </c>
      <c r="B727">
        <v>410470013001</v>
      </c>
      <c r="C727">
        <v>1.3944999999999999E-3</v>
      </c>
    </row>
    <row r="728" spans="1:3" x14ac:dyDescent="0.25">
      <c r="A728">
        <v>324</v>
      </c>
      <c r="B728">
        <v>410470013003</v>
      </c>
      <c r="C728">
        <v>2.0983299999999998E-3</v>
      </c>
    </row>
    <row r="729" spans="1:3" x14ac:dyDescent="0.25">
      <c r="A729">
        <v>330</v>
      </c>
      <c r="B729">
        <v>410470010002</v>
      </c>
      <c r="C729">
        <v>0.99068177000000002</v>
      </c>
    </row>
    <row r="730" spans="1:3" x14ac:dyDescent="0.25">
      <c r="A730">
        <v>330</v>
      </c>
      <c r="B730">
        <v>410470010003</v>
      </c>
      <c r="C730">
        <v>1.3378699999999999E-3</v>
      </c>
    </row>
    <row r="731" spans="1:3" x14ac:dyDescent="0.25">
      <c r="A731">
        <v>330</v>
      </c>
      <c r="B731">
        <v>410470011001</v>
      </c>
      <c r="C731">
        <v>5.6553100000000002E-3</v>
      </c>
    </row>
    <row r="732" spans="1:3" x14ac:dyDescent="0.25">
      <c r="A732">
        <v>330</v>
      </c>
      <c r="B732">
        <v>410470011002</v>
      </c>
      <c r="C732">
        <v>2.3250199999999997E-3</v>
      </c>
    </row>
    <row r="733" spans="1:3" x14ac:dyDescent="0.25">
      <c r="A733">
        <v>332</v>
      </c>
      <c r="B733">
        <v>410470013001</v>
      </c>
      <c r="C733">
        <v>0.98675606999999999</v>
      </c>
    </row>
    <row r="734" spans="1:3" x14ac:dyDescent="0.25">
      <c r="A734">
        <v>332</v>
      </c>
      <c r="B734">
        <v>410470022011</v>
      </c>
      <c r="C734">
        <v>1.3243910000000001E-2</v>
      </c>
    </row>
    <row r="735" spans="1:3" x14ac:dyDescent="0.25">
      <c r="A735">
        <v>333</v>
      </c>
      <c r="B735">
        <v>410470013001</v>
      </c>
      <c r="C735">
        <v>6.3519600000000002E-3</v>
      </c>
    </row>
    <row r="736" spans="1:3" x14ac:dyDescent="0.25">
      <c r="A736">
        <v>333</v>
      </c>
      <c r="B736">
        <v>410470022011</v>
      </c>
      <c r="C736">
        <v>0.96057314999999999</v>
      </c>
    </row>
    <row r="737" spans="1:3" x14ac:dyDescent="0.25">
      <c r="A737">
        <v>333</v>
      </c>
      <c r="B737">
        <v>410470022012</v>
      </c>
      <c r="C737">
        <v>4.1434900000000005E-3</v>
      </c>
    </row>
    <row r="738" spans="1:3" x14ac:dyDescent="0.25">
      <c r="A738">
        <v>333</v>
      </c>
      <c r="B738">
        <v>410470022021</v>
      </c>
      <c r="C738">
        <v>9.0210900000000007E-3</v>
      </c>
    </row>
    <row r="739" spans="1:3" x14ac:dyDescent="0.25">
      <c r="A739">
        <v>333</v>
      </c>
      <c r="B739">
        <v>410470024001</v>
      </c>
      <c r="C739">
        <v>1.9910360000000002E-2</v>
      </c>
    </row>
    <row r="740" spans="1:3" x14ac:dyDescent="0.25">
      <c r="A740">
        <v>334</v>
      </c>
      <c r="B740">
        <v>410470013003</v>
      </c>
      <c r="C740">
        <v>6.7714999999999995E-4</v>
      </c>
    </row>
    <row r="741" spans="1:3" x14ac:dyDescent="0.25">
      <c r="A741">
        <v>334</v>
      </c>
      <c r="B741">
        <v>410470021011</v>
      </c>
      <c r="C741">
        <v>2.4782999999999999E-4</v>
      </c>
    </row>
    <row r="742" spans="1:3" x14ac:dyDescent="0.25">
      <c r="A742">
        <v>334</v>
      </c>
      <c r="B742">
        <v>410470022011</v>
      </c>
      <c r="C742">
        <v>0.56372641999999995</v>
      </c>
    </row>
    <row r="743" spans="1:3" x14ac:dyDescent="0.25">
      <c r="A743">
        <v>334</v>
      </c>
      <c r="B743">
        <v>410470022012</v>
      </c>
      <c r="C743">
        <v>0.42810707999999997</v>
      </c>
    </row>
    <row r="744" spans="1:3" x14ac:dyDescent="0.25">
      <c r="A744">
        <v>334</v>
      </c>
      <c r="B744">
        <v>410470022021</v>
      </c>
      <c r="C744">
        <v>3.0298000000000005E-3</v>
      </c>
    </row>
    <row r="745" spans="1:3" x14ac:dyDescent="0.25">
      <c r="A745">
        <v>334</v>
      </c>
      <c r="B745">
        <v>410470022022</v>
      </c>
      <c r="C745">
        <v>4.2116900000000006E-3</v>
      </c>
    </row>
    <row r="746" spans="1:3" x14ac:dyDescent="0.25">
      <c r="A746">
        <v>335</v>
      </c>
      <c r="B746">
        <v>410470013003</v>
      </c>
      <c r="C746">
        <v>0</v>
      </c>
    </row>
    <row r="747" spans="1:3" x14ac:dyDescent="0.25">
      <c r="A747">
        <v>335</v>
      </c>
      <c r="B747">
        <v>410470021011</v>
      </c>
      <c r="C747">
        <v>0.56451300999999998</v>
      </c>
    </row>
    <row r="748" spans="1:3" x14ac:dyDescent="0.25">
      <c r="A748">
        <v>335</v>
      </c>
      <c r="B748">
        <v>410470021012</v>
      </c>
      <c r="C748">
        <v>0.40958671000000002</v>
      </c>
    </row>
    <row r="749" spans="1:3" x14ac:dyDescent="0.25">
      <c r="A749">
        <v>335</v>
      </c>
      <c r="B749">
        <v>410470021021</v>
      </c>
      <c r="C749">
        <v>1.327042E-2</v>
      </c>
    </row>
    <row r="750" spans="1:3" x14ac:dyDescent="0.25">
      <c r="A750">
        <v>335</v>
      </c>
      <c r="B750">
        <v>410470022011</v>
      </c>
      <c r="C750">
        <v>2.3361100000000002E-3</v>
      </c>
    </row>
    <row r="751" spans="1:3" x14ac:dyDescent="0.25">
      <c r="A751">
        <v>335</v>
      </c>
      <c r="B751">
        <v>410470022012</v>
      </c>
      <c r="C751">
        <v>3.0769E-3</v>
      </c>
    </row>
    <row r="752" spans="1:3" x14ac:dyDescent="0.25">
      <c r="A752">
        <v>335</v>
      </c>
      <c r="B752">
        <v>410470022021</v>
      </c>
      <c r="C752">
        <v>1.5911000000000001E-4</v>
      </c>
    </row>
    <row r="753" spans="1:3" x14ac:dyDescent="0.25">
      <c r="A753">
        <v>335</v>
      </c>
      <c r="B753">
        <v>410470022022</v>
      </c>
      <c r="C753">
        <v>7.0577399999999998E-3</v>
      </c>
    </row>
    <row r="754" spans="1:3" x14ac:dyDescent="0.25">
      <c r="A754">
        <v>336</v>
      </c>
      <c r="B754">
        <v>410470011001</v>
      </c>
      <c r="C754">
        <v>0.17626436000000001</v>
      </c>
    </row>
    <row r="755" spans="1:3" x14ac:dyDescent="0.25">
      <c r="A755">
        <v>336</v>
      </c>
      <c r="B755">
        <v>410470011002</v>
      </c>
      <c r="C755">
        <v>3.6835800000000001E-3</v>
      </c>
    </row>
    <row r="756" spans="1:3" x14ac:dyDescent="0.25">
      <c r="A756">
        <v>336</v>
      </c>
      <c r="B756">
        <v>410470011003</v>
      </c>
      <c r="C756">
        <v>0.81021071000000011</v>
      </c>
    </row>
    <row r="757" spans="1:3" x14ac:dyDescent="0.25">
      <c r="A757">
        <v>336</v>
      </c>
      <c r="B757">
        <v>410470012002</v>
      </c>
      <c r="C757">
        <v>6.3166999999999997E-4</v>
      </c>
    </row>
    <row r="758" spans="1:3" x14ac:dyDescent="0.25">
      <c r="A758">
        <v>336</v>
      </c>
      <c r="B758">
        <v>410470013003</v>
      </c>
      <c r="C758">
        <v>1.2595E-4</v>
      </c>
    </row>
    <row r="759" spans="1:3" x14ac:dyDescent="0.25">
      <c r="A759">
        <v>336</v>
      </c>
      <c r="B759">
        <v>410470021011</v>
      </c>
      <c r="C759">
        <v>9.0837000000000001E-3</v>
      </c>
    </row>
    <row r="760" spans="1:3" x14ac:dyDescent="0.25">
      <c r="A760">
        <v>338</v>
      </c>
      <c r="B760">
        <v>410470010002</v>
      </c>
      <c r="C760">
        <v>0.14588403999999999</v>
      </c>
    </row>
    <row r="761" spans="1:3" x14ac:dyDescent="0.25">
      <c r="A761">
        <v>338</v>
      </c>
      <c r="B761">
        <v>410470011001</v>
      </c>
      <c r="C761">
        <v>0.83741367999999994</v>
      </c>
    </row>
    <row r="762" spans="1:3" x14ac:dyDescent="0.25">
      <c r="A762">
        <v>338</v>
      </c>
      <c r="B762">
        <v>410470011002</v>
      </c>
      <c r="C762">
        <v>1.147549E-2</v>
      </c>
    </row>
    <row r="763" spans="1:3" x14ac:dyDescent="0.25">
      <c r="A763">
        <v>338</v>
      </c>
      <c r="B763">
        <v>410470011003</v>
      </c>
      <c r="C763">
        <v>1.3181E-3</v>
      </c>
    </row>
    <row r="764" spans="1:3" x14ac:dyDescent="0.25">
      <c r="A764">
        <v>338</v>
      </c>
      <c r="B764">
        <v>410470012002</v>
      </c>
      <c r="C764">
        <v>3.9087599999999998E-3</v>
      </c>
    </row>
    <row r="765" spans="1:3" x14ac:dyDescent="0.25">
      <c r="A765">
        <v>345</v>
      </c>
      <c r="B765">
        <v>410470024001</v>
      </c>
      <c r="C765">
        <v>0.99832139999999991</v>
      </c>
    </row>
    <row r="766" spans="1:3" x14ac:dyDescent="0.25">
      <c r="A766">
        <v>345</v>
      </c>
      <c r="B766">
        <v>410470024002</v>
      </c>
      <c r="C766">
        <v>1.6786000000000001E-3</v>
      </c>
    </row>
    <row r="767" spans="1:3" x14ac:dyDescent="0.25">
      <c r="A767">
        <v>346</v>
      </c>
      <c r="B767">
        <v>410470022021</v>
      </c>
      <c r="C767">
        <v>0.95895387999999993</v>
      </c>
    </row>
    <row r="768" spans="1:3" x14ac:dyDescent="0.25">
      <c r="A768">
        <v>346</v>
      </c>
      <c r="B768">
        <v>410470024001</v>
      </c>
      <c r="C768">
        <v>4.1046110000000004E-2</v>
      </c>
    </row>
    <row r="769" spans="1:3" x14ac:dyDescent="0.25">
      <c r="A769">
        <v>347</v>
      </c>
      <c r="B769">
        <v>410470022011</v>
      </c>
      <c r="C769">
        <v>8.2554000000000004E-4</v>
      </c>
    </row>
    <row r="770" spans="1:3" x14ac:dyDescent="0.25">
      <c r="A770">
        <v>347</v>
      </c>
      <c r="B770">
        <v>410470022012</v>
      </c>
      <c r="C770">
        <v>8.4597000000000003E-4</v>
      </c>
    </row>
    <row r="771" spans="1:3" x14ac:dyDescent="0.25">
      <c r="A771">
        <v>347</v>
      </c>
      <c r="B771">
        <v>410470022021</v>
      </c>
      <c r="C771">
        <v>0.52327014999999999</v>
      </c>
    </row>
    <row r="772" spans="1:3" x14ac:dyDescent="0.25">
      <c r="A772">
        <v>347</v>
      </c>
      <c r="B772">
        <v>410470022022</v>
      </c>
      <c r="C772">
        <v>0.47505830000000004</v>
      </c>
    </row>
    <row r="773" spans="1:3" x14ac:dyDescent="0.25">
      <c r="A773">
        <v>350</v>
      </c>
      <c r="B773">
        <v>410470010003</v>
      </c>
      <c r="C773">
        <v>6.8850389999999997E-2</v>
      </c>
    </row>
    <row r="774" spans="1:3" x14ac:dyDescent="0.25">
      <c r="A774">
        <v>350</v>
      </c>
      <c r="B774">
        <v>410470011002</v>
      </c>
      <c r="C774">
        <v>0.91788414000000007</v>
      </c>
    </row>
    <row r="775" spans="1:3" x14ac:dyDescent="0.25">
      <c r="A775">
        <v>350</v>
      </c>
      <c r="B775">
        <v>410470011003</v>
      </c>
      <c r="C775">
        <v>5.0265999999999993E-4</v>
      </c>
    </row>
    <row r="776" spans="1:3" x14ac:dyDescent="0.25">
      <c r="A776">
        <v>350</v>
      </c>
      <c r="B776">
        <v>410470020011</v>
      </c>
      <c r="C776">
        <v>1.72671E-3</v>
      </c>
    </row>
    <row r="777" spans="1:3" x14ac:dyDescent="0.25">
      <c r="A777">
        <v>350</v>
      </c>
      <c r="B777">
        <v>410470021011</v>
      </c>
      <c r="C777">
        <v>5.2050799999999999E-3</v>
      </c>
    </row>
    <row r="778" spans="1:3" x14ac:dyDescent="0.25">
      <c r="A778">
        <v>350</v>
      </c>
      <c r="B778">
        <v>410470021012</v>
      </c>
      <c r="C778">
        <v>1.3549600000000001E-3</v>
      </c>
    </row>
    <row r="779" spans="1:3" x14ac:dyDescent="0.25">
      <c r="A779">
        <v>350</v>
      </c>
      <c r="B779">
        <v>410470021021</v>
      </c>
      <c r="C779">
        <v>4.4759600000000002E-3</v>
      </c>
    </row>
    <row r="780" spans="1:3" x14ac:dyDescent="0.25">
      <c r="A780">
        <v>354</v>
      </c>
      <c r="B780">
        <v>410470010001</v>
      </c>
      <c r="C780">
        <v>1.5032000000000001E-4</v>
      </c>
    </row>
    <row r="781" spans="1:3" x14ac:dyDescent="0.25">
      <c r="A781">
        <v>354</v>
      </c>
      <c r="B781">
        <v>410470010002</v>
      </c>
      <c r="C781">
        <v>7.3194999999999998E-4</v>
      </c>
    </row>
    <row r="782" spans="1:3" x14ac:dyDescent="0.25">
      <c r="A782">
        <v>354</v>
      </c>
      <c r="B782">
        <v>410470010003</v>
      </c>
      <c r="C782">
        <v>0.99026837000000001</v>
      </c>
    </row>
    <row r="783" spans="1:3" x14ac:dyDescent="0.25">
      <c r="A783">
        <v>354</v>
      </c>
      <c r="B783">
        <v>410470011002</v>
      </c>
      <c r="C783">
        <v>4.7523999999999998E-4</v>
      </c>
    </row>
    <row r="784" spans="1:3" x14ac:dyDescent="0.25">
      <c r="A784">
        <v>354</v>
      </c>
      <c r="B784">
        <v>410470018032</v>
      </c>
      <c r="C784">
        <v>4.4563700000000003E-3</v>
      </c>
    </row>
    <row r="785" spans="1:3" x14ac:dyDescent="0.25">
      <c r="A785">
        <v>354</v>
      </c>
      <c r="B785">
        <v>410470020011</v>
      </c>
      <c r="C785">
        <v>2.3743000000000002E-3</v>
      </c>
    </row>
    <row r="786" spans="1:3" x14ac:dyDescent="0.25">
      <c r="A786">
        <v>354</v>
      </c>
      <c r="B786">
        <v>410470020012</v>
      </c>
      <c r="C786">
        <v>1.4321100000000001E-3</v>
      </c>
    </row>
    <row r="787" spans="1:3" x14ac:dyDescent="0.25">
      <c r="A787">
        <v>354</v>
      </c>
      <c r="B787">
        <v>410470020021</v>
      </c>
      <c r="C787">
        <v>1.1135000000000001E-4</v>
      </c>
    </row>
    <row r="788" spans="1:3" x14ac:dyDescent="0.25">
      <c r="A788">
        <v>357</v>
      </c>
      <c r="B788">
        <v>410470011002</v>
      </c>
      <c r="C788">
        <v>2.84132E-3</v>
      </c>
    </row>
    <row r="789" spans="1:3" x14ac:dyDescent="0.25">
      <c r="A789">
        <v>357</v>
      </c>
      <c r="B789">
        <v>410470020011</v>
      </c>
      <c r="C789">
        <v>0.80244393999999997</v>
      </c>
    </row>
    <row r="790" spans="1:3" x14ac:dyDescent="0.25">
      <c r="A790">
        <v>357</v>
      </c>
      <c r="B790">
        <v>410470020012</v>
      </c>
      <c r="C790">
        <v>0.19316048</v>
      </c>
    </row>
    <row r="791" spans="1:3" x14ac:dyDescent="0.25">
      <c r="A791">
        <v>357</v>
      </c>
      <c r="B791">
        <v>410470021021</v>
      </c>
      <c r="C791">
        <v>3.8259000000000004E-4</v>
      </c>
    </row>
    <row r="792" spans="1:3" x14ac:dyDescent="0.25">
      <c r="A792">
        <v>357</v>
      </c>
      <c r="B792">
        <v>410470021024</v>
      </c>
      <c r="C792">
        <v>1.1716600000000001E-3</v>
      </c>
    </row>
    <row r="793" spans="1:3" x14ac:dyDescent="0.25">
      <c r="A793">
        <v>358</v>
      </c>
      <c r="B793">
        <v>410470021021</v>
      </c>
      <c r="C793">
        <v>0.99840969000000002</v>
      </c>
    </row>
    <row r="794" spans="1:3" x14ac:dyDescent="0.25">
      <c r="A794">
        <v>358</v>
      </c>
      <c r="B794">
        <v>410470021022</v>
      </c>
      <c r="C794">
        <v>4.8979999999999995E-5</v>
      </c>
    </row>
    <row r="795" spans="1:3" x14ac:dyDescent="0.25">
      <c r="A795">
        <v>358</v>
      </c>
      <c r="B795">
        <v>410470021024</v>
      </c>
      <c r="C795">
        <v>1.54137E-3</v>
      </c>
    </row>
    <row r="796" spans="1:3" x14ac:dyDescent="0.25">
      <c r="A796">
        <v>359</v>
      </c>
      <c r="B796">
        <v>410470021021</v>
      </c>
      <c r="C796">
        <v>0.52355822000000007</v>
      </c>
    </row>
    <row r="797" spans="1:3" x14ac:dyDescent="0.25">
      <c r="A797">
        <v>359</v>
      </c>
      <c r="B797">
        <v>410470021022</v>
      </c>
      <c r="C797">
        <v>0.46617916999999998</v>
      </c>
    </row>
    <row r="798" spans="1:3" x14ac:dyDescent="0.25">
      <c r="A798">
        <v>359</v>
      </c>
      <c r="B798">
        <v>410470021023</v>
      </c>
      <c r="C798">
        <v>1.35713E-3</v>
      </c>
    </row>
    <row r="799" spans="1:3" x14ac:dyDescent="0.25">
      <c r="A799">
        <v>359</v>
      </c>
      <c r="B799">
        <v>410470022021</v>
      </c>
      <c r="C799">
        <v>7.4513100000000001E-3</v>
      </c>
    </row>
    <row r="800" spans="1:3" x14ac:dyDescent="0.25">
      <c r="A800">
        <v>359</v>
      </c>
      <c r="B800">
        <v>410470022023</v>
      </c>
      <c r="C800">
        <v>1.4541100000000002E-3</v>
      </c>
    </row>
    <row r="801" spans="1:3" x14ac:dyDescent="0.25">
      <c r="A801">
        <v>360</v>
      </c>
      <c r="B801">
        <v>410470022021</v>
      </c>
      <c r="C801">
        <v>0.8732730700000001</v>
      </c>
    </row>
    <row r="802" spans="1:3" x14ac:dyDescent="0.25">
      <c r="A802">
        <v>360</v>
      </c>
      <c r="B802">
        <v>410470022022</v>
      </c>
      <c r="C802">
        <v>0.11576599</v>
      </c>
    </row>
    <row r="803" spans="1:3" x14ac:dyDescent="0.25">
      <c r="A803">
        <v>360</v>
      </c>
      <c r="B803">
        <v>410470022023</v>
      </c>
      <c r="C803">
        <v>1.0960950000000001E-2</v>
      </c>
    </row>
    <row r="804" spans="1:3" x14ac:dyDescent="0.25">
      <c r="A804">
        <v>361</v>
      </c>
      <c r="B804">
        <v>410470022021</v>
      </c>
      <c r="C804">
        <v>0.94633486</v>
      </c>
    </row>
    <row r="805" spans="1:3" x14ac:dyDescent="0.25">
      <c r="A805">
        <v>361</v>
      </c>
      <c r="B805">
        <v>410470022023</v>
      </c>
      <c r="C805">
        <v>9.5450999999999991E-3</v>
      </c>
    </row>
    <row r="806" spans="1:3" x14ac:dyDescent="0.25">
      <c r="A806">
        <v>361</v>
      </c>
      <c r="B806">
        <v>410470024001</v>
      </c>
      <c r="C806">
        <v>4.4120039999999999E-2</v>
      </c>
    </row>
    <row r="807" spans="1:3" x14ac:dyDescent="0.25">
      <c r="A807">
        <v>362</v>
      </c>
      <c r="B807">
        <v>410470022021</v>
      </c>
      <c r="C807">
        <v>0.94170179000000009</v>
      </c>
    </row>
    <row r="808" spans="1:3" x14ac:dyDescent="0.25">
      <c r="A808">
        <v>362</v>
      </c>
      <c r="B808">
        <v>410470024001</v>
      </c>
      <c r="C808">
        <v>3.4030350000000001E-2</v>
      </c>
    </row>
    <row r="809" spans="1:3" x14ac:dyDescent="0.25">
      <c r="A809">
        <v>362</v>
      </c>
      <c r="B809">
        <v>410470024002</v>
      </c>
      <c r="C809">
        <v>2.4267799999999999E-2</v>
      </c>
    </row>
    <row r="810" spans="1:3" x14ac:dyDescent="0.25">
      <c r="A810">
        <v>363</v>
      </c>
      <c r="B810">
        <v>410470022021</v>
      </c>
      <c r="C810">
        <v>0.26278034</v>
      </c>
    </row>
    <row r="811" spans="1:3" x14ac:dyDescent="0.25">
      <c r="A811">
        <v>363</v>
      </c>
      <c r="B811">
        <v>410470022023</v>
      </c>
      <c r="C811">
        <v>0.7141692999999999</v>
      </c>
    </row>
    <row r="812" spans="1:3" x14ac:dyDescent="0.25">
      <c r="A812">
        <v>363</v>
      </c>
      <c r="B812">
        <v>410470024001</v>
      </c>
      <c r="C812">
        <v>2.2178420000000001E-2</v>
      </c>
    </row>
    <row r="813" spans="1:3" x14ac:dyDescent="0.25">
      <c r="A813">
        <v>363</v>
      </c>
      <c r="B813">
        <v>410470024002</v>
      </c>
      <c r="C813">
        <v>8.7193999999999998E-4</v>
      </c>
    </row>
    <row r="814" spans="1:3" x14ac:dyDescent="0.25">
      <c r="A814">
        <v>365</v>
      </c>
      <c r="B814">
        <v>410470021023</v>
      </c>
      <c r="C814">
        <v>1.1643000000000001E-4</v>
      </c>
    </row>
    <row r="815" spans="1:3" x14ac:dyDescent="0.25">
      <c r="A815">
        <v>365</v>
      </c>
      <c r="B815">
        <v>410470022023</v>
      </c>
      <c r="C815">
        <v>0.96904906999999996</v>
      </c>
    </row>
    <row r="816" spans="1:3" x14ac:dyDescent="0.25">
      <c r="A816">
        <v>365</v>
      </c>
      <c r="B816">
        <v>410470023011</v>
      </c>
      <c r="C816">
        <v>3.0834359999999998E-2</v>
      </c>
    </row>
    <row r="817" spans="1:3" x14ac:dyDescent="0.25">
      <c r="A817">
        <v>365</v>
      </c>
      <c r="B817">
        <v>410470023031</v>
      </c>
      <c r="C817">
        <v>1.2000000000000002E-7</v>
      </c>
    </row>
    <row r="818" spans="1:3" x14ac:dyDescent="0.25">
      <c r="A818">
        <v>366</v>
      </c>
      <c r="B818">
        <v>410470021022</v>
      </c>
      <c r="C818">
        <v>9.7008999999999995E-4</v>
      </c>
    </row>
    <row r="819" spans="1:3" x14ac:dyDescent="0.25">
      <c r="A819">
        <v>366</v>
      </c>
      <c r="B819">
        <v>410470021023</v>
      </c>
      <c r="C819">
        <v>0.74746621000000002</v>
      </c>
    </row>
    <row r="820" spans="1:3" x14ac:dyDescent="0.25">
      <c r="A820">
        <v>366</v>
      </c>
      <c r="B820">
        <v>410470021024</v>
      </c>
      <c r="C820">
        <v>5.5066999999999996E-4</v>
      </c>
    </row>
    <row r="821" spans="1:3" x14ac:dyDescent="0.25">
      <c r="A821">
        <v>366</v>
      </c>
      <c r="B821">
        <v>410470022023</v>
      </c>
      <c r="C821">
        <v>3.4774100000000002E-3</v>
      </c>
    </row>
    <row r="822" spans="1:3" x14ac:dyDescent="0.25">
      <c r="A822">
        <v>366</v>
      </c>
      <c r="B822">
        <v>410470023011</v>
      </c>
      <c r="C822">
        <v>7.3845999999999992E-4</v>
      </c>
    </row>
    <row r="823" spans="1:3" x14ac:dyDescent="0.25">
      <c r="A823">
        <v>366</v>
      </c>
      <c r="B823">
        <v>410470023031</v>
      </c>
      <c r="C823">
        <v>0.24637801000000001</v>
      </c>
    </row>
    <row r="824" spans="1:3" x14ac:dyDescent="0.25">
      <c r="A824">
        <v>366</v>
      </c>
      <c r="B824">
        <v>410470023032</v>
      </c>
      <c r="C824">
        <v>4.1910000000000005E-4</v>
      </c>
    </row>
    <row r="825" spans="1:3" x14ac:dyDescent="0.25">
      <c r="A825">
        <v>368</v>
      </c>
      <c r="B825">
        <v>410470020011</v>
      </c>
      <c r="C825">
        <v>4.1180000000000002E-5</v>
      </c>
    </row>
    <row r="826" spans="1:3" x14ac:dyDescent="0.25">
      <c r="A826">
        <v>368</v>
      </c>
      <c r="B826">
        <v>410470020012</v>
      </c>
      <c r="C826">
        <v>1.4867E-4</v>
      </c>
    </row>
    <row r="827" spans="1:3" x14ac:dyDescent="0.25">
      <c r="A827">
        <v>368</v>
      </c>
      <c r="B827">
        <v>410470021021</v>
      </c>
      <c r="C827">
        <v>7.0547000000000003E-4</v>
      </c>
    </row>
    <row r="828" spans="1:3" x14ac:dyDescent="0.25">
      <c r="A828">
        <v>368</v>
      </c>
      <c r="B828">
        <v>410470021022</v>
      </c>
      <c r="C828">
        <v>9.789899999999999E-4</v>
      </c>
    </row>
    <row r="829" spans="1:3" x14ac:dyDescent="0.25">
      <c r="A829">
        <v>368</v>
      </c>
      <c r="B829">
        <v>410470021023</v>
      </c>
      <c r="C829">
        <v>3.2964000000000002E-4</v>
      </c>
    </row>
    <row r="830" spans="1:3" x14ac:dyDescent="0.25">
      <c r="A830">
        <v>368</v>
      </c>
      <c r="B830">
        <v>410470021024</v>
      </c>
      <c r="C830">
        <v>0.78011878999999995</v>
      </c>
    </row>
    <row r="831" spans="1:3" x14ac:dyDescent="0.25">
      <c r="A831">
        <v>368</v>
      </c>
      <c r="B831">
        <v>410470023031</v>
      </c>
      <c r="C831">
        <v>7.0399999999999995E-6</v>
      </c>
    </row>
    <row r="832" spans="1:3" x14ac:dyDescent="0.25">
      <c r="A832">
        <v>368</v>
      </c>
      <c r="B832">
        <v>410470023032</v>
      </c>
      <c r="C832">
        <v>0.18050536</v>
      </c>
    </row>
    <row r="833" spans="1:3" x14ac:dyDescent="0.25">
      <c r="A833">
        <v>368</v>
      </c>
      <c r="B833">
        <v>410470023033</v>
      </c>
      <c r="C833">
        <v>3.7164869999999996E-2</v>
      </c>
    </row>
    <row r="834" spans="1:3" x14ac:dyDescent="0.25">
      <c r="A834">
        <v>373</v>
      </c>
      <c r="B834">
        <v>410470010003</v>
      </c>
      <c r="C834">
        <v>3.1160799999999998E-3</v>
      </c>
    </row>
    <row r="835" spans="1:3" x14ac:dyDescent="0.25">
      <c r="A835">
        <v>373</v>
      </c>
      <c r="B835">
        <v>410470018032</v>
      </c>
      <c r="C835">
        <v>7.2325499999999999E-3</v>
      </c>
    </row>
    <row r="836" spans="1:3" x14ac:dyDescent="0.25">
      <c r="A836">
        <v>373</v>
      </c>
      <c r="B836">
        <v>410470020012</v>
      </c>
      <c r="C836">
        <v>1.2972699999999998E-2</v>
      </c>
    </row>
    <row r="837" spans="1:3" x14ac:dyDescent="0.25">
      <c r="A837">
        <v>373</v>
      </c>
      <c r="B837">
        <v>410470020021</v>
      </c>
      <c r="C837">
        <v>0.97131708999999999</v>
      </c>
    </row>
    <row r="838" spans="1:3" x14ac:dyDescent="0.25">
      <c r="A838">
        <v>373</v>
      </c>
      <c r="B838">
        <v>410470020022</v>
      </c>
      <c r="C838">
        <v>5.3493600000000001E-3</v>
      </c>
    </row>
    <row r="839" spans="1:3" x14ac:dyDescent="0.25">
      <c r="A839">
        <v>373</v>
      </c>
      <c r="B839">
        <v>410470027013</v>
      </c>
      <c r="C839">
        <v>1.221E-5</v>
      </c>
    </row>
    <row r="840" spans="1:3" x14ac:dyDescent="0.25">
      <c r="A840">
        <v>374</v>
      </c>
      <c r="B840">
        <v>410470020012</v>
      </c>
      <c r="C840">
        <v>0.97886804999999999</v>
      </c>
    </row>
    <row r="841" spans="1:3" x14ac:dyDescent="0.25">
      <c r="A841">
        <v>374</v>
      </c>
      <c r="B841">
        <v>410470020021</v>
      </c>
      <c r="C841">
        <v>2.9563000000000001E-4</v>
      </c>
    </row>
    <row r="842" spans="1:3" x14ac:dyDescent="0.25">
      <c r="A842">
        <v>374</v>
      </c>
      <c r="B842">
        <v>410470020022</v>
      </c>
      <c r="C842">
        <v>3.8067999999999999E-4</v>
      </c>
    </row>
    <row r="843" spans="1:3" x14ac:dyDescent="0.25">
      <c r="A843">
        <v>374</v>
      </c>
      <c r="B843">
        <v>410470023033</v>
      </c>
      <c r="C843">
        <v>1.560894E-2</v>
      </c>
    </row>
    <row r="844" spans="1:3" x14ac:dyDescent="0.25">
      <c r="A844">
        <v>374</v>
      </c>
      <c r="B844">
        <v>410470023042</v>
      </c>
      <c r="C844">
        <v>4.8291200000000001E-3</v>
      </c>
    </row>
    <row r="845" spans="1:3" x14ac:dyDescent="0.25">
      <c r="A845">
        <v>374</v>
      </c>
      <c r="B845">
        <v>410470023043</v>
      </c>
      <c r="C845">
        <v>1.7609999999999999E-5</v>
      </c>
    </row>
    <row r="846" spans="1:3" x14ac:dyDescent="0.25">
      <c r="A846">
        <v>376</v>
      </c>
      <c r="B846">
        <v>410470023032</v>
      </c>
      <c r="C846">
        <v>1.0052400000000001E-3</v>
      </c>
    </row>
    <row r="847" spans="1:3" x14ac:dyDescent="0.25">
      <c r="A847">
        <v>376</v>
      </c>
      <c r="B847">
        <v>410470023033</v>
      </c>
      <c r="C847">
        <v>0.99899483</v>
      </c>
    </row>
    <row r="848" spans="1:3" x14ac:dyDescent="0.25">
      <c r="A848">
        <v>378</v>
      </c>
      <c r="B848">
        <v>410470023031</v>
      </c>
      <c r="C848">
        <v>0.29673135</v>
      </c>
    </row>
    <row r="849" spans="1:3" x14ac:dyDescent="0.25">
      <c r="A849">
        <v>378</v>
      </c>
      <c r="B849">
        <v>410470023032</v>
      </c>
      <c r="C849">
        <v>0.70295845999999995</v>
      </c>
    </row>
    <row r="850" spans="1:3" x14ac:dyDescent="0.25">
      <c r="A850">
        <v>378</v>
      </c>
      <c r="B850">
        <v>410470023033</v>
      </c>
      <c r="C850">
        <v>3.102E-4</v>
      </c>
    </row>
    <row r="851" spans="1:3" x14ac:dyDescent="0.25">
      <c r="A851">
        <v>379</v>
      </c>
      <c r="B851">
        <v>410470023011</v>
      </c>
      <c r="C851">
        <v>1.7688499999999998E-3</v>
      </c>
    </row>
    <row r="852" spans="1:3" x14ac:dyDescent="0.25">
      <c r="A852">
        <v>379</v>
      </c>
      <c r="B852">
        <v>410470023031</v>
      </c>
      <c r="C852">
        <v>0.9978496</v>
      </c>
    </row>
    <row r="853" spans="1:3" x14ac:dyDescent="0.25">
      <c r="A853">
        <v>379</v>
      </c>
      <c r="B853">
        <v>410470023032</v>
      </c>
      <c r="C853">
        <v>3.8160000000000001E-4</v>
      </c>
    </row>
    <row r="854" spans="1:3" x14ac:dyDescent="0.25">
      <c r="A854">
        <v>380</v>
      </c>
      <c r="B854">
        <v>410470022023</v>
      </c>
      <c r="C854">
        <v>2.0674999999999998E-4</v>
      </c>
    </row>
    <row r="855" spans="1:3" x14ac:dyDescent="0.25">
      <c r="A855">
        <v>380</v>
      </c>
      <c r="B855">
        <v>410470023011</v>
      </c>
      <c r="C855">
        <v>0.78120502000000003</v>
      </c>
    </row>
    <row r="856" spans="1:3" x14ac:dyDescent="0.25">
      <c r="A856">
        <v>380</v>
      </c>
      <c r="B856">
        <v>410470023012</v>
      </c>
      <c r="C856">
        <v>0.21680548000000002</v>
      </c>
    </row>
    <row r="857" spans="1:3" x14ac:dyDescent="0.25">
      <c r="A857">
        <v>380</v>
      </c>
      <c r="B857">
        <v>410470023031</v>
      </c>
      <c r="C857">
        <v>5.1017E-4</v>
      </c>
    </row>
    <row r="858" spans="1:3" x14ac:dyDescent="0.25">
      <c r="A858">
        <v>380</v>
      </c>
      <c r="B858">
        <v>410470024002</v>
      </c>
      <c r="C858">
        <v>1.2725800000000002E-3</v>
      </c>
    </row>
    <row r="859" spans="1:3" x14ac:dyDescent="0.25">
      <c r="A859">
        <v>381</v>
      </c>
      <c r="B859">
        <v>410470022023</v>
      </c>
      <c r="C859">
        <v>3.6985800000000004E-3</v>
      </c>
    </row>
    <row r="860" spans="1:3" x14ac:dyDescent="0.25">
      <c r="A860">
        <v>381</v>
      </c>
      <c r="B860">
        <v>410470023011</v>
      </c>
      <c r="C860">
        <v>6.5898500000000004E-3</v>
      </c>
    </row>
    <row r="861" spans="1:3" x14ac:dyDescent="0.25">
      <c r="A861">
        <v>381</v>
      </c>
      <c r="B861">
        <v>410470024002</v>
      </c>
      <c r="C861">
        <v>0.98971155999999993</v>
      </c>
    </row>
    <row r="862" spans="1:3" x14ac:dyDescent="0.25">
      <c r="A862">
        <v>382</v>
      </c>
      <c r="B862">
        <v>410470023011</v>
      </c>
      <c r="C862">
        <v>2.3818999999999999E-4</v>
      </c>
    </row>
    <row r="863" spans="1:3" x14ac:dyDescent="0.25">
      <c r="A863">
        <v>382</v>
      </c>
      <c r="B863">
        <v>410470023012</v>
      </c>
      <c r="C863">
        <v>1.5826599999999998E-3</v>
      </c>
    </row>
    <row r="864" spans="1:3" x14ac:dyDescent="0.25">
      <c r="A864">
        <v>382</v>
      </c>
      <c r="B864">
        <v>410470023031</v>
      </c>
      <c r="C864">
        <v>0.37561990000000001</v>
      </c>
    </row>
    <row r="865" spans="1:3" x14ac:dyDescent="0.25">
      <c r="A865">
        <v>382</v>
      </c>
      <c r="B865">
        <v>410470023041</v>
      </c>
      <c r="C865">
        <v>0.62255923000000002</v>
      </c>
    </row>
    <row r="866" spans="1:3" x14ac:dyDescent="0.25">
      <c r="A866">
        <v>383</v>
      </c>
      <c r="B866">
        <v>410470023031</v>
      </c>
      <c r="C866">
        <v>0.31918792000000001</v>
      </c>
    </row>
    <row r="867" spans="1:3" x14ac:dyDescent="0.25">
      <c r="A867">
        <v>383</v>
      </c>
      <c r="B867">
        <v>410470023041</v>
      </c>
      <c r="C867">
        <v>0.68068910999999999</v>
      </c>
    </row>
    <row r="868" spans="1:3" x14ac:dyDescent="0.25">
      <c r="A868">
        <v>383</v>
      </c>
      <c r="B868">
        <v>410470023042</v>
      </c>
      <c r="C868">
        <v>2.4999999999999999E-7</v>
      </c>
    </row>
    <row r="869" spans="1:3" x14ac:dyDescent="0.25">
      <c r="A869">
        <v>383</v>
      </c>
      <c r="B869">
        <v>410470023043</v>
      </c>
      <c r="C869">
        <v>1.2269000000000001E-4</v>
      </c>
    </row>
    <row r="870" spans="1:3" x14ac:dyDescent="0.25">
      <c r="A870">
        <v>384</v>
      </c>
      <c r="B870">
        <v>410470023031</v>
      </c>
      <c r="C870">
        <v>6.8625000000000001E-4</v>
      </c>
    </row>
    <row r="871" spans="1:3" x14ac:dyDescent="0.25">
      <c r="A871">
        <v>384</v>
      </c>
      <c r="B871">
        <v>410470023032</v>
      </c>
      <c r="C871">
        <v>7.5027999999999998E-4</v>
      </c>
    </row>
    <row r="872" spans="1:3" x14ac:dyDescent="0.25">
      <c r="A872">
        <v>384</v>
      </c>
      <c r="B872">
        <v>410470023033</v>
      </c>
      <c r="C872">
        <v>0.49248541000000001</v>
      </c>
    </row>
    <row r="873" spans="1:3" x14ac:dyDescent="0.25">
      <c r="A873">
        <v>384</v>
      </c>
      <c r="B873">
        <v>410470023041</v>
      </c>
      <c r="C873">
        <v>4.3609000000000003E-4</v>
      </c>
    </row>
    <row r="874" spans="1:3" x14ac:dyDescent="0.25">
      <c r="A874">
        <v>384</v>
      </c>
      <c r="B874">
        <v>410470023042</v>
      </c>
      <c r="C874">
        <v>0.49966179999999999</v>
      </c>
    </row>
    <row r="875" spans="1:3" x14ac:dyDescent="0.25">
      <c r="A875">
        <v>384</v>
      </c>
      <c r="B875">
        <v>410470023043</v>
      </c>
      <c r="C875">
        <v>5.9801200000000002E-3</v>
      </c>
    </row>
    <row r="876" spans="1:3" x14ac:dyDescent="0.25">
      <c r="A876">
        <v>388</v>
      </c>
      <c r="B876">
        <v>410470020012</v>
      </c>
      <c r="C876">
        <v>6.8024999999999997E-4</v>
      </c>
    </row>
    <row r="877" spans="1:3" x14ac:dyDescent="0.25">
      <c r="A877">
        <v>388</v>
      </c>
      <c r="B877">
        <v>410470020022</v>
      </c>
      <c r="C877">
        <v>0.99776653999999998</v>
      </c>
    </row>
    <row r="878" spans="1:3" x14ac:dyDescent="0.25">
      <c r="A878">
        <v>388</v>
      </c>
      <c r="B878">
        <v>410470027013</v>
      </c>
      <c r="C878">
        <v>1.5532299999999998E-3</v>
      </c>
    </row>
    <row r="879" spans="1:3" x14ac:dyDescent="0.25">
      <c r="A879">
        <v>389</v>
      </c>
      <c r="B879">
        <v>410470020012</v>
      </c>
      <c r="C879">
        <v>2.3280000000000001E-5</v>
      </c>
    </row>
    <row r="880" spans="1:3" x14ac:dyDescent="0.25">
      <c r="A880">
        <v>389</v>
      </c>
      <c r="B880">
        <v>410470020022</v>
      </c>
      <c r="C880">
        <v>0.95824682999999988</v>
      </c>
    </row>
    <row r="881" spans="1:3" x14ac:dyDescent="0.25">
      <c r="A881">
        <v>389</v>
      </c>
      <c r="B881">
        <v>410470023043</v>
      </c>
      <c r="C881">
        <v>1.102908E-2</v>
      </c>
    </row>
    <row r="882" spans="1:3" x14ac:dyDescent="0.25">
      <c r="A882">
        <v>389</v>
      </c>
      <c r="B882">
        <v>410470027013</v>
      </c>
      <c r="C882">
        <v>2.7206350000000001E-2</v>
      </c>
    </row>
    <row r="883" spans="1:3" x14ac:dyDescent="0.25">
      <c r="A883">
        <v>389</v>
      </c>
      <c r="B883">
        <v>410470028002</v>
      </c>
      <c r="C883">
        <v>3.4944599999999996E-3</v>
      </c>
    </row>
    <row r="884" spans="1:3" x14ac:dyDescent="0.25">
      <c r="A884">
        <v>390</v>
      </c>
      <c r="B884">
        <v>410470023041</v>
      </c>
      <c r="C884">
        <v>1.9547700000000002E-3</v>
      </c>
    </row>
    <row r="885" spans="1:3" x14ac:dyDescent="0.25">
      <c r="A885">
        <v>390</v>
      </c>
      <c r="B885">
        <v>410470023042</v>
      </c>
      <c r="C885">
        <v>1.11265E-3</v>
      </c>
    </row>
    <row r="886" spans="1:3" x14ac:dyDescent="0.25">
      <c r="A886">
        <v>390</v>
      </c>
      <c r="B886">
        <v>410470023043</v>
      </c>
      <c r="C886">
        <v>0.54908508</v>
      </c>
    </row>
    <row r="887" spans="1:3" x14ac:dyDescent="0.25">
      <c r="A887">
        <v>390</v>
      </c>
      <c r="B887">
        <v>410470023044</v>
      </c>
      <c r="C887">
        <v>0.38240946999999997</v>
      </c>
    </row>
    <row r="888" spans="1:3" x14ac:dyDescent="0.25">
      <c r="A888">
        <v>390</v>
      </c>
      <c r="B888">
        <v>410470028002</v>
      </c>
      <c r="C888">
        <v>6.5438029999999994E-2</v>
      </c>
    </row>
    <row r="889" spans="1:3" x14ac:dyDescent="0.25">
      <c r="A889">
        <v>395</v>
      </c>
      <c r="B889">
        <v>410470010003</v>
      </c>
      <c r="C889">
        <v>7.3029999999999997E-5</v>
      </c>
    </row>
    <row r="890" spans="1:3" x14ac:dyDescent="0.25">
      <c r="A890">
        <v>395</v>
      </c>
      <c r="B890">
        <v>410470018021</v>
      </c>
      <c r="C890">
        <v>1.4281999999999999E-4</v>
      </c>
    </row>
    <row r="891" spans="1:3" x14ac:dyDescent="0.25">
      <c r="A891">
        <v>395</v>
      </c>
      <c r="B891">
        <v>410470018031</v>
      </c>
      <c r="C891">
        <v>8.7644000000000003E-4</v>
      </c>
    </row>
    <row r="892" spans="1:3" x14ac:dyDescent="0.25">
      <c r="A892">
        <v>395</v>
      </c>
      <c r="B892">
        <v>410470018032</v>
      </c>
      <c r="C892">
        <v>0.95754954000000003</v>
      </c>
    </row>
    <row r="893" spans="1:3" x14ac:dyDescent="0.25">
      <c r="A893">
        <v>395</v>
      </c>
      <c r="B893">
        <v>410470027011</v>
      </c>
      <c r="C893">
        <v>4.0986250000000002E-2</v>
      </c>
    </row>
    <row r="894" spans="1:3" x14ac:dyDescent="0.25">
      <c r="A894">
        <v>395</v>
      </c>
      <c r="B894">
        <v>410470027013</v>
      </c>
      <c r="C894">
        <v>2.3551E-4</v>
      </c>
    </row>
    <row r="895" spans="1:3" x14ac:dyDescent="0.25">
      <c r="A895">
        <v>395</v>
      </c>
      <c r="B895">
        <v>410470027022</v>
      </c>
      <c r="C895">
        <v>1.3642E-4</v>
      </c>
    </row>
    <row r="896" spans="1:3" x14ac:dyDescent="0.25">
      <c r="A896">
        <v>396</v>
      </c>
      <c r="B896">
        <v>410470018031</v>
      </c>
      <c r="C896">
        <v>0.99457646999999993</v>
      </c>
    </row>
    <row r="897" spans="1:3" x14ac:dyDescent="0.25">
      <c r="A897">
        <v>396</v>
      </c>
      <c r="B897">
        <v>410470018032</v>
      </c>
      <c r="C897">
        <v>5.4235199999999994E-3</v>
      </c>
    </row>
    <row r="898" spans="1:3" x14ac:dyDescent="0.25">
      <c r="A898">
        <v>411</v>
      </c>
      <c r="B898">
        <v>410470018032</v>
      </c>
      <c r="C898">
        <v>0.60972978</v>
      </c>
    </row>
    <row r="899" spans="1:3" x14ac:dyDescent="0.25">
      <c r="A899">
        <v>411</v>
      </c>
      <c r="B899">
        <v>410470027013</v>
      </c>
      <c r="C899">
        <v>0.39027023</v>
      </c>
    </row>
    <row r="900" spans="1:3" x14ac:dyDescent="0.25">
      <c r="A900">
        <v>414</v>
      </c>
      <c r="B900">
        <v>410470018032</v>
      </c>
      <c r="C900">
        <v>6.4791939999999992E-2</v>
      </c>
    </row>
    <row r="901" spans="1:3" x14ac:dyDescent="0.25">
      <c r="A901">
        <v>414</v>
      </c>
      <c r="B901">
        <v>410470027011</v>
      </c>
      <c r="C901">
        <v>0.92098665999999996</v>
      </c>
    </row>
    <row r="902" spans="1:3" x14ac:dyDescent="0.25">
      <c r="A902">
        <v>414</v>
      </c>
      <c r="B902">
        <v>410470027021</v>
      </c>
      <c r="C902">
        <v>1.3067999999999999E-4</v>
      </c>
    </row>
    <row r="903" spans="1:3" x14ac:dyDescent="0.25">
      <c r="A903">
        <v>414</v>
      </c>
      <c r="B903">
        <v>410470027022</v>
      </c>
      <c r="C903">
        <v>1.4090730000000001E-2</v>
      </c>
    </row>
    <row r="904" spans="1:3" x14ac:dyDescent="0.25">
      <c r="A904">
        <v>415</v>
      </c>
      <c r="B904">
        <v>410470018032</v>
      </c>
      <c r="C904">
        <v>3.4450160000000001E-2</v>
      </c>
    </row>
    <row r="905" spans="1:3" x14ac:dyDescent="0.25">
      <c r="A905">
        <v>415</v>
      </c>
      <c r="B905">
        <v>410470027011</v>
      </c>
      <c r="C905">
        <v>0.96541659999999996</v>
      </c>
    </row>
    <row r="906" spans="1:3" x14ac:dyDescent="0.25">
      <c r="A906">
        <v>415</v>
      </c>
      <c r="B906">
        <v>410470027012</v>
      </c>
      <c r="C906">
        <v>1.3325000000000001E-4</v>
      </c>
    </row>
    <row r="907" spans="1:3" x14ac:dyDescent="0.25">
      <c r="A907">
        <v>416</v>
      </c>
      <c r="B907">
        <v>410470027011</v>
      </c>
      <c r="C907">
        <v>0.94259462999999999</v>
      </c>
    </row>
    <row r="908" spans="1:3" x14ac:dyDescent="0.25">
      <c r="A908">
        <v>416</v>
      </c>
      <c r="B908">
        <v>410470027012</v>
      </c>
      <c r="C908">
        <v>5.7405369999999997E-2</v>
      </c>
    </row>
    <row r="909" spans="1:3" x14ac:dyDescent="0.25">
      <c r="A909">
        <v>417</v>
      </c>
      <c r="B909">
        <v>410470027011</v>
      </c>
      <c r="C909">
        <v>9.9955370000000002E-2</v>
      </c>
    </row>
    <row r="910" spans="1:3" x14ac:dyDescent="0.25">
      <c r="A910">
        <v>417</v>
      </c>
      <c r="B910">
        <v>410470027012</v>
      </c>
      <c r="C910">
        <v>0.89677414</v>
      </c>
    </row>
    <row r="911" spans="1:3" x14ac:dyDescent="0.25">
      <c r="A911">
        <v>417</v>
      </c>
      <c r="B911">
        <v>410470027013</v>
      </c>
      <c r="C911">
        <v>3.2705E-3</v>
      </c>
    </row>
    <row r="912" spans="1:3" x14ac:dyDescent="0.25">
      <c r="A912">
        <v>418</v>
      </c>
      <c r="B912">
        <v>410470027011</v>
      </c>
      <c r="C912">
        <v>0.92401685999999994</v>
      </c>
    </row>
    <row r="913" spans="1:3" x14ac:dyDescent="0.25">
      <c r="A913">
        <v>418</v>
      </c>
      <c r="B913">
        <v>410470027021</v>
      </c>
      <c r="C913">
        <v>7.5983149999999999E-2</v>
      </c>
    </row>
    <row r="914" spans="1:3" x14ac:dyDescent="0.25">
      <c r="A914">
        <v>419</v>
      </c>
      <c r="B914">
        <v>410470018032</v>
      </c>
      <c r="C914">
        <v>3.7160000000000003E-5</v>
      </c>
    </row>
    <row r="915" spans="1:3" x14ac:dyDescent="0.25">
      <c r="A915">
        <v>419</v>
      </c>
      <c r="B915">
        <v>410470027011</v>
      </c>
      <c r="C915">
        <v>7.2300000000000002E-6</v>
      </c>
    </row>
    <row r="916" spans="1:3" x14ac:dyDescent="0.25">
      <c r="A916">
        <v>419</v>
      </c>
      <c r="B916">
        <v>410470027012</v>
      </c>
      <c r="C916">
        <v>7.6712400000000002E-3</v>
      </c>
    </row>
    <row r="917" spans="1:3" x14ac:dyDescent="0.25">
      <c r="A917">
        <v>419</v>
      </c>
      <c r="B917">
        <v>410470027013</v>
      </c>
      <c r="C917">
        <v>0.99228437000000003</v>
      </c>
    </row>
    <row r="918" spans="1:3" x14ac:dyDescent="0.25">
      <c r="A918">
        <v>420</v>
      </c>
      <c r="B918">
        <v>410470018032</v>
      </c>
      <c r="C918">
        <v>3.6586000000000002E-4</v>
      </c>
    </row>
    <row r="919" spans="1:3" x14ac:dyDescent="0.25">
      <c r="A919">
        <v>420</v>
      </c>
      <c r="B919">
        <v>410470027013</v>
      </c>
      <c r="C919">
        <v>0.99963042999999996</v>
      </c>
    </row>
    <row r="920" spans="1:3" x14ac:dyDescent="0.25">
      <c r="A920">
        <v>420</v>
      </c>
      <c r="B920">
        <v>410470028002</v>
      </c>
      <c r="C920">
        <v>3.7000000000000002E-6</v>
      </c>
    </row>
    <row r="921" spans="1:3" x14ac:dyDescent="0.25">
      <c r="A921">
        <v>421</v>
      </c>
      <c r="B921">
        <v>410470020022</v>
      </c>
      <c r="C921">
        <v>3.4507599999999998E-3</v>
      </c>
    </row>
    <row r="922" spans="1:3" x14ac:dyDescent="0.25">
      <c r="A922">
        <v>421</v>
      </c>
      <c r="B922">
        <v>410470023044</v>
      </c>
      <c r="C922">
        <v>8.1155000000000008E-4</v>
      </c>
    </row>
    <row r="923" spans="1:3" x14ac:dyDescent="0.25">
      <c r="A923">
        <v>421</v>
      </c>
      <c r="B923">
        <v>410470027013</v>
      </c>
      <c r="C923">
        <v>4.8380300000000001E-3</v>
      </c>
    </row>
    <row r="924" spans="1:3" x14ac:dyDescent="0.25">
      <c r="A924">
        <v>421</v>
      </c>
      <c r="B924">
        <v>410470028002</v>
      </c>
      <c r="C924">
        <v>0.99089967000000001</v>
      </c>
    </row>
    <row r="925" spans="1:3" x14ac:dyDescent="0.25">
      <c r="A925">
        <v>422</v>
      </c>
      <c r="B925">
        <v>410470023041</v>
      </c>
      <c r="C925">
        <v>9.9727999999999991E-4</v>
      </c>
    </row>
    <row r="926" spans="1:3" x14ac:dyDescent="0.25">
      <c r="A926">
        <v>422</v>
      </c>
      <c r="B926">
        <v>410470028001</v>
      </c>
      <c r="C926">
        <v>4.0097E-4</v>
      </c>
    </row>
    <row r="927" spans="1:3" x14ac:dyDescent="0.25">
      <c r="A927">
        <v>422</v>
      </c>
      <c r="B927">
        <v>410470028002</v>
      </c>
      <c r="C927">
        <v>0.99860166000000006</v>
      </c>
    </row>
    <row r="928" spans="1:3" x14ac:dyDescent="0.25">
      <c r="A928">
        <v>423</v>
      </c>
      <c r="B928">
        <v>410470023012</v>
      </c>
      <c r="C928">
        <v>6.0530000000000005E-5</v>
      </c>
    </row>
    <row r="929" spans="1:3" x14ac:dyDescent="0.25">
      <c r="A929">
        <v>423</v>
      </c>
      <c r="B929">
        <v>410470023041</v>
      </c>
      <c r="C929">
        <v>4.1766999999999998E-4</v>
      </c>
    </row>
    <row r="930" spans="1:3" x14ac:dyDescent="0.25">
      <c r="A930">
        <v>423</v>
      </c>
      <c r="B930">
        <v>410470028001</v>
      </c>
      <c r="C930">
        <v>1.1916370000000001E-2</v>
      </c>
    </row>
    <row r="931" spans="1:3" x14ac:dyDescent="0.25">
      <c r="A931">
        <v>423</v>
      </c>
      <c r="B931">
        <v>410470028002</v>
      </c>
      <c r="C931">
        <v>0.98760543000000001</v>
      </c>
    </row>
    <row r="932" spans="1:3" x14ac:dyDescent="0.25">
      <c r="A932">
        <v>424</v>
      </c>
      <c r="B932">
        <v>410470028001</v>
      </c>
      <c r="C932">
        <v>0.99809039999999993</v>
      </c>
    </row>
    <row r="933" spans="1:3" x14ac:dyDescent="0.25">
      <c r="A933">
        <v>424</v>
      </c>
      <c r="B933">
        <v>410470028002</v>
      </c>
      <c r="C933">
        <v>3.612E-5</v>
      </c>
    </row>
    <row r="934" spans="1:3" x14ac:dyDescent="0.25">
      <c r="A934">
        <v>424</v>
      </c>
      <c r="B934">
        <v>410470108022</v>
      </c>
      <c r="C934">
        <v>1.8734899999999998E-3</v>
      </c>
    </row>
    <row r="935" spans="1:3" x14ac:dyDescent="0.25">
      <c r="A935">
        <v>426</v>
      </c>
      <c r="B935">
        <v>410470023041</v>
      </c>
      <c r="C935">
        <v>0.91299173999999994</v>
      </c>
    </row>
    <row r="936" spans="1:3" x14ac:dyDescent="0.25">
      <c r="A936">
        <v>426</v>
      </c>
      <c r="B936">
        <v>410470023044</v>
      </c>
      <c r="C936">
        <v>2.6450000000000003E-5</v>
      </c>
    </row>
    <row r="937" spans="1:3" x14ac:dyDescent="0.25">
      <c r="A937">
        <v>426</v>
      </c>
      <c r="B937">
        <v>410470028002</v>
      </c>
      <c r="C937">
        <v>8.6981780000000009E-2</v>
      </c>
    </row>
    <row r="938" spans="1:3" x14ac:dyDescent="0.25">
      <c r="A938">
        <v>427</v>
      </c>
      <c r="B938">
        <v>410470023012</v>
      </c>
      <c r="C938">
        <v>1.7198000000000002E-4</v>
      </c>
    </row>
    <row r="939" spans="1:3" x14ac:dyDescent="0.25">
      <c r="A939">
        <v>427</v>
      </c>
      <c r="B939">
        <v>410470023041</v>
      </c>
      <c r="C939">
        <v>0.9914634200000001</v>
      </c>
    </row>
    <row r="940" spans="1:3" x14ac:dyDescent="0.25">
      <c r="A940">
        <v>427</v>
      </c>
      <c r="B940">
        <v>410470028002</v>
      </c>
      <c r="C940">
        <v>8.36457E-3</v>
      </c>
    </row>
    <row r="941" spans="1:3" x14ac:dyDescent="0.25">
      <c r="A941">
        <v>428</v>
      </c>
      <c r="B941">
        <v>410470023012</v>
      </c>
      <c r="C941">
        <v>0.97951701999999996</v>
      </c>
    </row>
    <row r="942" spans="1:3" x14ac:dyDescent="0.25">
      <c r="A942">
        <v>428</v>
      </c>
      <c r="B942">
        <v>410470023041</v>
      </c>
      <c r="C942">
        <v>1.2722000000000002E-4</v>
      </c>
    </row>
    <row r="943" spans="1:3" x14ac:dyDescent="0.25">
      <c r="A943">
        <v>428</v>
      </c>
      <c r="B943">
        <v>410470024002</v>
      </c>
      <c r="C943">
        <v>8.3580999999999998E-4</v>
      </c>
    </row>
    <row r="944" spans="1:3" x14ac:dyDescent="0.25">
      <c r="A944">
        <v>428</v>
      </c>
      <c r="B944">
        <v>410470028002</v>
      </c>
      <c r="C944">
        <v>1.9519979999999999E-2</v>
      </c>
    </row>
    <row r="945" spans="1:3" x14ac:dyDescent="0.25">
      <c r="A945">
        <v>429</v>
      </c>
      <c r="B945">
        <v>410470023011</v>
      </c>
      <c r="C945">
        <v>7.0028000000000006E-4</v>
      </c>
    </row>
    <row r="946" spans="1:3" x14ac:dyDescent="0.25">
      <c r="A946">
        <v>429</v>
      </c>
      <c r="B946">
        <v>410470023012</v>
      </c>
      <c r="C946">
        <v>0.99735018999999991</v>
      </c>
    </row>
    <row r="947" spans="1:3" x14ac:dyDescent="0.25">
      <c r="A947">
        <v>429</v>
      </c>
      <c r="B947">
        <v>410470023031</v>
      </c>
      <c r="C947">
        <v>4.5365000000000005E-4</v>
      </c>
    </row>
    <row r="948" spans="1:3" x14ac:dyDescent="0.25">
      <c r="A948">
        <v>429</v>
      </c>
      <c r="B948">
        <v>410470023041</v>
      </c>
      <c r="C948">
        <v>5.1216999999999994E-4</v>
      </c>
    </row>
    <row r="949" spans="1:3" x14ac:dyDescent="0.25">
      <c r="A949">
        <v>429</v>
      </c>
      <c r="B949">
        <v>410470024002</v>
      </c>
      <c r="C949">
        <v>9.8374000000000009E-4</v>
      </c>
    </row>
    <row r="950" spans="1:3" x14ac:dyDescent="0.25">
      <c r="A950">
        <v>430</v>
      </c>
      <c r="B950">
        <v>410470023012</v>
      </c>
      <c r="C950">
        <v>9.0362999999999999E-4</v>
      </c>
    </row>
    <row r="951" spans="1:3" x14ac:dyDescent="0.25">
      <c r="A951">
        <v>430</v>
      </c>
      <c r="B951">
        <v>410470024002</v>
      </c>
      <c r="C951">
        <v>0.99600966999999996</v>
      </c>
    </row>
    <row r="952" spans="1:3" x14ac:dyDescent="0.25">
      <c r="A952">
        <v>430</v>
      </c>
      <c r="B952">
        <v>410470028002</v>
      </c>
      <c r="C952">
        <v>3.0866800000000001E-3</v>
      </c>
    </row>
    <row r="953" spans="1:3" x14ac:dyDescent="0.25">
      <c r="A953">
        <v>431</v>
      </c>
      <c r="B953">
        <v>410470024001</v>
      </c>
      <c r="C953">
        <v>2.1659000000000001E-4</v>
      </c>
    </row>
    <row r="954" spans="1:3" x14ac:dyDescent="0.25">
      <c r="A954">
        <v>431</v>
      </c>
      <c r="B954">
        <v>410470024002</v>
      </c>
      <c r="C954">
        <v>0.99636737999999991</v>
      </c>
    </row>
    <row r="955" spans="1:3" x14ac:dyDescent="0.25">
      <c r="A955">
        <v>431</v>
      </c>
      <c r="B955">
        <v>410470028001</v>
      </c>
      <c r="C955">
        <v>3.1732800000000001E-3</v>
      </c>
    </row>
    <row r="956" spans="1:3" x14ac:dyDescent="0.25">
      <c r="A956">
        <v>431</v>
      </c>
      <c r="B956">
        <v>410470028002</v>
      </c>
      <c r="C956">
        <v>2.4274E-4</v>
      </c>
    </row>
    <row r="957" spans="1:3" x14ac:dyDescent="0.25">
      <c r="A957">
        <v>432</v>
      </c>
      <c r="B957">
        <v>410470024002</v>
      </c>
      <c r="C957">
        <v>0.99924447999999999</v>
      </c>
    </row>
    <row r="958" spans="1:3" x14ac:dyDescent="0.25">
      <c r="A958">
        <v>432</v>
      </c>
      <c r="B958">
        <v>410470028001</v>
      </c>
      <c r="C958">
        <v>3.4882999999999995E-4</v>
      </c>
    </row>
    <row r="959" spans="1:3" x14ac:dyDescent="0.25">
      <c r="A959">
        <v>432</v>
      </c>
      <c r="B959">
        <v>410530053021</v>
      </c>
      <c r="C959">
        <v>4.0668999999999997E-4</v>
      </c>
    </row>
    <row r="960" spans="1:3" x14ac:dyDescent="0.25">
      <c r="A960">
        <v>433</v>
      </c>
      <c r="B960">
        <v>410470024001</v>
      </c>
      <c r="C960">
        <v>2.1051529999999999E-2</v>
      </c>
    </row>
    <row r="961" spans="1:3" x14ac:dyDescent="0.25">
      <c r="A961">
        <v>433</v>
      </c>
      <c r="B961">
        <v>410470024002</v>
      </c>
      <c r="C961">
        <v>0.97894848000000001</v>
      </c>
    </row>
    <row r="962" spans="1:3" x14ac:dyDescent="0.25">
      <c r="A962">
        <v>434</v>
      </c>
      <c r="B962">
        <v>410470024001</v>
      </c>
      <c r="C962">
        <v>0.98830202</v>
      </c>
    </row>
    <row r="963" spans="1:3" x14ac:dyDescent="0.25">
      <c r="A963">
        <v>434</v>
      </c>
      <c r="B963">
        <v>410470024002</v>
      </c>
      <c r="C963">
        <v>1.169799E-2</v>
      </c>
    </row>
    <row r="964" spans="1:3" x14ac:dyDescent="0.25">
      <c r="A964">
        <v>435</v>
      </c>
      <c r="B964">
        <v>410470013001</v>
      </c>
      <c r="C964">
        <v>6.9859119999999997E-2</v>
      </c>
    </row>
    <row r="965" spans="1:3" x14ac:dyDescent="0.25">
      <c r="A965">
        <v>435</v>
      </c>
      <c r="B965">
        <v>410470024001</v>
      </c>
      <c r="C965">
        <v>5.4541880000000001E-2</v>
      </c>
    </row>
    <row r="966" spans="1:3" x14ac:dyDescent="0.25">
      <c r="A966">
        <v>435</v>
      </c>
      <c r="B966">
        <v>410470024002</v>
      </c>
      <c r="C966">
        <v>0.87459102</v>
      </c>
    </row>
    <row r="967" spans="1:3" x14ac:dyDescent="0.25">
      <c r="A967">
        <v>435</v>
      </c>
      <c r="B967">
        <v>410530052041</v>
      </c>
      <c r="C967">
        <v>8.1961999999999996E-4</v>
      </c>
    </row>
    <row r="968" spans="1:3" x14ac:dyDescent="0.25">
      <c r="A968">
        <v>435</v>
      </c>
      <c r="B968">
        <v>410530053021</v>
      </c>
      <c r="C968">
        <v>1.8835999999999999E-4</v>
      </c>
    </row>
    <row r="969" spans="1:3" x14ac:dyDescent="0.25">
      <c r="A969">
        <v>436</v>
      </c>
      <c r="B969">
        <v>410470002002</v>
      </c>
      <c r="C969">
        <v>2.7853099999999996E-3</v>
      </c>
    </row>
    <row r="970" spans="1:3" x14ac:dyDescent="0.25">
      <c r="A970">
        <v>436</v>
      </c>
      <c r="B970">
        <v>410470013001</v>
      </c>
      <c r="C970">
        <v>0.98905140999999996</v>
      </c>
    </row>
    <row r="971" spans="1:3" x14ac:dyDescent="0.25">
      <c r="A971">
        <v>436</v>
      </c>
      <c r="B971">
        <v>410470013002</v>
      </c>
      <c r="C971">
        <v>1.1549999999999999E-4</v>
      </c>
    </row>
    <row r="972" spans="1:3" x14ac:dyDescent="0.25">
      <c r="A972">
        <v>436</v>
      </c>
      <c r="B972">
        <v>410470024001</v>
      </c>
      <c r="C972">
        <v>1.8350000000000002E-4</v>
      </c>
    </row>
    <row r="973" spans="1:3" x14ac:dyDescent="0.25">
      <c r="A973">
        <v>436</v>
      </c>
      <c r="B973">
        <v>410470024002</v>
      </c>
      <c r="C973">
        <v>2.49074E-3</v>
      </c>
    </row>
    <row r="974" spans="1:3" x14ac:dyDescent="0.25">
      <c r="A974">
        <v>436</v>
      </c>
      <c r="B974">
        <v>410530052041</v>
      </c>
      <c r="C974">
        <v>5.3735399999999996E-3</v>
      </c>
    </row>
    <row r="975" spans="1:3" x14ac:dyDescent="0.25">
      <c r="A975">
        <v>437</v>
      </c>
      <c r="B975">
        <v>410470028001</v>
      </c>
      <c r="C975">
        <v>0.84934692000000001</v>
      </c>
    </row>
    <row r="976" spans="1:3" x14ac:dyDescent="0.25">
      <c r="A976">
        <v>437</v>
      </c>
      <c r="B976">
        <v>410470028002</v>
      </c>
      <c r="C976">
        <v>0.14878525000000001</v>
      </c>
    </row>
    <row r="977" spans="1:3" x14ac:dyDescent="0.25">
      <c r="A977">
        <v>437</v>
      </c>
      <c r="B977">
        <v>410470108022</v>
      </c>
      <c r="C977">
        <v>1.86783E-3</v>
      </c>
    </row>
    <row r="978" spans="1:3" x14ac:dyDescent="0.25">
      <c r="A978">
        <v>439</v>
      </c>
      <c r="B978">
        <v>410470003001</v>
      </c>
      <c r="C978">
        <v>0.92411764000000007</v>
      </c>
    </row>
    <row r="979" spans="1:3" x14ac:dyDescent="0.25">
      <c r="A979">
        <v>439</v>
      </c>
      <c r="B979">
        <v>410470004003</v>
      </c>
      <c r="C979">
        <v>7.5882379999999999E-2</v>
      </c>
    </row>
    <row r="980" spans="1:3" x14ac:dyDescent="0.25">
      <c r="A980">
        <v>442</v>
      </c>
      <c r="B980">
        <v>410470013001</v>
      </c>
      <c r="C980">
        <v>0.99995411000000001</v>
      </c>
    </row>
    <row r="981" spans="1:3" x14ac:dyDescent="0.25">
      <c r="A981">
        <v>442</v>
      </c>
      <c r="B981">
        <v>410470013003</v>
      </c>
      <c r="C981">
        <v>4.5939999999999997E-5</v>
      </c>
    </row>
    <row r="982" spans="1:3" x14ac:dyDescent="0.25">
      <c r="A982">
        <v>443</v>
      </c>
      <c r="B982">
        <v>410470025021</v>
      </c>
      <c r="C982">
        <v>0.99999988000000006</v>
      </c>
    </row>
    <row r="983" spans="1:3" x14ac:dyDescent="0.25">
      <c r="A983">
        <v>444</v>
      </c>
      <c r="B983">
        <v>410470025021</v>
      </c>
      <c r="C983">
        <v>0.99999996999999996</v>
      </c>
    </row>
    <row r="984" spans="1:3" x14ac:dyDescent="0.25">
      <c r="A984">
        <v>447</v>
      </c>
      <c r="B984">
        <v>410530052051</v>
      </c>
      <c r="C984">
        <v>3.1584000000000001E-4</v>
      </c>
    </row>
    <row r="985" spans="1:3" x14ac:dyDescent="0.25">
      <c r="A985">
        <v>447</v>
      </c>
      <c r="B985">
        <v>410530052053</v>
      </c>
      <c r="C985">
        <v>8.2216599999999987E-3</v>
      </c>
    </row>
    <row r="986" spans="1:3" x14ac:dyDescent="0.25">
      <c r="A986">
        <v>447</v>
      </c>
      <c r="B986">
        <v>410530052061</v>
      </c>
      <c r="C986">
        <v>0.98954103999999998</v>
      </c>
    </row>
    <row r="987" spans="1:3" x14ac:dyDescent="0.25">
      <c r="A987">
        <v>447</v>
      </c>
      <c r="B987">
        <v>410530053012</v>
      </c>
      <c r="C987">
        <v>1.9214700000000002E-3</v>
      </c>
    </row>
    <row r="988" spans="1:3" x14ac:dyDescent="0.25">
      <c r="A988">
        <v>450</v>
      </c>
      <c r="B988">
        <v>410470027013</v>
      </c>
      <c r="C988">
        <v>6.65841E-3</v>
      </c>
    </row>
    <row r="989" spans="1:3" x14ac:dyDescent="0.25">
      <c r="A989">
        <v>450</v>
      </c>
      <c r="B989">
        <v>410470028001</v>
      </c>
      <c r="C989">
        <v>1.4845500000000001E-3</v>
      </c>
    </row>
    <row r="990" spans="1:3" x14ac:dyDescent="0.25">
      <c r="A990">
        <v>450</v>
      </c>
      <c r="B990">
        <v>410470028002</v>
      </c>
      <c r="C990">
        <v>0.9918570699999999</v>
      </c>
    </row>
    <row r="991" spans="1:3" x14ac:dyDescent="0.25">
      <c r="A991">
        <v>451</v>
      </c>
      <c r="B991">
        <v>410470018032</v>
      </c>
      <c r="C991">
        <v>0.46261152000000005</v>
      </c>
    </row>
    <row r="992" spans="1:3" x14ac:dyDescent="0.25">
      <c r="A992">
        <v>451</v>
      </c>
      <c r="B992">
        <v>410470027013</v>
      </c>
      <c r="C992">
        <v>0.53738850000000005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A852-44C0-4701-9A10-9EDD34F33151}">
  <dimension ref="A1:C602"/>
  <sheetViews>
    <sheetView workbookViewId="0">
      <selection activeCell="H25" sqref="H25"/>
    </sheetView>
  </sheetViews>
  <sheetFormatPr defaultRowHeight="15" x14ac:dyDescent="0.25"/>
  <cols>
    <col min="1" max="1" width="18.5703125" customWidth="1"/>
    <col min="2" max="2" width="32.140625" customWidth="1"/>
    <col min="3" max="3" width="23.140625" customWidth="1"/>
  </cols>
  <sheetData>
    <row r="1" spans="1:3" x14ac:dyDescent="0.25">
      <c r="A1" t="s">
        <v>11</v>
      </c>
      <c r="B1" t="s">
        <v>31</v>
      </c>
      <c r="C1" t="s">
        <v>17</v>
      </c>
    </row>
    <row r="2" spans="1:3" x14ac:dyDescent="0.25">
      <c r="A2">
        <v>61</v>
      </c>
      <c r="B2">
        <v>41047000200</v>
      </c>
      <c r="C2">
        <v>5.2061699999999995E-3</v>
      </c>
    </row>
    <row r="3" spans="1:3" x14ac:dyDescent="0.25">
      <c r="A3">
        <v>227</v>
      </c>
      <c r="B3">
        <v>41047000200</v>
      </c>
      <c r="C3">
        <v>6.0114000000000001E-4</v>
      </c>
    </row>
    <row r="4" spans="1:3" x14ac:dyDescent="0.25">
      <c r="A4">
        <v>232</v>
      </c>
      <c r="B4">
        <v>41047000200</v>
      </c>
      <c r="C4">
        <v>4.2450000000000002E-4</v>
      </c>
    </row>
    <row r="5" spans="1:3" x14ac:dyDescent="0.25">
      <c r="A5">
        <v>238</v>
      </c>
      <c r="B5">
        <v>41047000200</v>
      </c>
      <c r="C5">
        <v>0.20511009999999999</v>
      </c>
    </row>
    <row r="6" spans="1:3" x14ac:dyDescent="0.25">
      <c r="A6">
        <v>242</v>
      </c>
      <c r="B6">
        <v>41047000200</v>
      </c>
      <c r="C6">
        <v>2.8561999999999999E-4</v>
      </c>
    </row>
    <row r="7" spans="1:3" x14ac:dyDescent="0.25">
      <c r="A7">
        <v>245</v>
      </c>
      <c r="B7">
        <v>41047000200</v>
      </c>
      <c r="C7">
        <v>3.8739000000000004E-4</v>
      </c>
    </row>
    <row r="8" spans="1:3" x14ac:dyDescent="0.25">
      <c r="A8">
        <v>246</v>
      </c>
      <c r="B8">
        <v>41047000200</v>
      </c>
      <c r="C8">
        <v>0.12336830000000001</v>
      </c>
    </row>
    <row r="9" spans="1:3" x14ac:dyDescent="0.25">
      <c r="A9">
        <v>249</v>
      </c>
      <c r="B9">
        <v>41047000200</v>
      </c>
      <c r="C9">
        <v>0.32786019999999999</v>
      </c>
    </row>
    <row r="10" spans="1:3" x14ac:dyDescent="0.25">
      <c r="A10">
        <v>254</v>
      </c>
      <c r="B10">
        <v>41047000200</v>
      </c>
      <c r="C10">
        <v>1.7878199999999999E-3</v>
      </c>
    </row>
    <row r="11" spans="1:3" x14ac:dyDescent="0.25">
      <c r="A11">
        <v>256</v>
      </c>
      <c r="B11">
        <v>41047000200</v>
      </c>
      <c r="C11">
        <v>9.9514999999999998E-4</v>
      </c>
    </row>
    <row r="12" spans="1:3" x14ac:dyDescent="0.25">
      <c r="A12">
        <v>259</v>
      </c>
      <c r="B12">
        <v>41047000200</v>
      </c>
      <c r="C12">
        <v>1.78218E-3</v>
      </c>
    </row>
    <row r="13" spans="1:3" x14ac:dyDescent="0.25">
      <c r="A13">
        <v>260</v>
      </c>
      <c r="B13">
        <v>41047000200</v>
      </c>
      <c r="C13">
        <v>0.12466097</v>
      </c>
    </row>
    <row r="14" spans="1:3" x14ac:dyDescent="0.25">
      <c r="A14">
        <v>261</v>
      </c>
      <c r="B14">
        <v>41047000200</v>
      </c>
      <c r="C14">
        <v>0.16023509</v>
      </c>
    </row>
    <row r="15" spans="1:3" x14ac:dyDescent="0.25">
      <c r="A15">
        <v>279</v>
      </c>
      <c r="B15">
        <v>41047000200</v>
      </c>
      <c r="C15">
        <v>1.1089310000000002E-2</v>
      </c>
    </row>
    <row r="16" spans="1:3" x14ac:dyDescent="0.25">
      <c r="A16">
        <v>280</v>
      </c>
      <c r="B16">
        <v>41047000200</v>
      </c>
      <c r="C16">
        <v>1.3455870000000002E-2</v>
      </c>
    </row>
    <row r="17" spans="1:3" x14ac:dyDescent="0.25">
      <c r="A17">
        <v>281</v>
      </c>
      <c r="B17">
        <v>41047000200</v>
      </c>
      <c r="C17">
        <v>1.7301270000000001E-2</v>
      </c>
    </row>
    <row r="18" spans="1:3" x14ac:dyDescent="0.25">
      <c r="A18">
        <v>309</v>
      </c>
      <c r="B18">
        <v>41047000200</v>
      </c>
      <c r="C18">
        <v>4.7500999999999999E-4</v>
      </c>
    </row>
    <row r="19" spans="1:3" x14ac:dyDescent="0.25">
      <c r="A19">
        <v>310</v>
      </c>
      <c r="B19">
        <v>41047000200</v>
      </c>
      <c r="C19">
        <v>1.20521E-3</v>
      </c>
    </row>
    <row r="20" spans="1:3" x14ac:dyDescent="0.25">
      <c r="A20">
        <v>436</v>
      </c>
      <c r="B20">
        <v>41047000200</v>
      </c>
      <c r="C20">
        <v>3.7686999999999998E-3</v>
      </c>
    </row>
    <row r="21" spans="1:3" x14ac:dyDescent="0.25">
      <c r="A21">
        <v>43</v>
      </c>
      <c r="B21">
        <v>41047000300</v>
      </c>
      <c r="C21">
        <v>7.828110000000001E-3</v>
      </c>
    </row>
    <row r="22" spans="1:3" x14ac:dyDescent="0.25">
      <c r="A22">
        <v>61</v>
      </c>
      <c r="B22">
        <v>41047000300</v>
      </c>
      <c r="C22">
        <v>3.2768000000000001E-4</v>
      </c>
    </row>
    <row r="23" spans="1:3" x14ac:dyDescent="0.25">
      <c r="A23">
        <v>220</v>
      </c>
      <c r="B23">
        <v>41047000300</v>
      </c>
      <c r="C23">
        <v>2.8470999999999998E-4</v>
      </c>
    </row>
    <row r="24" spans="1:3" x14ac:dyDescent="0.25">
      <c r="A24">
        <v>226</v>
      </c>
      <c r="B24">
        <v>41047000300</v>
      </c>
      <c r="C24">
        <v>1.8321839999999999E-2</v>
      </c>
    </row>
    <row r="25" spans="1:3" x14ac:dyDescent="0.25">
      <c r="A25">
        <v>227</v>
      </c>
      <c r="B25">
        <v>41047000300</v>
      </c>
      <c r="C25">
        <v>0.30108917000000002</v>
      </c>
    </row>
    <row r="26" spans="1:3" x14ac:dyDescent="0.25">
      <c r="A26">
        <v>229</v>
      </c>
      <c r="B26">
        <v>41047000300</v>
      </c>
      <c r="C26">
        <v>1.0925999999999999E-4</v>
      </c>
    </row>
    <row r="27" spans="1:3" x14ac:dyDescent="0.25">
      <c r="A27">
        <v>230</v>
      </c>
      <c r="B27">
        <v>41047000300</v>
      </c>
      <c r="C27">
        <v>3.6870000000000004E-5</v>
      </c>
    </row>
    <row r="28" spans="1:3" x14ac:dyDescent="0.25">
      <c r="A28">
        <v>231</v>
      </c>
      <c r="B28">
        <v>41047000300</v>
      </c>
      <c r="C28">
        <v>6.7068559999999999E-2</v>
      </c>
    </row>
    <row r="29" spans="1:3" x14ac:dyDescent="0.25">
      <c r="A29">
        <v>232</v>
      </c>
      <c r="B29">
        <v>41047000300</v>
      </c>
      <c r="C29">
        <v>0.24292875</v>
      </c>
    </row>
    <row r="30" spans="1:3" x14ac:dyDescent="0.25">
      <c r="A30">
        <v>233</v>
      </c>
      <c r="B30">
        <v>41047000300</v>
      </c>
      <c r="C30">
        <v>8.4675960000000008E-2</v>
      </c>
    </row>
    <row r="31" spans="1:3" x14ac:dyDescent="0.25">
      <c r="A31">
        <v>234</v>
      </c>
      <c r="B31">
        <v>41047000300</v>
      </c>
      <c r="C31">
        <v>5.1371570000000005E-2</v>
      </c>
    </row>
    <row r="32" spans="1:3" x14ac:dyDescent="0.25">
      <c r="A32">
        <v>235</v>
      </c>
      <c r="B32">
        <v>41047000300</v>
      </c>
      <c r="C32">
        <v>6.9249000000000003E-4</v>
      </c>
    </row>
    <row r="33" spans="1:3" x14ac:dyDescent="0.25">
      <c r="A33">
        <v>236</v>
      </c>
      <c r="B33">
        <v>41047000300</v>
      </c>
      <c r="C33">
        <v>3.5124300000000004E-3</v>
      </c>
    </row>
    <row r="34" spans="1:3" x14ac:dyDescent="0.25">
      <c r="A34">
        <v>238</v>
      </c>
      <c r="B34">
        <v>41047000300</v>
      </c>
      <c r="C34">
        <v>1.6173530000000002E-2</v>
      </c>
    </row>
    <row r="35" spans="1:3" x14ac:dyDescent="0.25">
      <c r="A35">
        <v>242</v>
      </c>
      <c r="B35">
        <v>41047000300</v>
      </c>
      <c r="C35">
        <v>0.17886192000000001</v>
      </c>
    </row>
    <row r="36" spans="1:3" x14ac:dyDescent="0.25">
      <c r="A36">
        <v>243</v>
      </c>
      <c r="B36">
        <v>41047000300</v>
      </c>
      <c r="C36">
        <v>4.8129899999999996E-3</v>
      </c>
    </row>
    <row r="37" spans="1:3" x14ac:dyDescent="0.25">
      <c r="A37">
        <v>244</v>
      </c>
      <c r="B37">
        <v>41047000300</v>
      </c>
      <c r="C37">
        <v>9.7101000000000002E-4</v>
      </c>
    </row>
    <row r="38" spans="1:3" x14ac:dyDescent="0.25">
      <c r="A38">
        <v>439</v>
      </c>
      <c r="B38">
        <v>41047000300</v>
      </c>
      <c r="C38">
        <v>2.0954109999999998E-2</v>
      </c>
    </row>
    <row r="39" spans="1:3" x14ac:dyDescent="0.25">
      <c r="A39">
        <v>43</v>
      </c>
      <c r="B39">
        <v>41047000400</v>
      </c>
      <c r="C39">
        <v>1.8360000000000002E-4</v>
      </c>
    </row>
    <row r="40" spans="1:3" x14ac:dyDescent="0.25">
      <c r="A40">
        <v>118</v>
      </c>
      <c r="B40">
        <v>41047000400</v>
      </c>
      <c r="C40">
        <v>8.0879999999999998E-5</v>
      </c>
    </row>
    <row r="41" spans="1:3" x14ac:dyDescent="0.25">
      <c r="A41">
        <v>120</v>
      </c>
      <c r="B41">
        <v>41047000400</v>
      </c>
      <c r="C41">
        <v>4.4838500000000002E-3</v>
      </c>
    </row>
    <row r="42" spans="1:3" x14ac:dyDescent="0.25">
      <c r="A42">
        <v>124</v>
      </c>
      <c r="B42">
        <v>41047000400</v>
      </c>
      <c r="C42">
        <v>8.2975300000000002E-2</v>
      </c>
    </row>
    <row r="43" spans="1:3" x14ac:dyDescent="0.25">
      <c r="A43">
        <v>125</v>
      </c>
      <c r="B43">
        <v>41047000400</v>
      </c>
      <c r="C43">
        <v>5.8046319999999998E-2</v>
      </c>
    </row>
    <row r="44" spans="1:3" x14ac:dyDescent="0.25">
      <c r="A44">
        <v>126</v>
      </c>
      <c r="B44">
        <v>41047000400</v>
      </c>
      <c r="C44">
        <v>3.5505290000000002E-2</v>
      </c>
    </row>
    <row r="45" spans="1:3" x14ac:dyDescent="0.25">
      <c r="A45">
        <v>128</v>
      </c>
      <c r="B45">
        <v>41047000400</v>
      </c>
      <c r="C45">
        <v>8.9593999999999991E-4</v>
      </c>
    </row>
    <row r="46" spans="1:3" x14ac:dyDescent="0.25">
      <c r="A46">
        <v>144</v>
      </c>
      <c r="B46">
        <v>41047000400</v>
      </c>
      <c r="C46">
        <v>1.24E-6</v>
      </c>
    </row>
    <row r="47" spans="1:3" x14ac:dyDescent="0.25">
      <c r="A47">
        <v>211</v>
      </c>
      <c r="B47">
        <v>41047000400</v>
      </c>
      <c r="C47">
        <v>9.2424400000000004E-2</v>
      </c>
    </row>
    <row r="48" spans="1:3" x14ac:dyDescent="0.25">
      <c r="A48">
        <v>212</v>
      </c>
      <c r="B48">
        <v>41047000400</v>
      </c>
      <c r="C48">
        <v>7.2026289999999993E-2</v>
      </c>
    </row>
    <row r="49" spans="1:3" x14ac:dyDescent="0.25">
      <c r="A49">
        <v>213</v>
      </c>
      <c r="B49">
        <v>41047000400</v>
      </c>
      <c r="C49">
        <v>6.5460000000000008E-4</v>
      </c>
    </row>
    <row r="50" spans="1:3" x14ac:dyDescent="0.25">
      <c r="A50">
        <v>220</v>
      </c>
      <c r="B50">
        <v>41047000400</v>
      </c>
      <c r="C50">
        <v>8.3892609999999992E-2</v>
      </c>
    </row>
    <row r="51" spans="1:3" x14ac:dyDescent="0.25">
      <c r="A51">
        <v>221</v>
      </c>
      <c r="B51">
        <v>41047000400</v>
      </c>
      <c r="C51">
        <v>0.15182174000000001</v>
      </c>
    </row>
    <row r="52" spans="1:3" x14ac:dyDescent="0.25">
      <c r="A52">
        <v>222</v>
      </c>
      <c r="B52">
        <v>41047000400</v>
      </c>
      <c r="C52">
        <v>2.2896390000000003E-2</v>
      </c>
    </row>
    <row r="53" spans="1:3" x14ac:dyDescent="0.25">
      <c r="A53">
        <v>223</v>
      </c>
      <c r="B53">
        <v>41047000400</v>
      </c>
      <c r="C53">
        <v>8.2698009999999988E-2</v>
      </c>
    </row>
    <row r="54" spans="1:3" x14ac:dyDescent="0.25">
      <c r="A54">
        <v>224</v>
      </c>
      <c r="B54">
        <v>41047000400</v>
      </c>
      <c r="C54">
        <v>6.4408930000000003E-2</v>
      </c>
    </row>
    <row r="55" spans="1:3" x14ac:dyDescent="0.25">
      <c r="A55">
        <v>225</v>
      </c>
      <c r="B55">
        <v>41047000400</v>
      </c>
      <c r="C55">
        <v>2.5890509999999999E-2</v>
      </c>
    </row>
    <row r="56" spans="1:3" x14ac:dyDescent="0.25">
      <c r="A56">
        <v>226</v>
      </c>
      <c r="B56">
        <v>41047000400</v>
      </c>
      <c r="C56">
        <v>6.4681470000000005E-2</v>
      </c>
    </row>
    <row r="57" spans="1:3" x14ac:dyDescent="0.25">
      <c r="A57">
        <v>227</v>
      </c>
      <c r="B57">
        <v>41047000400</v>
      </c>
      <c r="C57">
        <v>3.5509999999999997E-5</v>
      </c>
    </row>
    <row r="58" spans="1:3" x14ac:dyDescent="0.25">
      <c r="A58">
        <v>229</v>
      </c>
      <c r="B58">
        <v>41047000400</v>
      </c>
      <c r="C58">
        <v>3.1086839999999998E-2</v>
      </c>
    </row>
    <row r="59" spans="1:3" x14ac:dyDescent="0.25">
      <c r="A59">
        <v>230</v>
      </c>
      <c r="B59">
        <v>41047000400</v>
      </c>
      <c r="C59">
        <v>6.4814410000000003E-2</v>
      </c>
    </row>
    <row r="60" spans="1:3" x14ac:dyDescent="0.25">
      <c r="A60">
        <v>231</v>
      </c>
      <c r="B60">
        <v>41047000400</v>
      </c>
      <c r="C60">
        <v>3.3330000000000001E-5</v>
      </c>
    </row>
    <row r="61" spans="1:3" x14ac:dyDescent="0.25">
      <c r="A61">
        <v>234</v>
      </c>
      <c r="B61">
        <v>41047000400</v>
      </c>
      <c r="C61">
        <v>1.0763E-4</v>
      </c>
    </row>
    <row r="62" spans="1:3" x14ac:dyDescent="0.25">
      <c r="A62">
        <v>235</v>
      </c>
      <c r="B62">
        <v>41047000400</v>
      </c>
      <c r="C62">
        <v>5.9631220000000006E-2</v>
      </c>
    </row>
    <row r="63" spans="1:3" x14ac:dyDescent="0.25">
      <c r="A63">
        <v>439</v>
      </c>
      <c r="B63">
        <v>41047000400</v>
      </c>
      <c r="C63">
        <v>7.2375E-4</v>
      </c>
    </row>
    <row r="64" spans="1:3" x14ac:dyDescent="0.25">
      <c r="A64">
        <v>214</v>
      </c>
      <c r="B64">
        <v>41047000501</v>
      </c>
      <c r="C64">
        <v>2.3537999999999999E-4</v>
      </c>
    </row>
    <row r="65" spans="1:3" x14ac:dyDescent="0.25">
      <c r="A65">
        <v>236</v>
      </c>
      <c r="B65">
        <v>41047000501</v>
      </c>
      <c r="C65">
        <v>9.4459000000000003E-4</v>
      </c>
    </row>
    <row r="66" spans="1:3" x14ac:dyDescent="0.25">
      <c r="A66">
        <v>237</v>
      </c>
      <c r="B66">
        <v>41047000501</v>
      </c>
      <c r="C66">
        <v>2.6664000000000001E-4</v>
      </c>
    </row>
    <row r="67" spans="1:3" x14ac:dyDescent="0.25">
      <c r="A67">
        <v>243</v>
      </c>
      <c r="B67">
        <v>41047000501</v>
      </c>
      <c r="C67">
        <v>0.12304100999999999</v>
      </c>
    </row>
    <row r="68" spans="1:3" x14ac:dyDescent="0.25">
      <c r="A68">
        <v>244</v>
      </c>
      <c r="B68">
        <v>41047000501</v>
      </c>
      <c r="C68">
        <v>1.01665E-3</v>
      </c>
    </row>
    <row r="69" spans="1:3" x14ac:dyDescent="0.25">
      <c r="A69">
        <v>282</v>
      </c>
      <c r="B69">
        <v>41047000501</v>
      </c>
      <c r="C69">
        <v>0.28432210999999996</v>
      </c>
    </row>
    <row r="70" spans="1:3" x14ac:dyDescent="0.25">
      <c r="A70">
        <v>283</v>
      </c>
      <c r="B70">
        <v>41047000501</v>
      </c>
      <c r="C70">
        <v>0.21826008000000002</v>
      </c>
    </row>
    <row r="71" spans="1:3" x14ac:dyDescent="0.25">
      <c r="A71">
        <v>284</v>
      </c>
      <c r="B71">
        <v>41047000501</v>
      </c>
      <c r="C71">
        <v>0.37018886000000001</v>
      </c>
    </row>
    <row r="72" spans="1:3" x14ac:dyDescent="0.25">
      <c r="A72">
        <v>286</v>
      </c>
      <c r="B72">
        <v>41047000501</v>
      </c>
      <c r="C72">
        <v>1.7246800000000001E-3</v>
      </c>
    </row>
    <row r="73" spans="1:3" x14ac:dyDescent="0.25">
      <c r="A73">
        <v>212</v>
      </c>
      <c r="B73">
        <v>41047000502</v>
      </c>
      <c r="C73">
        <v>4.1060100000000002E-3</v>
      </c>
    </row>
    <row r="74" spans="1:3" x14ac:dyDescent="0.25">
      <c r="A74">
        <v>213</v>
      </c>
      <c r="B74">
        <v>41047000502</v>
      </c>
      <c r="C74">
        <v>0.24657381</v>
      </c>
    </row>
    <row r="75" spans="1:3" x14ac:dyDescent="0.25">
      <c r="A75">
        <v>214</v>
      </c>
      <c r="B75">
        <v>41047000502</v>
      </c>
      <c r="C75">
        <v>0.45138192999999999</v>
      </c>
    </row>
    <row r="76" spans="1:3" x14ac:dyDescent="0.25">
      <c r="A76">
        <v>220</v>
      </c>
      <c r="B76">
        <v>41047000502</v>
      </c>
      <c r="C76">
        <v>1.1802029999999998E-2</v>
      </c>
    </row>
    <row r="77" spans="1:3" x14ac:dyDescent="0.25">
      <c r="A77">
        <v>236</v>
      </c>
      <c r="B77">
        <v>41047000502</v>
      </c>
      <c r="C77">
        <v>0.12408648</v>
      </c>
    </row>
    <row r="78" spans="1:3" x14ac:dyDescent="0.25">
      <c r="A78">
        <v>237</v>
      </c>
      <c r="B78">
        <v>41047000502</v>
      </c>
      <c r="C78">
        <v>0.15962974000000002</v>
      </c>
    </row>
    <row r="79" spans="1:3" x14ac:dyDescent="0.25">
      <c r="A79">
        <v>243</v>
      </c>
      <c r="B79">
        <v>41047000502</v>
      </c>
      <c r="C79">
        <v>5.0632999999999993E-4</v>
      </c>
    </row>
    <row r="80" spans="1:3" x14ac:dyDescent="0.25">
      <c r="A80">
        <v>282</v>
      </c>
      <c r="B80">
        <v>41047000502</v>
      </c>
      <c r="C80">
        <v>3.6308999999999999E-4</v>
      </c>
    </row>
    <row r="81" spans="1:3" x14ac:dyDescent="0.25">
      <c r="A81">
        <v>283</v>
      </c>
      <c r="B81">
        <v>41047000502</v>
      </c>
      <c r="C81">
        <v>1.2658E-4</v>
      </c>
    </row>
    <row r="82" spans="1:3" x14ac:dyDescent="0.25">
      <c r="A82">
        <v>284</v>
      </c>
      <c r="B82">
        <v>41047000502</v>
      </c>
      <c r="C82">
        <v>1.4239999999999999E-3</v>
      </c>
    </row>
    <row r="83" spans="1:3" x14ac:dyDescent="0.25">
      <c r="A83">
        <v>242</v>
      </c>
      <c r="B83">
        <v>41047000600</v>
      </c>
      <c r="C83">
        <v>1.8175E-4</v>
      </c>
    </row>
    <row r="84" spans="1:3" x14ac:dyDescent="0.25">
      <c r="A84">
        <v>243</v>
      </c>
      <c r="B84">
        <v>41047000600</v>
      </c>
      <c r="C84">
        <v>4.6753000000000002E-4</v>
      </c>
    </row>
    <row r="85" spans="1:3" x14ac:dyDescent="0.25">
      <c r="A85">
        <v>244</v>
      </c>
      <c r="B85">
        <v>41047000600</v>
      </c>
      <c r="C85">
        <v>0.14422603000000001</v>
      </c>
    </row>
    <row r="86" spans="1:3" x14ac:dyDescent="0.25">
      <c r="A86">
        <v>245</v>
      </c>
      <c r="B86">
        <v>41047000600</v>
      </c>
      <c r="C86">
        <v>0.12406891</v>
      </c>
    </row>
    <row r="87" spans="1:3" x14ac:dyDescent="0.25">
      <c r="A87">
        <v>246</v>
      </c>
      <c r="B87">
        <v>41047000600</v>
      </c>
      <c r="C87">
        <v>4.7003999999999997E-4</v>
      </c>
    </row>
    <row r="88" spans="1:3" x14ac:dyDescent="0.25">
      <c r="A88">
        <v>254</v>
      </c>
      <c r="B88">
        <v>41047000600</v>
      </c>
      <c r="C88">
        <v>0.33354090999999997</v>
      </c>
    </row>
    <row r="89" spans="1:3" x14ac:dyDescent="0.25">
      <c r="A89">
        <v>256</v>
      </c>
      <c r="B89">
        <v>41047000600</v>
      </c>
      <c r="C89">
        <v>9.7776999999999998E-4</v>
      </c>
    </row>
    <row r="90" spans="1:3" x14ac:dyDescent="0.25">
      <c r="A90">
        <v>282</v>
      </c>
      <c r="B90">
        <v>41047000600</v>
      </c>
      <c r="C90">
        <v>3.9204490000000002E-2</v>
      </c>
    </row>
    <row r="91" spans="1:3" x14ac:dyDescent="0.25">
      <c r="A91">
        <v>285</v>
      </c>
      <c r="B91">
        <v>41047000600</v>
      </c>
      <c r="C91">
        <v>0.13546963000000001</v>
      </c>
    </row>
    <row r="92" spans="1:3" x14ac:dyDescent="0.25">
      <c r="A92">
        <v>286</v>
      </c>
      <c r="B92">
        <v>41047000600</v>
      </c>
      <c r="C92">
        <v>3.1875640000000004E-2</v>
      </c>
    </row>
    <row r="93" spans="1:3" x14ac:dyDescent="0.25">
      <c r="A93">
        <v>289</v>
      </c>
      <c r="B93">
        <v>41047000600</v>
      </c>
      <c r="C93">
        <v>0.18943378</v>
      </c>
    </row>
    <row r="94" spans="1:3" x14ac:dyDescent="0.25">
      <c r="A94">
        <v>290</v>
      </c>
      <c r="B94">
        <v>41047000600</v>
      </c>
      <c r="C94">
        <v>6.1379999999999998E-5</v>
      </c>
    </row>
    <row r="95" spans="1:3" x14ac:dyDescent="0.25">
      <c r="A95">
        <v>298</v>
      </c>
      <c r="B95">
        <v>41047000600</v>
      </c>
      <c r="C95">
        <v>5.4299999999999997E-6</v>
      </c>
    </row>
    <row r="96" spans="1:3" x14ac:dyDescent="0.25">
      <c r="A96">
        <v>299</v>
      </c>
      <c r="B96">
        <v>41047000600</v>
      </c>
      <c r="C96">
        <v>1.6730000000000001E-5</v>
      </c>
    </row>
    <row r="97" spans="1:3" x14ac:dyDescent="0.25">
      <c r="A97">
        <v>254</v>
      </c>
      <c r="B97">
        <v>41047000701</v>
      </c>
      <c r="C97">
        <v>8.70545E-3</v>
      </c>
    </row>
    <row r="98" spans="1:3" x14ac:dyDescent="0.25">
      <c r="A98">
        <v>285</v>
      </c>
      <c r="B98">
        <v>41047000701</v>
      </c>
      <c r="C98">
        <v>4.7236000000000001E-4</v>
      </c>
    </row>
    <row r="99" spans="1:3" x14ac:dyDescent="0.25">
      <c r="A99">
        <v>286</v>
      </c>
      <c r="B99">
        <v>41047000701</v>
      </c>
      <c r="C99">
        <v>0.27838039999999997</v>
      </c>
    </row>
    <row r="100" spans="1:3" x14ac:dyDescent="0.25">
      <c r="A100">
        <v>289</v>
      </c>
      <c r="B100">
        <v>41047000701</v>
      </c>
      <c r="C100">
        <v>1.2833900000000001E-3</v>
      </c>
    </row>
    <row r="101" spans="1:3" x14ac:dyDescent="0.25">
      <c r="A101">
        <v>290</v>
      </c>
      <c r="B101">
        <v>41047000701</v>
      </c>
      <c r="C101">
        <v>8.2334370000000004E-2</v>
      </c>
    </row>
    <row r="102" spans="1:3" x14ac:dyDescent="0.25">
      <c r="A102">
        <v>294</v>
      </c>
      <c r="B102">
        <v>41047000701</v>
      </c>
      <c r="C102">
        <v>5.3160350000000002E-2</v>
      </c>
    </row>
    <row r="103" spans="1:3" x14ac:dyDescent="0.25">
      <c r="A103">
        <v>295</v>
      </c>
      <c r="B103">
        <v>41047000701</v>
      </c>
      <c r="C103">
        <v>6.9096190000000002E-2</v>
      </c>
    </row>
    <row r="104" spans="1:3" x14ac:dyDescent="0.25">
      <c r="A104">
        <v>296</v>
      </c>
      <c r="B104">
        <v>41047000701</v>
      </c>
      <c r="C104">
        <v>1.015477E-2</v>
      </c>
    </row>
    <row r="105" spans="1:3" x14ac:dyDescent="0.25">
      <c r="A105">
        <v>298</v>
      </c>
      <c r="B105">
        <v>41047000701</v>
      </c>
      <c r="C105">
        <v>2.348536E-2</v>
      </c>
    </row>
    <row r="106" spans="1:3" x14ac:dyDescent="0.25">
      <c r="A106">
        <v>299</v>
      </c>
      <c r="B106">
        <v>41047000701</v>
      </c>
      <c r="C106">
        <v>0.37904139000000003</v>
      </c>
    </row>
    <row r="107" spans="1:3" x14ac:dyDescent="0.25">
      <c r="A107">
        <v>300</v>
      </c>
      <c r="B107">
        <v>41047000701</v>
      </c>
      <c r="C107">
        <v>9.2903249999999993E-2</v>
      </c>
    </row>
    <row r="108" spans="1:3" x14ac:dyDescent="0.25">
      <c r="A108">
        <v>302</v>
      </c>
      <c r="B108">
        <v>41047000701</v>
      </c>
      <c r="C108">
        <v>6.6200000000000001E-6</v>
      </c>
    </row>
    <row r="109" spans="1:3" x14ac:dyDescent="0.25">
      <c r="A109">
        <v>304</v>
      </c>
      <c r="B109">
        <v>41047000701</v>
      </c>
      <c r="C109">
        <v>9.7611000000000009E-4</v>
      </c>
    </row>
    <row r="110" spans="1:3" x14ac:dyDescent="0.25">
      <c r="A110">
        <v>254</v>
      </c>
      <c r="B110">
        <v>41047000900</v>
      </c>
      <c r="C110">
        <v>2.2924E-3</v>
      </c>
    </row>
    <row r="111" spans="1:3" x14ac:dyDescent="0.25">
      <c r="A111">
        <v>256</v>
      </c>
      <c r="B111">
        <v>41047000900</v>
      </c>
      <c r="C111">
        <v>0.23351959999999999</v>
      </c>
    </row>
    <row r="112" spans="1:3" x14ac:dyDescent="0.25">
      <c r="A112">
        <v>257</v>
      </c>
      <c r="B112">
        <v>41047000900</v>
      </c>
      <c r="C112">
        <v>0.10086033</v>
      </c>
    </row>
    <row r="113" spans="1:3" x14ac:dyDescent="0.25">
      <c r="A113">
        <v>258</v>
      </c>
      <c r="B113">
        <v>41047000900</v>
      </c>
      <c r="C113">
        <v>4.668315E-2</v>
      </c>
    </row>
    <row r="114" spans="1:3" x14ac:dyDescent="0.25">
      <c r="A114">
        <v>259</v>
      </c>
      <c r="B114">
        <v>41047000900</v>
      </c>
      <c r="C114">
        <v>8.8960890000000001E-2</v>
      </c>
    </row>
    <row r="115" spans="1:3" x14ac:dyDescent="0.25">
      <c r="A115">
        <v>298</v>
      </c>
      <c r="B115">
        <v>41047000900</v>
      </c>
      <c r="C115">
        <v>0.10893266</v>
      </c>
    </row>
    <row r="116" spans="1:3" x14ac:dyDescent="0.25">
      <c r="A116">
        <v>301</v>
      </c>
      <c r="B116">
        <v>41047000900</v>
      </c>
      <c r="C116">
        <v>0.22366883000000001</v>
      </c>
    </row>
    <row r="117" spans="1:3" x14ac:dyDescent="0.25">
      <c r="A117">
        <v>302</v>
      </c>
      <c r="B117">
        <v>41047000900</v>
      </c>
      <c r="C117">
        <v>7.0461190000000007E-2</v>
      </c>
    </row>
    <row r="118" spans="1:3" x14ac:dyDescent="0.25">
      <c r="A118">
        <v>303</v>
      </c>
      <c r="B118">
        <v>41047000900</v>
      </c>
      <c r="C118">
        <v>0.12044595</v>
      </c>
    </row>
    <row r="119" spans="1:3" x14ac:dyDescent="0.25">
      <c r="A119">
        <v>304</v>
      </c>
      <c r="B119">
        <v>41047000900</v>
      </c>
      <c r="C119">
        <v>2.9249999999999999E-5</v>
      </c>
    </row>
    <row r="120" spans="1:3" x14ac:dyDescent="0.25">
      <c r="A120">
        <v>313</v>
      </c>
      <c r="B120">
        <v>41047000900</v>
      </c>
      <c r="C120">
        <v>4.1457300000000002E-3</v>
      </c>
    </row>
    <row r="121" spans="1:3" x14ac:dyDescent="0.25">
      <c r="A121">
        <v>258</v>
      </c>
      <c r="B121">
        <v>41047001000</v>
      </c>
      <c r="C121">
        <v>6.2955999999999993E-4</v>
      </c>
    </row>
    <row r="122" spans="1:3" x14ac:dyDescent="0.25">
      <c r="A122">
        <v>259</v>
      </c>
      <c r="B122">
        <v>41047001000</v>
      </c>
      <c r="C122">
        <v>2.8785000000000003E-4</v>
      </c>
    </row>
    <row r="123" spans="1:3" x14ac:dyDescent="0.25">
      <c r="A123">
        <v>298</v>
      </c>
      <c r="B123">
        <v>41047001000</v>
      </c>
      <c r="C123">
        <v>5.0100000000000003E-6</v>
      </c>
    </row>
    <row r="124" spans="1:3" x14ac:dyDescent="0.25">
      <c r="A124">
        <v>299</v>
      </c>
      <c r="B124">
        <v>41047001000</v>
      </c>
      <c r="C124">
        <v>2.2072999999999998E-4</v>
      </c>
    </row>
    <row r="125" spans="1:3" x14ac:dyDescent="0.25">
      <c r="A125">
        <v>302</v>
      </c>
      <c r="B125">
        <v>41047001000</v>
      </c>
      <c r="C125">
        <v>2.3868399999999999E-3</v>
      </c>
    </row>
    <row r="126" spans="1:3" x14ac:dyDescent="0.25">
      <c r="A126">
        <v>303</v>
      </c>
      <c r="B126">
        <v>41047001000</v>
      </c>
      <c r="C126">
        <v>4.0329700000000003E-3</v>
      </c>
    </row>
    <row r="127" spans="1:3" x14ac:dyDescent="0.25">
      <c r="A127">
        <v>304</v>
      </c>
      <c r="B127">
        <v>41047001000</v>
      </c>
      <c r="C127">
        <v>0.1247245</v>
      </c>
    </row>
    <row r="128" spans="1:3" x14ac:dyDescent="0.25">
      <c r="A128">
        <v>312</v>
      </c>
      <c r="B128">
        <v>41047001000</v>
      </c>
      <c r="C128">
        <v>2.3696320000000003E-2</v>
      </c>
    </row>
    <row r="129" spans="1:3" x14ac:dyDescent="0.25">
      <c r="A129">
        <v>313</v>
      </c>
      <c r="B129">
        <v>41047001000</v>
      </c>
      <c r="C129">
        <v>0.10757348999999999</v>
      </c>
    </row>
    <row r="130" spans="1:3" x14ac:dyDescent="0.25">
      <c r="A130">
        <v>330</v>
      </c>
      <c r="B130">
        <v>41047001000</v>
      </c>
      <c r="C130">
        <v>0.109457</v>
      </c>
    </row>
    <row r="131" spans="1:3" x14ac:dyDescent="0.25">
      <c r="A131">
        <v>338</v>
      </c>
      <c r="B131">
        <v>41047001000</v>
      </c>
      <c r="C131">
        <v>6.5816900000000003E-3</v>
      </c>
    </row>
    <row r="132" spans="1:3" x14ac:dyDescent="0.25">
      <c r="A132">
        <v>350</v>
      </c>
      <c r="B132">
        <v>41047001000</v>
      </c>
      <c r="C132">
        <v>5.4869300000000001E-3</v>
      </c>
    </row>
    <row r="133" spans="1:3" x14ac:dyDescent="0.25">
      <c r="A133">
        <v>354</v>
      </c>
      <c r="B133">
        <v>41047001000</v>
      </c>
      <c r="C133">
        <v>0.61434889000000004</v>
      </c>
    </row>
    <row r="134" spans="1:3" x14ac:dyDescent="0.25">
      <c r="A134">
        <v>373</v>
      </c>
      <c r="B134">
        <v>41047001000</v>
      </c>
      <c r="C134">
        <v>4.9301999999999994E-4</v>
      </c>
    </row>
    <row r="135" spans="1:3" x14ac:dyDescent="0.25">
      <c r="A135">
        <v>395</v>
      </c>
      <c r="B135">
        <v>41047001000</v>
      </c>
      <c r="C135">
        <v>7.5199999999999998E-5</v>
      </c>
    </row>
    <row r="136" spans="1:3" x14ac:dyDescent="0.25">
      <c r="A136">
        <v>324</v>
      </c>
      <c r="B136">
        <v>41047001100</v>
      </c>
      <c r="C136">
        <v>6.7041000000000008E-4</v>
      </c>
    </row>
    <row r="137" spans="1:3" x14ac:dyDescent="0.25">
      <c r="A137">
        <v>330</v>
      </c>
      <c r="B137">
        <v>41047001100</v>
      </c>
      <c r="C137">
        <v>5.2401799999999997E-3</v>
      </c>
    </row>
    <row r="138" spans="1:3" x14ac:dyDescent="0.25">
      <c r="A138">
        <v>336</v>
      </c>
      <c r="B138">
        <v>41047001100</v>
      </c>
      <c r="C138">
        <v>0.3202122</v>
      </c>
    </row>
    <row r="139" spans="1:3" x14ac:dyDescent="0.25">
      <c r="A139">
        <v>338</v>
      </c>
      <c r="B139">
        <v>41047001100</v>
      </c>
      <c r="C139">
        <v>0.22907559999999999</v>
      </c>
    </row>
    <row r="140" spans="1:3" x14ac:dyDescent="0.25">
      <c r="A140">
        <v>350</v>
      </c>
      <c r="B140">
        <v>41047001100</v>
      </c>
      <c r="C140">
        <v>0.44007064000000001</v>
      </c>
    </row>
    <row r="141" spans="1:3" x14ac:dyDescent="0.25">
      <c r="A141">
        <v>354</v>
      </c>
      <c r="B141">
        <v>41047001100</v>
      </c>
      <c r="C141">
        <v>1.8063E-3</v>
      </c>
    </row>
    <row r="142" spans="1:3" x14ac:dyDescent="0.25">
      <c r="A142">
        <v>357</v>
      </c>
      <c r="B142">
        <v>41047001100</v>
      </c>
      <c r="C142">
        <v>2.6250900000000001E-3</v>
      </c>
    </row>
    <row r="143" spans="1:3" x14ac:dyDescent="0.25">
      <c r="A143">
        <v>259</v>
      </c>
      <c r="B143">
        <v>41047001200</v>
      </c>
      <c r="C143">
        <v>1.643E-5</v>
      </c>
    </row>
    <row r="144" spans="1:3" x14ac:dyDescent="0.25">
      <c r="A144">
        <v>260</v>
      </c>
      <c r="B144">
        <v>41047001200</v>
      </c>
      <c r="C144">
        <v>4.9469E-4</v>
      </c>
    </row>
    <row r="145" spans="1:3" x14ac:dyDescent="0.25">
      <c r="A145">
        <v>261</v>
      </c>
      <c r="B145">
        <v>41047001200</v>
      </c>
      <c r="C145">
        <v>5.1050000000000001E-5</v>
      </c>
    </row>
    <row r="146" spans="1:3" x14ac:dyDescent="0.25">
      <c r="A146">
        <v>309</v>
      </c>
      <c r="B146">
        <v>41047001200</v>
      </c>
      <c r="C146">
        <v>9.2040000000000006E-5</v>
      </c>
    </row>
    <row r="147" spans="1:3" x14ac:dyDescent="0.25">
      <c r="A147">
        <v>310</v>
      </c>
      <c r="B147">
        <v>41047001200</v>
      </c>
      <c r="C147">
        <v>0.55818075999999994</v>
      </c>
    </row>
    <row r="148" spans="1:3" x14ac:dyDescent="0.25">
      <c r="A148">
        <v>312</v>
      </c>
      <c r="B148">
        <v>41047001200</v>
      </c>
      <c r="C148">
        <v>5.3880600000000001E-3</v>
      </c>
    </row>
    <row r="149" spans="1:3" x14ac:dyDescent="0.25">
      <c r="A149">
        <v>314</v>
      </c>
      <c r="B149">
        <v>41047001200</v>
      </c>
      <c r="C149">
        <v>4.3519999999999997E-5</v>
      </c>
    </row>
    <row r="150" spans="1:3" x14ac:dyDescent="0.25">
      <c r="A150">
        <v>324</v>
      </c>
      <c r="B150">
        <v>41047001200</v>
      </c>
      <c r="C150">
        <v>0.43412641000000002</v>
      </c>
    </row>
    <row r="151" spans="1:3" x14ac:dyDescent="0.25">
      <c r="A151">
        <v>336</v>
      </c>
      <c r="B151">
        <v>41047001200</v>
      </c>
      <c r="C151">
        <v>4.6951000000000002E-4</v>
      </c>
    </row>
    <row r="152" spans="1:3" x14ac:dyDescent="0.25">
      <c r="A152">
        <v>338</v>
      </c>
      <c r="B152">
        <v>41047001200</v>
      </c>
      <c r="C152">
        <v>1.1375200000000002E-3</v>
      </c>
    </row>
    <row r="153" spans="1:3" x14ac:dyDescent="0.25">
      <c r="A153">
        <v>61</v>
      </c>
      <c r="B153">
        <v>41047001300</v>
      </c>
      <c r="C153">
        <v>5.0213999999999999E-4</v>
      </c>
    </row>
    <row r="154" spans="1:3" x14ac:dyDescent="0.25">
      <c r="A154">
        <v>64</v>
      </c>
      <c r="B154">
        <v>41047001300</v>
      </c>
      <c r="C154">
        <v>8.7991000000000002E-4</v>
      </c>
    </row>
    <row r="155" spans="1:3" x14ac:dyDescent="0.25">
      <c r="A155">
        <v>76</v>
      </c>
      <c r="B155">
        <v>41047001300</v>
      </c>
      <c r="C155">
        <v>1.3234999999999999E-4</v>
      </c>
    </row>
    <row r="156" spans="1:3" x14ac:dyDescent="0.25">
      <c r="A156">
        <v>77</v>
      </c>
      <c r="B156">
        <v>41047001300</v>
      </c>
      <c r="C156">
        <v>5.0514000000000006E-4</v>
      </c>
    </row>
    <row r="157" spans="1:3" x14ac:dyDescent="0.25">
      <c r="A157">
        <v>249</v>
      </c>
      <c r="B157">
        <v>41047001300</v>
      </c>
      <c r="C157">
        <v>6.9776000000000007E-4</v>
      </c>
    </row>
    <row r="158" spans="1:3" x14ac:dyDescent="0.25">
      <c r="A158">
        <v>281</v>
      </c>
      <c r="B158">
        <v>41047001300</v>
      </c>
      <c r="C158">
        <v>1.5820000000000001E-5</v>
      </c>
    </row>
    <row r="159" spans="1:3" x14ac:dyDescent="0.25">
      <c r="A159">
        <v>309</v>
      </c>
      <c r="B159">
        <v>41047001300</v>
      </c>
      <c r="C159">
        <v>1.3203380000000001E-2</v>
      </c>
    </row>
    <row r="160" spans="1:3" x14ac:dyDescent="0.25">
      <c r="A160">
        <v>310</v>
      </c>
      <c r="B160">
        <v>41047001300</v>
      </c>
      <c r="C160">
        <v>1.6427E-4</v>
      </c>
    </row>
    <row r="161" spans="1:3" x14ac:dyDescent="0.25">
      <c r="A161">
        <v>314</v>
      </c>
      <c r="B161">
        <v>41047001300</v>
      </c>
      <c r="C161">
        <v>9.784197E-2</v>
      </c>
    </row>
    <row r="162" spans="1:3" x14ac:dyDescent="0.25">
      <c r="A162">
        <v>322</v>
      </c>
      <c r="B162">
        <v>41047001300</v>
      </c>
      <c r="C162">
        <v>0.10407451999999999</v>
      </c>
    </row>
    <row r="163" spans="1:3" x14ac:dyDescent="0.25">
      <c r="A163">
        <v>323</v>
      </c>
      <c r="B163">
        <v>41047001300</v>
      </c>
      <c r="C163">
        <v>9.8117900000000008E-3</v>
      </c>
    </row>
    <row r="164" spans="1:3" x14ac:dyDescent="0.25">
      <c r="A164">
        <v>324</v>
      </c>
      <c r="B164">
        <v>41047001300</v>
      </c>
      <c r="C164">
        <v>5.1937999999999995E-4</v>
      </c>
    </row>
    <row r="165" spans="1:3" x14ac:dyDescent="0.25">
      <c r="A165">
        <v>332</v>
      </c>
      <c r="B165">
        <v>41047001300</v>
      </c>
      <c r="C165">
        <v>5.207378E-2</v>
      </c>
    </row>
    <row r="166" spans="1:3" x14ac:dyDescent="0.25">
      <c r="A166">
        <v>333</v>
      </c>
      <c r="B166">
        <v>41047001300</v>
      </c>
      <c r="C166">
        <v>4.8218999999999996E-4</v>
      </c>
    </row>
    <row r="167" spans="1:3" x14ac:dyDescent="0.25">
      <c r="A167">
        <v>334</v>
      </c>
      <c r="B167">
        <v>41047001300</v>
      </c>
      <c r="C167">
        <v>8.3380000000000005E-5</v>
      </c>
    </row>
    <row r="168" spans="1:3" x14ac:dyDescent="0.25">
      <c r="A168">
        <v>335</v>
      </c>
      <c r="B168">
        <v>41047001300</v>
      </c>
      <c r="C168">
        <v>2.8000000000000002E-7</v>
      </c>
    </row>
    <row r="169" spans="1:3" x14ac:dyDescent="0.25">
      <c r="A169">
        <v>336</v>
      </c>
      <c r="B169">
        <v>41047001300</v>
      </c>
      <c r="C169">
        <v>1.541E-5</v>
      </c>
    </row>
    <row r="170" spans="1:3" x14ac:dyDescent="0.25">
      <c r="A170">
        <v>435</v>
      </c>
      <c r="B170">
        <v>41047001300</v>
      </c>
      <c r="C170">
        <v>5.9625079999999997E-2</v>
      </c>
    </row>
    <row r="171" spans="1:3" x14ac:dyDescent="0.25">
      <c r="A171">
        <v>436</v>
      </c>
      <c r="B171">
        <v>41047001300</v>
      </c>
      <c r="C171">
        <v>0.62679289999999999</v>
      </c>
    </row>
    <row r="172" spans="1:3" x14ac:dyDescent="0.25">
      <c r="A172">
        <v>442</v>
      </c>
      <c r="B172">
        <v>41047001300</v>
      </c>
      <c r="C172">
        <v>3.2578550000000005E-2</v>
      </c>
    </row>
    <row r="173" spans="1:3" x14ac:dyDescent="0.25">
      <c r="A173">
        <v>42</v>
      </c>
      <c r="B173">
        <v>41047001401</v>
      </c>
      <c r="C173">
        <v>4.3198999999999999E-4</v>
      </c>
    </row>
    <row r="174" spans="1:3" x14ac:dyDescent="0.25">
      <c r="A174">
        <v>43</v>
      </c>
      <c r="B174">
        <v>41047001401</v>
      </c>
      <c r="C174">
        <v>2.8189999999999999E-5</v>
      </c>
    </row>
    <row r="175" spans="1:3" x14ac:dyDescent="0.25">
      <c r="A175">
        <v>80</v>
      </c>
      <c r="B175">
        <v>41047001401</v>
      </c>
      <c r="C175">
        <v>3.7809999999999999E-5</v>
      </c>
    </row>
    <row r="176" spans="1:3" x14ac:dyDescent="0.25">
      <c r="A176">
        <v>81</v>
      </c>
      <c r="B176">
        <v>41047001401</v>
      </c>
      <c r="C176">
        <v>0.51129164999999999</v>
      </c>
    </row>
    <row r="177" spans="1:3" x14ac:dyDescent="0.25">
      <c r="A177">
        <v>82</v>
      </c>
      <c r="B177">
        <v>41047001401</v>
      </c>
      <c r="C177">
        <v>0.29369278999999998</v>
      </c>
    </row>
    <row r="178" spans="1:3" x14ac:dyDescent="0.25">
      <c r="A178">
        <v>88</v>
      </c>
      <c r="B178">
        <v>41047001401</v>
      </c>
      <c r="C178">
        <v>3.9672999999999998E-4</v>
      </c>
    </row>
    <row r="179" spans="1:3" x14ac:dyDescent="0.25">
      <c r="A179">
        <v>90</v>
      </c>
      <c r="B179">
        <v>41047001401</v>
      </c>
      <c r="C179">
        <v>1.3028000000000001E-4</v>
      </c>
    </row>
    <row r="180" spans="1:3" x14ac:dyDescent="0.25">
      <c r="A180">
        <v>95</v>
      </c>
      <c r="B180">
        <v>41047001401</v>
      </c>
      <c r="C180">
        <v>4.1310000000000003E-5</v>
      </c>
    </row>
    <row r="181" spans="1:3" x14ac:dyDescent="0.25">
      <c r="A181">
        <v>104</v>
      </c>
      <c r="B181">
        <v>41047001401</v>
      </c>
      <c r="C181">
        <v>8.5475999999999998E-4</v>
      </c>
    </row>
    <row r="182" spans="1:3" x14ac:dyDescent="0.25">
      <c r="A182">
        <v>107</v>
      </c>
      <c r="B182">
        <v>41047001401</v>
      </c>
      <c r="C182">
        <v>0.11654086</v>
      </c>
    </row>
    <row r="183" spans="1:3" x14ac:dyDescent="0.25">
      <c r="A183">
        <v>110</v>
      </c>
      <c r="B183">
        <v>41047001401</v>
      </c>
      <c r="C183">
        <v>6.855826000000001E-2</v>
      </c>
    </row>
    <row r="184" spans="1:3" x14ac:dyDescent="0.25">
      <c r="A184">
        <v>111</v>
      </c>
      <c r="B184">
        <v>41047001401</v>
      </c>
      <c r="C184">
        <v>7.7328699999999993E-3</v>
      </c>
    </row>
    <row r="185" spans="1:3" x14ac:dyDescent="0.25">
      <c r="A185">
        <v>112</v>
      </c>
      <c r="B185">
        <v>41047001401</v>
      </c>
      <c r="C185">
        <v>2.3274999999999999E-4</v>
      </c>
    </row>
    <row r="186" spans="1:3" x14ac:dyDescent="0.25">
      <c r="A186">
        <v>114</v>
      </c>
      <c r="B186">
        <v>41047001401</v>
      </c>
      <c r="C186">
        <v>4.6500000000000004E-6</v>
      </c>
    </row>
    <row r="187" spans="1:3" x14ac:dyDescent="0.25">
      <c r="A187">
        <v>43</v>
      </c>
      <c r="B187">
        <v>41047001402</v>
      </c>
      <c r="C187">
        <v>3.6579499999999997E-3</v>
      </c>
    </row>
    <row r="188" spans="1:3" x14ac:dyDescent="0.25">
      <c r="A188">
        <v>81</v>
      </c>
      <c r="B188">
        <v>41047001402</v>
      </c>
      <c r="C188">
        <v>7.17E-6</v>
      </c>
    </row>
    <row r="189" spans="1:3" x14ac:dyDescent="0.25">
      <c r="A189">
        <v>107</v>
      </c>
      <c r="B189">
        <v>41047001402</v>
      </c>
      <c r="C189">
        <v>1.2659999999999999E-4</v>
      </c>
    </row>
    <row r="190" spans="1:3" x14ac:dyDescent="0.25">
      <c r="A190">
        <v>110</v>
      </c>
      <c r="B190">
        <v>41047001402</v>
      </c>
      <c r="C190">
        <v>7.8605999999999999E-4</v>
      </c>
    </row>
    <row r="191" spans="1:3" x14ac:dyDescent="0.25">
      <c r="A191">
        <v>111</v>
      </c>
      <c r="B191">
        <v>41047001402</v>
      </c>
      <c r="C191">
        <v>0.24519532999999999</v>
      </c>
    </row>
    <row r="192" spans="1:3" x14ac:dyDescent="0.25">
      <c r="A192">
        <v>112</v>
      </c>
      <c r="B192">
        <v>41047001402</v>
      </c>
      <c r="C192">
        <v>0.28011603000000002</v>
      </c>
    </row>
    <row r="193" spans="1:3" x14ac:dyDescent="0.25">
      <c r="A193">
        <v>114</v>
      </c>
      <c r="B193">
        <v>41047001402</v>
      </c>
      <c r="C193">
        <v>1.56507E-3</v>
      </c>
    </row>
    <row r="194" spans="1:3" x14ac:dyDescent="0.25">
      <c r="A194">
        <v>118</v>
      </c>
      <c r="B194">
        <v>41047001402</v>
      </c>
      <c r="C194">
        <v>2.62167E-3</v>
      </c>
    </row>
    <row r="195" spans="1:3" x14ac:dyDescent="0.25">
      <c r="A195">
        <v>120</v>
      </c>
      <c r="B195">
        <v>41047001402</v>
      </c>
      <c r="C195">
        <v>0.46573092000000005</v>
      </c>
    </row>
    <row r="196" spans="1:3" x14ac:dyDescent="0.25">
      <c r="A196">
        <v>124</v>
      </c>
      <c r="B196">
        <v>41047001402</v>
      </c>
      <c r="C196">
        <v>1.2167000000000001E-4</v>
      </c>
    </row>
    <row r="197" spans="1:3" x14ac:dyDescent="0.25">
      <c r="A197">
        <v>82</v>
      </c>
      <c r="B197">
        <v>41047001501</v>
      </c>
      <c r="C197">
        <v>1.5739700000000001E-3</v>
      </c>
    </row>
    <row r="198" spans="1:3" x14ac:dyDescent="0.25">
      <c r="A198">
        <v>90</v>
      </c>
      <c r="B198">
        <v>41047001501</v>
      </c>
      <c r="C198">
        <v>1.6856999999999999E-4</v>
      </c>
    </row>
    <row r="199" spans="1:3" x14ac:dyDescent="0.25">
      <c r="A199">
        <v>91</v>
      </c>
      <c r="B199">
        <v>41047001501</v>
      </c>
      <c r="C199">
        <v>6.10796E-3</v>
      </c>
    </row>
    <row r="200" spans="1:3" x14ac:dyDescent="0.25">
      <c r="A200">
        <v>92</v>
      </c>
      <c r="B200">
        <v>41047001501</v>
      </c>
      <c r="C200">
        <v>0.42423758999999994</v>
      </c>
    </row>
    <row r="201" spans="1:3" x14ac:dyDescent="0.25">
      <c r="A201">
        <v>94</v>
      </c>
      <c r="B201">
        <v>41047001501</v>
      </c>
      <c r="C201">
        <v>0.20339047000000002</v>
      </c>
    </row>
    <row r="202" spans="1:3" x14ac:dyDescent="0.25">
      <c r="A202">
        <v>95</v>
      </c>
      <c r="B202">
        <v>41047001501</v>
      </c>
      <c r="C202">
        <v>0.19743168</v>
      </c>
    </row>
    <row r="203" spans="1:3" x14ac:dyDescent="0.25">
      <c r="A203">
        <v>100</v>
      </c>
      <c r="B203">
        <v>41047001501</v>
      </c>
      <c r="C203">
        <v>2.1351500000000002E-3</v>
      </c>
    </row>
    <row r="204" spans="1:3" x14ac:dyDescent="0.25">
      <c r="A204">
        <v>103</v>
      </c>
      <c r="B204">
        <v>41047001501</v>
      </c>
      <c r="C204">
        <v>6.3374040000000006E-2</v>
      </c>
    </row>
    <row r="205" spans="1:3" x14ac:dyDescent="0.25">
      <c r="A205">
        <v>104</v>
      </c>
      <c r="B205">
        <v>41047001501</v>
      </c>
      <c r="C205">
        <v>0.10098905</v>
      </c>
    </row>
    <row r="206" spans="1:3" x14ac:dyDescent="0.25">
      <c r="A206">
        <v>107</v>
      </c>
      <c r="B206">
        <v>41047001501</v>
      </c>
      <c r="C206">
        <v>3.6246E-4</v>
      </c>
    </row>
    <row r="207" spans="1:3" x14ac:dyDescent="0.25">
      <c r="A207">
        <v>114</v>
      </c>
      <c r="B207">
        <v>41047001501</v>
      </c>
      <c r="C207">
        <v>1.5424999999999998E-4</v>
      </c>
    </row>
    <row r="208" spans="1:3" x14ac:dyDescent="0.25">
      <c r="A208">
        <v>116</v>
      </c>
      <c r="B208">
        <v>41047001501</v>
      </c>
      <c r="C208">
        <v>7.4800000000000002E-5</v>
      </c>
    </row>
    <row r="209" spans="1:3" x14ac:dyDescent="0.25">
      <c r="A209">
        <v>92</v>
      </c>
      <c r="B209">
        <v>41047001502</v>
      </c>
      <c r="C209">
        <v>1.0562000000000001E-4</v>
      </c>
    </row>
    <row r="210" spans="1:3" x14ac:dyDescent="0.25">
      <c r="A210">
        <v>94</v>
      </c>
      <c r="B210">
        <v>41047001502</v>
      </c>
      <c r="C210">
        <v>1.8905999999999998E-4</v>
      </c>
    </row>
    <row r="211" spans="1:3" x14ac:dyDescent="0.25">
      <c r="A211">
        <v>95</v>
      </c>
      <c r="B211">
        <v>41047001502</v>
      </c>
      <c r="C211">
        <v>7.3889999999999999E-5</v>
      </c>
    </row>
    <row r="212" spans="1:3" x14ac:dyDescent="0.25">
      <c r="A212">
        <v>100</v>
      </c>
      <c r="B212">
        <v>41047001502</v>
      </c>
      <c r="C212">
        <v>0.23618815000000001</v>
      </c>
    </row>
    <row r="213" spans="1:3" x14ac:dyDescent="0.25">
      <c r="A213">
        <v>103</v>
      </c>
      <c r="B213">
        <v>41047001502</v>
      </c>
      <c r="C213">
        <v>0.19454191999999998</v>
      </c>
    </row>
    <row r="214" spans="1:3" x14ac:dyDescent="0.25">
      <c r="A214">
        <v>104</v>
      </c>
      <c r="B214">
        <v>41047001502</v>
      </c>
      <c r="C214">
        <v>8.3571570000000012E-2</v>
      </c>
    </row>
    <row r="215" spans="1:3" x14ac:dyDescent="0.25">
      <c r="A215">
        <v>114</v>
      </c>
      <c r="B215">
        <v>41047001502</v>
      </c>
      <c r="C215">
        <v>0.13287710999999999</v>
      </c>
    </row>
    <row r="216" spans="1:3" x14ac:dyDescent="0.25">
      <c r="A216">
        <v>116</v>
      </c>
      <c r="B216">
        <v>41047001502</v>
      </c>
      <c r="C216">
        <v>0.23710968000000002</v>
      </c>
    </row>
    <row r="217" spans="1:3" x14ac:dyDescent="0.25">
      <c r="A217">
        <v>211</v>
      </c>
      <c r="B217">
        <v>41047001502</v>
      </c>
      <c r="C217">
        <v>0.11500705</v>
      </c>
    </row>
    <row r="218" spans="1:3" x14ac:dyDescent="0.25">
      <c r="A218">
        <v>222</v>
      </c>
      <c r="B218">
        <v>41047001502</v>
      </c>
      <c r="C218">
        <v>3.3594000000000001E-4</v>
      </c>
    </row>
    <row r="219" spans="1:3" x14ac:dyDescent="0.25">
      <c r="A219">
        <v>114</v>
      </c>
      <c r="B219">
        <v>41047001503</v>
      </c>
      <c r="C219">
        <v>0.14400026999999999</v>
      </c>
    </row>
    <row r="220" spans="1:3" x14ac:dyDescent="0.25">
      <c r="A220">
        <v>116</v>
      </c>
      <c r="B220">
        <v>41047001503</v>
      </c>
      <c r="C220">
        <v>7.4681339999999999E-2</v>
      </c>
    </row>
    <row r="221" spans="1:3" x14ac:dyDescent="0.25">
      <c r="A221">
        <v>117</v>
      </c>
      <c r="B221">
        <v>41047001503</v>
      </c>
      <c r="C221">
        <v>0.28216843000000003</v>
      </c>
    </row>
    <row r="222" spans="1:3" x14ac:dyDescent="0.25">
      <c r="A222">
        <v>118</v>
      </c>
      <c r="B222">
        <v>41047001503</v>
      </c>
      <c r="C222">
        <v>0.19251956000000001</v>
      </c>
    </row>
    <row r="223" spans="1:3" x14ac:dyDescent="0.25">
      <c r="A223">
        <v>125</v>
      </c>
      <c r="B223">
        <v>41047001503</v>
      </c>
      <c r="C223">
        <v>1.0690400000000001E-3</v>
      </c>
    </row>
    <row r="224" spans="1:3" x14ac:dyDescent="0.25">
      <c r="A224">
        <v>126</v>
      </c>
      <c r="B224">
        <v>41047001503</v>
      </c>
      <c r="C224">
        <v>1.70656E-3</v>
      </c>
    </row>
    <row r="225" spans="1:3" x14ac:dyDescent="0.25">
      <c r="A225">
        <v>128</v>
      </c>
      <c r="B225">
        <v>41047001503</v>
      </c>
      <c r="C225">
        <v>0.28380558</v>
      </c>
    </row>
    <row r="226" spans="1:3" x14ac:dyDescent="0.25">
      <c r="A226">
        <v>211</v>
      </c>
      <c r="B226">
        <v>41047001503</v>
      </c>
      <c r="C226">
        <v>1.1568E-4</v>
      </c>
    </row>
    <row r="227" spans="1:3" x14ac:dyDescent="0.25">
      <c r="A227">
        <v>221</v>
      </c>
      <c r="B227">
        <v>41047001503</v>
      </c>
      <c r="C227">
        <v>7.2419999999999993E-4</v>
      </c>
    </row>
    <row r="228" spans="1:3" x14ac:dyDescent="0.25">
      <c r="A228">
        <v>222</v>
      </c>
      <c r="B228">
        <v>41047001503</v>
      </c>
      <c r="C228">
        <v>1.971821E-2</v>
      </c>
    </row>
    <row r="229" spans="1:3" x14ac:dyDescent="0.25">
      <c r="A229">
        <v>135</v>
      </c>
      <c r="B229">
        <v>41047001601</v>
      </c>
      <c r="C229">
        <v>3.5121400000000004E-3</v>
      </c>
    </row>
    <row r="230" spans="1:3" x14ac:dyDescent="0.25">
      <c r="A230">
        <v>136</v>
      </c>
      <c r="B230">
        <v>41047001601</v>
      </c>
      <c r="C230">
        <v>7.0723999999999993E-4</v>
      </c>
    </row>
    <row r="231" spans="1:3" x14ac:dyDescent="0.25">
      <c r="A231">
        <v>137</v>
      </c>
      <c r="B231">
        <v>41047001601</v>
      </c>
      <c r="C231">
        <v>3.0000000000000004E-8</v>
      </c>
    </row>
    <row r="232" spans="1:3" x14ac:dyDescent="0.25">
      <c r="A232">
        <v>140</v>
      </c>
      <c r="B232">
        <v>41047001601</v>
      </c>
      <c r="C232">
        <v>0.32056562</v>
      </c>
    </row>
    <row r="233" spans="1:3" x14ac:dyDescent="0.25">
      <c r="A233">
        <v>141</v>
      </c>
      <c r="B233">
        <v>41047001601</v>
      </c>
      <c r="C233">
        <v>0.17164335</v>
      </c>
    </row>
    <row r="234" spans="1:3" x14ac:dyDescent="0.25">
      <c r="A234">
        <v>143</v>
      </c>
      <c r="B234">
        <v>41047001601</v>
      </c>
      <c r="C234">
        <v>0.19194002000000002</v>
      </c>
    </row>
    <row r="235" spans="1:3" x14ac:dyDescent="0.25">
      <c r="A235">
        <v>144</v>
      </c>
      <c r="B235">
        <v>41047001601</v>
      </c>
      <c r="C235">
        <v>5.9037329999999999E-2</v>
      </c>
    </row>
    <row r="236" spans="1:3" x14ac:dyDescent="0.25">
      <c r="A236">
        <v>146</v>
      </c>
      <c r="B236">
        <v>41047001601</v>
      </c>
      <c r="C236">
        <v>0.2114346</v>
      </c>
    </row>
    <row r="237" spans="1:3" x14ac:dyDescent="0.25">
      <c r="A237">
        <v>147</v>
      </c>
      <c r="B237">
        <v>41047001601</v>
      </c>
      <c r="C237">
        <v>3.4983E-2</v>
      </c>
    </row>
    <row r="238" spans="1:3" x14ac:dyDescent="0.25">
      <c r="A238">
        <v>211</v>
      </c>
      <c r="B238">
        <v>41047001601</v>
      </c>
      <c r="C238">
        <v>4.1657899999999999E-3</v>
      </c>
    </row>
    <row r="239" spans="1:3" x14ac:dyDescent="0.25">
      <c r="A239">
        <v>212</v>
      </c>
      <c r="B239">
        <v>41047001601</v>
      </c>
      <c r="C239">
        <v>1.8476300000000001E-3</v>
      </c>
    </row>
    <row r="240" spans="1:3" x14ac:dyDescent="0.25">
      <c r="A240">
        <v>213</v>
      </c>
      <c r="B240">
        <v>41047001601</v>
      </c>
      <c r="C240">
        <v>1.3255999999999999E-4</v>
      </c>
    </row>
    <row r="241" spans="1:3" x14ac:dyDescent="0.25">
      <c r="A241">
        <v>141</v>
      </c>
      <c r="B241">
        <v>41047001602</v>
      </c>
      <c r="C241">
        <v>1.7932630000000001E-2</v>
      </c>
    </row>
    <row r="242" spans="1:3" x14ac:dyDescent="0.25">
      <c r="A242">
        <v>144</v>
      </c>
      <c r="B242">
        <v>41047001602</v>
      </c>
      <c r="C242">
        <v>3.8339800000000003E-3</v>
      </c>
    </row>
    <row r="243" spans="1:3" x14ac:dyDescent="0.25">
      <c r="A243">
        <v>146</v>
      </c>
      <c r="B243">
        <v>41047001602</v>
      </c>
      <c r="C243">
        <v>2.7796599999999998E-2</v>
      </c>
    </row>
    <row r="244" spans="1:3" x14ac:dyDescent="0.25">
      <c r="A244">
        <v>147</v>
      </c>
      <c r="B244">
        <v>41047001602</v>
      </c>
      <c r="C244">
        <v>0.14092570999999998</v>
      </c>
    </row>
    <row r="245" spans="1:3" x14ac:dyDescent="0.25">
      <c r="A245">
        <v>148</v>
      </c>
      <c r="B245">
        <v>41047001602</v>
      </c>
      <c r="C245">
        <v>0.11365809</v>
      </c>
    </row>
    <row r="246" spans="1:3" x14ac:dyDescent="0.25">
      <c r="A246">
        <v>149</v>
      </c>
      <c r="B246">
        <v>41047001602</v>
      </c>
      <c r="C246">
        <v>0.35838049</v>
      </c>
    </row>
    <row r="247" spans="1:3" x14ac:dyDescent="0.25">
      <c r="A247">
        <v>150</v>
      </c>
      <c r="B247">
        <v>41047001602</v>
      </c>
      <c r="C247">
        <v>0.27638293999999997</v>
      </c>
    </row>
    <row r="248" spans="1:3" x14ac:dyDescent="0.25">
      <c r="A248">
        <v>151</v>
      </c>
      <c r="B248">
        <v>41047001602</v>
      </c>
      <c r="C248">
        <v>5.6593320000000003E-2</v>
      </c>
    </row>
    <row r="249" spans="1:3" x14ac:dyDescent="0.25">
      <c r="A249">
        <v>154</v>
      </c>
      <c r="B249">
        <v>41047001602</v>
      </c>
      <c r="C249">
        <v>1.8260999999999999E-4</v>
      </c>
    </row>
    <row r="250" spans="1:3" x14ac:dyDescent="0.25">
      <c r="A250">
        <v>155</v>
      </c>
      <c r="B250">
        <v>41047001602</v>
      </c>
      <c r="C250">
        <v>7.9803999999999997E-4</v>
      </c>
    </row>
    <row r="251" spans="1:3" x14ac:dyDescent="0.25">
      <c r="A251">
        <v>156</v>
      </c>
      <c r="B251">
        <v>41047001602</v>
      </c>
      <c r="C251">
        <v>6.7959999999999993E-5</v>
      </c>
    </row>
    <row r="252" spans="1:3" x14ac:dyDescent="0.25">
      <c r="A252">
        <v>158</v>
      </c>
      <c r="B252">
        <v>41047001602</v>
      </c>
      <c r="C252">
        <v>2.7928000000000002E-4</v>
      </c>
    </row>
    <row r="253" spans="1:3" x14ac:dyDescent="0.25">
      <c r="A253">
        <v>213</v>
      </c>
      <c r="B253">
        <v>41047001602</v>
      </c>
      <c r="C253">
        <v>2.3498199999999999E-3</v>
      </c>
    </row>
    <row r="254" spans="1:3" x14ac:dyDescent="0.25">
      <c r="A254">
        <v>214</v>
      </c>
      <c r="B254">
        <v>41047001602</v>
      </c>
      <c r="C254">
        <v>8.1357E-4</v>
      </c>
    </row>
    <row r="255" spans="1:3" x14ac:dyDescent="0.25">
      <c r="A255">
        <v>284</v>
      </c>
      <c r="B255">
        <v>41047001602</v>
      </c>
      <c r="C255">
        <v>4.9700000000000007E-6</v>
      </c>
    </row>
    <row r="256" spans="1:3" x14ac:dyDescent="0.25">
      <c r="A256">
        <v>137</v>
      </c>
      <c r="B256">
        <v>41047001603</v>
      </c>
      <c r="C256">
        <v>3.4116000000000002E-4</v>
      </c>
    </row>
    <row r="257" spans="1:3" x14ac:dyDescent="0.25">
      <c r="A257">
        <v>138</v>
      </c>
      <c r="B257">
        <v>41047001603</v>
      </c>
      <c r="C257">
        <v>1.0859999999999999E-5</v>
      </c>
    </row>
    <row r="258" spans="1:3" x14ac:dyDescent="0.25">
      <c r="A258">
        <v>139</v>
      </c>
      <c r="B258">
        <v>41047001603</v>
      </c>
      <c r="C258">
        <v>0.25107971000000001</v>
      </c>
    </row>
    <row r="259" spans="1:3" x14ac:dyDescent="0.25">
      <c r="A259">
        <v>140</v>
      </c>
      <c r="B259">
        <v>41047001603</v>
      </c>
      <c r="C259">
        <v>3.2133799999999997E-2</v>
      </c>
    </row>
    <row r="260" spans="1:3" x14ac:dyDescent="0.25">
      <c r="A260">
        <v>146</v>
      </c>
      <c r="B260">
        <v>41047001603</v>
      </c>
      <c r="C260">
        <v>1.9071999999999999E-4</v>
      </c>
    </row>
    <row r="261" spans="1:3" x14ac:dyDescent="0.25">
      <c r="A261">
        <v>147</v>
      </c>
      <c r="B261">
        <v>41047001603</v>
      </c>
      <c r="C261">
        <v>0.10026847</v>
      </c>
    </row>
    <row r="262" spans="1:3" x14ac:dyDescent="0.25">
      <c r="A262">
        <v>148</v>
      </c>
      <c r="B262">
        <v>41047001603</v>
      </c>
      <c r="C262">
        <v>4.536519E-2</v>
      </c>
    </row>
    <row r="263" spans="1:3" x14ac:dyDescent="0.25">
      <c r="A263">
        <v>152</v>
      </c>
      <c r="B263">
        <v>41047001603</v>
      </c>
      <c r="C263">
        <v>0.19710533000000002</v>
      </c>
    </row>
    <row r="264" spans="1:3" x14ac:dyDescent="0.25">
      <c r="A264">
        <v>153</v>
      </c>
      <c r="B264">
        <v>41047001603</v>
      </c>
      <c r="C264">
        <v>0.31757660999999998</v>
      </c>
    </row>
    <row r="265" spans="1:3" x14ac:dyDescent="0.25">
      <c r="A265">
        <v>154</v>
      </c>
      <c r="B265">
        <v>41047001603</v>
      </c>
      <c r="C265">
        <v>5.5358669999999999E-2</v>
      </c>
    </row>
    <row r="266" spans="1:3" x14ac:dyDescent="0.25">
      <c r="A266">
        <v>168</v>
      </c>
      <c r="B266">
        <v>41047001603</v>
      </c>
      <c r="C266">
        <v>3.2218999999999998E-4</v>
      </c>
    </row>
    <row r="267" spans="1:3" x14ac:dyDescent="0.25">
      <c r="A267">
        <v>169</v>
      </c>
      <c r="B267">
        <v>41047001603</v>
      </c>
      <c r="C267">
        <v>2.0148E-4</v>
      </c>
    </row>
    <row r="268" spans="1:3" x14ac:dyDescent="0.25">
      <c r="A268">
        <v>170</v>
      </c>
      <c r="B268">
        <v>41047001603</v>
      </c>
      <c r="C268">
        <v>4.5819999999999998E-5</v>
      </c>
    </row>
    <row r="269" spans="1:3" x14ac:dyDescent="0.25">
      <c r="A269">
        <v>149</v>
      </c>
      <c r="B269">
        <v>41047001604</v>
      </c>
      <c r="C269">
        <v>3.7079999999999997E-5</v>
      </c>
    </row>
    <row r="270" spans="1:3" x14ac:dyDescent="0.25">
      <c r="A270">
        <v>151</v>
      </c>
      <c r="B270">
        <v>41047001604</v>
      </c>
      <c r="C270">
        <v>7.5240000000000005E-5</v>
      </c>
    </row>
    <row r="271" spans="1:3" x14ac:dyDescent="0.25">
      <c r="A271">
        <v>154</v>
      </c>
      <c r="B271">
        <v>41047001604</v>
      </c>
      <c r="C271">
        <v>0.20981547</v>
      </c>
    </row>
    <row r="272" spans="1:3" x14ac:dyDescent="0.25">
      <c r="A272">
        <v>155</v>
      </c>
      <c r="B272">
        <v>41047001604</v>
      </c>
      <c r="C272">
        <v>0.25260266999999997</v>
      </c>
    </row>
    <row r="273" spans="1:3" x14ac:dyDescent="0.25">
      <c r="A273">
        <v>156</v>
      </c>
      <c r="B273">
        <v>41047001604</v>
      </c>
      <c r="C273">
        <v>0.15575517999999999</v>
      </c>
    </row>
    <row r="274" spans="1:3" x14ac:dyDescent="0.25">
      <c r="A274">
        <v>158</v>
      </c>
      <c r="B274">
        <v>41047001604</v>
      </c>
      <c r="C274">
        <v>0.26157331</v>
      </c>
    </row>
    <row r="275" spans="1:3" x14ac:dyDescent="0.25">
      <c r="A275">
        <v>162</v>
      </c>
      <c r="B275">
        <v>41047001604</v>
      </c>
      <c r="C275">
        <v>0.11710053999999999</v>
      </c>
    </row>
    <row r="276" spans="1:3" x14ac:dyDescent="0.25">
      <c r="A276">
        <v>164</v>
      </c>
      <c r="B276">
        <v>41047001604</v>
      </c>
      <c r="C276">
        <v>6.6980999999999996E-4</v>
      </c>
    </row>
    <row r="277" spans="1:3" x14ac:dyDescent="0.25">
      <c r="A277">
        <v>168</v>
      </c>
      <c r="B277">
        <v>41047001604</v>
      </c>
      <c r="C277">
        <v>1.8678E-4</v>
      </c>
    </row>
    <row r="278" spans="1:3" x14ac:dyDescent="0.25">
      <c r="A278">
        <v>284</v>
      </c>
      <c r="B278">
        <v>41047001604</v>
      </c>
      <c r="C278">
        <v>2.1814899999999999E-3</v>
      </c>
    </row>
    <row r="279" spans="1:3" x14ac:dyDescent="0.25">
      <c r="A279">
        <v>286</v>
      </c>
      <c r="B279">
        <v>41047001604</v>
      </c>
      <c r="C279">
        <v>2.4200000000000001E-6</v>
      </c>
    </row>
    <row r="280" spans="1:3" x14ac:dyDescent="0.25">
      <c r="A280">
        <v>155</v>
      </c>
      <c r="B280">
        <v>41047001701</v>
      </c>
      <c r="C280">
        <v>9.0799999999999998E-5</v>
      </c>
    </row>
    <row r="281" spans="1:3" x14ac:dyDescent="0.25">
      <c r="A281">
        <v>162</v>
      </c>
      <c r="B281">
        <v>41047001701</v>
      </c>
      <c r="C281">
        <v>2.6380000000000002E-5</v>
      </c>
    </row>
    <row r="282" spans="1:3" x14ac:dyDescent="0.25">
      <c r="A282">
        <v>164</v>
      </c>
      <c r="B282">
        <v>41047001701</v>
      </c>
      <c r="C282">
        <v>0.21743953999999999</v>
      </c>
    </row>
    <row r="283" spans="1:3" x14ac:dyDescent="0.25">
      <c r="A283">
        <v>173</v>
      </c>
      <c r="B283">
        <v>41047001701</v>
      </c>
      <c r="C283">
        <v>0.33134990000000003</v>
      </c>
    </row>
    <row r="284" spans="1:3" x14ac:dyDescent="0.25">
      <c r="A284">
        <v>180</v>
      </c>
      <c r="B284">
        <v>41047001701</v>
      </c>
      <c r="C284">
        <v>0.44013835000000001</v>
      </c>
    </row>
    <row r="285" spans="1:3" x14ac:dyDescent="0.25">
      <c r="A285">
        <v>189</v>
      </c>
      <c r="B285">
        <v>41047001701</v>
      </c>
      <c r="C285">
        <v>1.2955E-4</v>
      </c>
    </row>
    <row r="286" spans="1:3" x14ac:dyDescent="0.25">
      <c r="A286">
        <v>286</v>
      </c>
      <c r="B286">
        <v>41047001701</v>
      </c>
      <c r="C286">
        <v>4.8772500000000005E-3</v>
      </c>
    </row>
    <row r="287" spans="1:3" x14ac:dyDescent="0.25">
      <c r="A287">
        <v>296</v>
      </c>
      <c r="B287">
        <v>41047001701</v>
      </c>
      <c r="C287">
        <v>2.2988000000000001E-3</v>
      </c>
    </row>
    <row r="288" spans="1:3" x14ac:dyDescent="0.25">
      <c r="A288">
        <v>300</v>
      </c>
      <c r="B288">
        <v>41047001701</v>
      </c>
      <c r="C288">
        <v>3.6494300000000004E-3</v>
      </c>
    </row>
    <row r="289" spans="1:3" x14ac:dyDescent="0.25">
      <c r="A289">
        <v>154</v>
      </c>
      <c r="B289">
        <v>41047001702</v>
      </c>
      <c r="C289">
        <v>6.8182999999999991E-4</v>
      </c>
    </row>
    <row r="290" spans="1:3" x14ac:dyDescent="0.25">
      <c r="A290">
        <v>155</v>
      </c>
      <c r="B290">
        <v>41047001702</v>
      </c>
      <c r="C290">
        <v>6.4095999999999999E-4</v>
      </c>
    </row>
    <row r="291" spans="1:3" x14ac:dyDescent="0.25">
      <c r="A291">
        <v>164</v>
      </c>
      <c r="B291">
        <v>41047001702</v>
      </c>
      <c r="C291">
        <v>1.5618199999999998E-3</v>
      </c>
    </row>
    <row r="292" spans="1:3" x14ac:dyDescent="0.25">
      <c r="A292">
        <v>168</v>
      </c>
      <c r="B292">
        <v>41047001702</v>
      </c>
      <c r="C292">
        <v>0.36924148000000001</v>
      </c>
    </row>
    <row r="293" spans="1:3" x14ac:dyDescent="0.25">
      <c r="A293">
        <v>172</v>
      </c>
      <c r="B293">
        <v>41047001702</v>
      </c>
      <c r="C293">
        <v>0.27389614000000001</v>
      </c>
    </row>
    <row r="294" spans="1:3" x14ac:dyDescent="0.25">
      <c r="A294">
        <v>173</v>
      </c>
      <c r="B294">
        <v>41047001702</v>
      </c>
      <c r="C294">
        <v>0.35397778000000002</v>
      </c>
    </row>
    <row r="295" spans="1:3" x14ac:dyDescent="0.25">
      <c r="A295">
        <v>153</v>
      </c>
      <c r="B295">
        <v>41047001703</v>
      </c>
      <c r="C295">
        <v>2.2727000000000001E-4</v>
      </c>
    </row>
    <row r="296" spans="1:3" x14ac:dyDescent="0.25">
      <c r="A296">
        <v>168</v>
      </c>
      <c r="B296">
        <v>41047001703</v>
      </c>
      <c r="C296">
        <v>6.2451E-4</v>
      </c>
    </row>
    <row r="297" spans="1:3" x14ac:dyDescent="0.25">
      <c r="A297">
        <v>169</v>
      </c>
      <c r="B297">
        <v>41047001703</v>
      </c>
      <c r="C297">
        <v>7.0341109999999998E-2</v>
      </c>
    </row>
    <row r="298" spans="1:3" x14ac:dyDescent="0.25">
      <c r="A298">
        <v>170</v>
      </c>
      <c r="B298">
        <v>41047001703</v>
      </c>
      <c r="C298">
        <v>0.27692656999999998</v>
      </c>
    </row>
    <row r="299" spans="1:3" x14ac:dyDescent="0.25">
      <c r="A299">
        <v>171</v>
      </c>
      <c r="B299">
        <v>41047001703</v>
      </c>
      <c r="C299">
        <v>0.12597307000000002</v>
      </c>
    </row>
    <row r="300" spans="1:3" x14ac:dyDescent="0.25">
      <c r="A300">
        <v>172</v>
      </c>
      <c r="B300">
        <v>41047001703</v>
      </c>
      <c r="C300">
        <v>9.0428390000000011E-2</v>
      </c>
    </row>
    <row r="301" spans="1:3" x14ac:dyDescent="0.25">
      <c r="A301">
        <v>173</v>
      </c>
      <c r="B301">
        <v>41047001703</v>
      </c>
      <c r="C301">
        <v>2.5697999999999997E-4</v>
      </c>
    </row>
    <row r="302" spans="1:3" x14ac:dyDescent="0.25">
      <c r="A302">
        <v>180</v>
      </c>
      <c r="B302">
        <v>41047001703</v>
      </c>
      <c r="C302">
        <v>9.7393900000000005E-2</v>
      </c>
    </row>
    <row r="303" spans="1:3" x14ac:dyDescent="0.25">
      <c r="A303">
        <v>185</v>
      </c>
      <c r="B303">
        <v>41047001703</v>
      </c>
      <c r="C303">
        <v>0.28410003</v>
      </c>
    </row>
    <row r="304" spans="1:3" x14ac:dyDescent="0.25">
      <c r="A304">
        <v>186</v>
      </c>
      <c r="B304">
        <v>41047001703</v>
      </c>
      <c r="C304">
        <v>4.4310349999999998E-2</v>
      </c>
    </row>
    <row r="305" spans="1:3" x14ac:dyDescent="0.25">
      <c r="A305">
        <v>189</v>
      </c>
      <c r="B305">
        <v>41047001703</v>
      </c>
      <c r="C305">
        <v>1.0590700000000001E-3</v>
      </c>
    </row>
    <row r="306" spans="1:3" x14ac:dyDescent="0.25">
      <c r="A306">
        <v>193</v>
      </c>
      <c r="B306">
        <v>41047001703</v>
      </c>
      <c r="C306">
        <v>8.3587799999999997E-3</v>
      </c>
    </row>
    <row r="307" spans="1:3" x14ac:dyDescent="0.25">
      <c r="A307">
        <v>180</v>
      </c>
      <c r="B307">
        <v>41047001801</v>
      </c>
      <c r="C307">
        <v>3.4776400000000002E-3</v>
      </c>
    </row>
    <row r="308" spans="1:3" x14ac:dyDescent="0.25">
      <c r="A308">
        <v>189</v>
      </c>
      <c r="B308">
        <v>41047001801</v>
      </c>
      <c r="C308">
        <v>0.29970878000000001</v>
      </c>
    </row>
    <row r="309" spans="1:3" x14ac:dyDescent="0.25">
      <c r="A309">
        <v>194</v>
      </c>
      <c r="B309">
        <v>41047001801</v>
      </c>
      <c r="C309">
        <v>0.28396985000000002</v>
      </c>
    </row>
    <row r="310" spans="1:3" x14ac:dyDescent="0.25">
      <c r="A310">
        <v>196</v>
      </c>
      <c r="B310">
        <v>41047001801</v>
      </c>
      <c r="C310">
        <v>0.40552509000000003</v>
      </c>
    </row>
    <row r="311" spans="1:3" x14ac:dyDescent="0.25">
      <c r="A311">
        <v>200</v>
      </c>
      <c r="B311">
        <v>41047001801</v>
      </c>
      <c r="C311">
        <v>4.3769999999999996E-5</v>
      </c>
    </row>
    <row r="312" spans="1:3" x14ac:dyDescent="0.25">
      <c r="A312">
        <v>300</v>
      </c>
      <c r="B312">
        <v>41047001801</v>
      </c>
      <c r="C312">
        <v>1.11973E-3</v>
      </c>
    </row>
    <row r="313" spans="1:3" x14ac:dyDescent="0.25">
      <c r="A313">
        <v>304</v>
      </c>
      <c r="B313">
        <v>41047001801</v>
      </c>
      <c r="C313">
        <v>3.7534700000000001E-3</v>
      </c>
    </row>
    <row r="314" spans="1:3" x14ac:dyDescent="0.25">
      <c r="A314">
        <v>395</v>
      </c>
      <c r="B314">
        <v>41047001801</v>
      </c>
      <c r="C314">
        <v>2.4016799999999998E-3</v>
      </c>
    </row>
    <row r="315" spans="1:3" x14ac:dyDescent="0.25">
      <c r="A315">
        <v>189</v>
      </c>
      <c r="B315">
        <v>41047001802</v>
      </c>
      <c r="C315">
        <v>5.6827000000000006E-4</v>
      </c>
    </row>
    <row r="316" spans="1:3" x14ac:dyDescent="0.25">
      <c r="A316">
        <v>193</v>
      </c>
      <c r="B316">
        <v>41047001802</v>
      </c>
      <c r="C316">
        <v>9.0793780000000004E-2</v>
      </c>
    </row>
    <row r="317" spans="1:3" x14ac:dyDescent="0.25">
      <c r="A317">
        <v>194</v>
      </c>
      <c r="B317">
        <v>41047001802</v>
      </c>
      <c r="C317">
        <v>2.9262E-4</v>
      </c>
    </row>
    <row r="318" spans="1:3" x14ac:dyDescent="0.25">
      <c r="A318">
        <v>196</v>
      </c>
      <c r="B318">
        <v>41047001802</v>
      </c>
      <c r="C318">
        <v>0.26778214</v>
      </c>
    </row>
    <row r="319" spans="1:3" x14ac:dyDescent="0.25">
      <c r="A319">
        <v>200</v>
      </c>
      <c r="B319">
        <v>41047001802</v>
      </c>
      <c r="C319">
        <v>4.4166190000000001E-2</v>
      </c>
    </row>
    <row r="320" spans="1:3" x14ac:dyDescent="0.25">
      <c r="A320">
        <v>204</v>
      </c>
      <c r="B320">
        <v>41047001802</v>
      </c>
      <c r="C320">
        <v>5.1389600000000001E-2</v>
      </c>
    </row>
    <row r="321" spans="1:3" x14ac:dyDescent="0.25">
      <c r="A321">
        <v>205</v>
      </c>
      <c r="B321">
        <v>41047001802</v>
      </c>
      <c r="C321">
        <v>0.21115615999999998</v>
      </c>
    </row>
    <row r="322" spans="1:3" x14ac:dyDescent="0.25">
      <c r="A322">
        <v>206</v>
      </c>
      <c r="B322">
        <v>41047001802</v>
      </c>
      <c r="C322">
        <v>0.33365526000000001</v>
      </c>
    </row>
    <row r="323" spans="1:3" x14ac:dyDescent="0.25">
      <c r="A323">
        <v>207</v>
      </c>
      <c r="B323">
        <v>41047001802</v>
      </c>
      <c r="C323">
        <v>7.8480000000000008E-5</v>
      </c>
    </row>
    <row r="324" spans="1:3" x14ac:dyDescent="0.25">
      <c r="A324">
        <v>395</v>
      </c>
      <c r="B324">
        <v>41047001802</v>
      </c>
      <c r="C324">
        <v>1.1749E-4</v>
      </c>
    </row>
    <row r="325" spans="1:3" x14ac:dyDescent="0.25">
      <c r="A325">
        <v>194</v>
      </c>
      <c r="B325">
        <v>41047001803</v>
      </c>
      <c r="C325">
        <v>3.5207000000000001E-4</v>
      </c>
    </row>
    <row r="326" spans="1:3" x14ac:dyDescent="0.25">
      <c r="A326">
        <v>196</v>
      </c>
      <c r="B326">
        <v>41047001803</v>
      </c>
      <c r="C326">
        <v>3.3154999999999995E-4</v>
      </c>
    </row>
    <row r="327" spans="1:3" x14ac:dyDescent="0.25">
      <c r="A327">
        <v>200</v>
      </c>
      <c r="B327">
        <v>41047001803</v>
      </c>
      <c r="C327">
        <v>3.3091000000000001E-4</v>
      </c>
    </row>
    <row r="328" spans="1:3" x14ac:dyDescent="0.25">
      <c r="A328">
        <v>204</v>
      </c>
      <c r="B328">
        <v>41047001803</v>
      </c>
      <c r="C328">
        <v>8.005E-4</v>
      </c>
    </row>
    <row r="329" spans="1:3" x14ac:dyDescent="0.25">
      <c r="A329">
        <v>207</v>
      </c>
      <c r="B329">
        <v>41047001803</v>
      </c>
      <c r="C329">
        <v>5.8240000000000005E-5</v>
      </c>
    </row>
    <row r="330" spans="1:3" x14ac:dyDescent="0.25">
      <c r="A330">
        <v>304</v>
      </c>
      <c r="B330">
        <v>41047001803</v>
      </c>
      <c r="C330">
        <v>3.3799999999999998E-6</v>
      </c>
    </row>
    <row r="331" spans="1:3" x14ac:dyDescent="0.25">
      <c r="A331">
        <v>354</v>
      </c>
      <c r="B331">
        <v>41047001803</v>
      </c>
      <c r="C331">
        <v>2.30926E-3</v>
      </c>
    </row>
    <row r="332" spans="1:3" x14ac:dyDescent="0.25">
      <c r="A332">
        <v>373</v>
      </c>
      <c r="B332">
        <v>41047001803</v>
      </c>
      <c r="C332">
        <v>8.3888000000000007E-4</v>
      </c>
    </row>
    <row r="333" spans="1:3" x14ac:dyDescent="0.25">
      <c r="A333">
        <v>395</v>
      </c>
      <c r="B333">
        <v>41047001803</v>
      </c>
      <c r="C333">
        <v>0.81102303000000009</v>
      </c>
    </row>
    <row r="334" spans="1:3" x14ac:dyDescent="0.25">
      <c r="A334">
        <v>396</v>
      </c>
      <c r="B334">
        <v>41047001803</v>
      </c>
      <c r="C334">
        <v>5.1299650000000002E-2</v>
      </c>
    </row>
    <row r="335" spans="1:3" x14ac:dyDescent="0.25">
      <c r="A335">
        <v>411</v>
      </c>
      <c r="B335">
        <v>41047001803</v>
      </c>
      <c r="C335">
        <v>5.7777820000000001E-2</v>
      </c>
    </row>
    <row r="336" spans="1:3" x14ac:dyDescent="0.25">
      <c r="A336">
        <v>414</v>
      </c>
      <c r="B336">
        <v>41047001803</v>
      </c>
      <c r="C336">
        <v>1.241105E-2</v>
      </c>
    </row>
    <row r="337" spans="1:3" x14ac:dyDescent="0.25">
      <c r="A337">
        <v>415</v>
      </c>
      <c r="B337">
        <v>41047001803</v>
      </c>
      <c r="C337">
        <v>1.419606E-2</v>
      </c>
    </row>
    <row r="338" spans="1:3" x14ac:dyDescent="0.25">
      <c r="A338">
        <v>419</v>
      </c>
      <c r="B338">
        <v>41047001803</v>
      </c>
      <c r="C338">
        <v>1.382E-5</v>
      </c>
    </row>
    <row r="339" spans="1:3" x14ac:dyDescent="0.25">
      <c r="A339">
        <v>420</v>
      </c>
      <c r="B339">
        <v>41047001803</v>
      </c>
      <c r="C339">
        <v>1.2085E-4</v>
      </c>
    </row>
    <row r="340" spans="1:3" x14ac:dyDescent="0.25">
      <c r="A340">
        <v>451</v>
      </c>
      <c r="B340">
        <v>41047001803</v>
      </c>
      <c r="C340">
        <v>4.8132929999999997E-2</v>
      </c>
    </row>
    <row r="341" spans="1:3" x14ac:dyDescent="0.25">
      <c r="A341">
        <v>350</v>
      </c>
      <c r="B341">
        <v>41047002000</v>
      </c>
      <c r="C341">
        <v>2.6000999999999997E-4</v>
      </c>
    </row>
    <row r="342" spans="1:3" x14ac:dyDescent="0.25">
      <c r="A342">
        <v>354</v>
      </c>
      <c r="B342">
        <v>41047002000</v>
      </c>
      <c r="C342">
        <v>5.1655799999999995E-3</v>
      </c>
    </row>
    <row r="343" spans="1:3" x14ac:dyDescent="0.25">
      <c r="A343">
        <v>357</v>
      </c>
      <c r="B343">
        <v>41047002000</v>
      </c>
      <c r="C343">
        <v>0.30246419000000002</v>
      </c>
    </row>
    <row r="344" spans="1:3" x14ac:dyDescent="0.25">
      <c r="A344">
        <v>368</v>
      </c>
      <c r="B344">
        <v>41047002000</v>
      </c>
      <c r="C344">
        <v>4.4299999999999999E-5</v>
      </c>
    </row>
    <row r="345" spans="1:3" x14ac:dyDescent="0.25">
      <c r="A345">
        <v>373</v>
      </c>
      <c r="B345">
        <v>41047002000</v>
      </c>
      <c r="C345">
        <v>0.30400417000000002</v>
      </c>
    </row>
    <row r="346" spans="1:3" x14ac:dyDescent="0.25">
      <c r="A346">
        <v>374</v>
      </c>
      <c r="B346">
        <v>41047002000</v>
      </c>
      <c r="C346">
        <v>0.17535071999999999</v>
      </c>
    </row>
    <row r="347" spans="1:3" x14ac:dyDescent="0.25">
      <c r="A347">
        <v>388</v>
      </c>
      <c r="B347">
        <v>41047002000</v>
      </c>
      <c r="C347">
        <v>8.8273740000000003E-2</v>
      </c>
    </row>
    <row r="348" spans="1:3" x14ac:dyDescent="0.25">
      <c r="A348">
        <v>389</v>
      </c>
      <c r="B348">
        <v>41047002000</v>
      </c>
      <c r="C348">
        <v>0.12443721999999999</v>
      </c>
    </row>
    <row r="349" spans="1:3" x14ac:dyDescent="0.25">
      <c r="A349">
        <v>420</v>
      </c>
      <c r="B349">
        <v>41047002000</v>
      </c>
      <c r="C349">
        <v>1.1000000000000001E-6</v>
      </c>
    </row>
    <row r="350" spans="1:3" x14ac:dyDescent="0.25">
      <c r="A350">
        <v>323</v>
      </c>
      <c r="B350">
        <v>41047002101</v>
      </c>
      <c r="C350">
        <v>1.4822999999999998E-4</v>
      </c>
    </row>
    <row r="351" spans="1:3" x14ac:dyDescent="0.25">
      <c r="A351">
        <v>334</v>
      </c>
      <c r="B351">
        <v>41047002101</v>
      </c>
      <c r="C351">
        <v>1.4197999999999999E-4</v>
      </c>
    </row>
    <row r="352" spans="1:3" x14ac:dyDescent="0.25">
      <c r="A352">
        <v>335</v>
      </c>
      <c r="B352">
        <v>41047002101</v>
      </c>
      <c r="C352">
        <v>0.98633351000000002</v>
      </c>
    </row>
    <row r="353" spans="1:3" x14ac:dyDescent="0.25">
      <c r="A353">
        <v>336</v>
      </c>
      <c r="B353">
        <v>41047002101</v>
      </c>
      <c r="C353">
        <v>6.50054E-3</v>
      </c>
    </row>
    <row r="354" spans="1:3" x14ac:dyDescent="0.25">
      <c r="A354">
        <v>350</v>
      </c>
      <c r="B354">
        <v>41047002101</v>
      </c>
      <c r="C354">
        <v>6.87573E-3</v>
      </c>
    </row>
    <row r="355" spans="1:3" x14ac:dyDescent="0.25">
      <c r="A355">
        <v>335</v>
      </c>
      <c r="B355">
        <v>41047002102</v>
      </c>
      <c r="C355">
        <v>4.3067399999999999E-3</v>
      </c>
    </row>
    <row r="356" spans="1:3" x14ac:dyDescent="0.25">
      <c r="A356">
        <v>350</v>
      </c>
      <c r="B356">
        <v>41047002102</v>
      </c>
      <c r="C356">
        <v>1.62466E-3</v>
      </c>
    </row>
    <row r="357" spans="1:3" x14ac:dyDescent="0.25">
      <c r="A357">
        <v>357</v>
      </c>
      <c r="B357">
        <v>41047002102</v>
      </c>
      <c r="C357">
        <v>1.01716E-3</v>
      </c>
    </row>
    <row r="358" spans="1:3" x14ac:dyDescent="0.25">
      <c r="A358">
        <v>358</v>
      </c>
      <c r="B358">
        <v>41047002102</v>
      </c>
      <c r="C358">
        <v>0.23460669000000001</v>
      </c>
    </row>
    <row r="359" spans="1:3" x14ac:dyDescent="0.25">
      <c r="A359">
        <v>359</v>
      </c>
      <c r="B359">
        <v>41047002102</v>
      </c>
      <c r="C359">
        <v>0.19697334999999999</v>
      </c>
    </row>
    <row r="360" spans="1:3" x14ac:dyDescent="0.25">
      <c r="A360">
        <v>365</v>
      </c>
      <c r="B360">
        <v>41047002102</v>
      </c>
      <c r="C360">
        <v>4.3000000000000001E-7</v>
      </c>
    </row>
    <row r="361" spans="1:3" x14ac:dyDescent="0.25">
      <c r="A361">
        <v>366</v>
      </c>
      <c r="B361">
        <v>41047002102</v>
      </c>
      <c r="C361">
        <v>0.17464151</v>
      </c>
    </row>
    <row r="362" spans="1:3" x14ac:dyDescent="0.25">
      <c r="A362">
        <v>368</v>
      </c>
      <c r="B362">
        <v>41047002102</v>
      </c>
      <c r="C362">
        <v>0.38665768</v>
      </c>
    </row>
    <row r="363" spans="1:3" x14ac:dyDescent="0.25">
      <c r="A363">
        <v>322</v>
      </c>
      <c r="B363">
        <v>41047002201</v>
      </c>
      <c r="C363">
        <v>4.2388799999999996E-3</v>
      </c>
    </row>
    <row r="364" spans="1:3" x14ac:dyDescent="0.25">
      <c r="A364">
        <v>323</v>
      </c>
      <c r="B364">
        <v>41047002201</v>
      </c>
      <c r="C364">
        <v>2.1460000000000001E-4</v>
      </c>
    </row>
    <row r="365" spans="1:3" x14ac:dyDescent="0.25">
      <c r="A365">
        <v>332</v>
      </c>
      <c r="B365">
        <v>41047002201</v>
      </c>
      <c r="C365">
        <v>3.42355E-3</v>
      </c>
    </row>
    <row r="366" spans="1:3" x14ac:dyDescent="0.25">
      <c r="A366">
        <v>333</v>
      </c>
      <c r="B366">
        <v>41047002201</v>
      </c>
      <c r="C366">
        <v>0.36678673000000006</v>
      </c>
    </row>
    <row r="367" spans="1:3" x14ac:dyDescent="0.25">
      <c r="A367">
        <v>334</v>
      </c>
      <c r="B367">
        <v>41047002201</v>
      </c>
      <c r="C367">
        <v>0.6184288</v>
      </c>
    </row>
    <row r="368" spans="1:3" x14ac:dyDescent="0.25">
      <c r="A368">
        <v>335</v>
      </c>
      <c r="B368">
        <v>41047002201</v>
      </c>
      <c r="C368">
        <v>4.6528000000000003E-3</v>
      </c>
    </row>
    <row r="369" spans="1:3" x14ac:dyDescent="0.25">
      <c r="A369">
        <v>347</v>
      </c>
      <c r="B369">
        <v>41047002201</v>
      </c>
      <c r="C369">
        <v>2.25464E-3</v>
      </c>
    </row>
    <row r="370" spans="1:3" x14ac:dyDescent="0.25">
      <c r="A370">
        <v>333</v>
      </c>
      <c r="B370">
        <v>41047002202</v>
      </c>
      <c r="C370">
        <v>8.9263999999999999E-4</v>
      </c>
    </row>
    <row r="371" spans="1:3" x14ac:dyDescent="0.25">
      <c r="A371">
        <v>334</v>
      </c>
      <c r="B371">
        <v>41047002202</v>
      </c>
      <c r="C371">
        <v>1.3794300000000001E-3</v>
      </c>
    </row>
    <row r="372" spans="1:3" x14ac:dyDescent="0.25">
      <c r="A372">
        <v>335</v>
      </c>
      <c r="B372">
        <v>41047002202</v>
      </c>
      <c r="C372">
        <v>2.05886E-3</v>
      </c>
    </row>
    <row r="373" spans="1:3" x14ac:dyDescent="0.25">
      <c r="A373">
        <v>346</v>
      </c>
      <c r="B373">
        <v>41047002202</v>
      </c>
      <c r="C373">
        <v>0.14546195000000001</v>
      </c>
    </row>
    <row r="374" spans="1:3" x14ac:dyDescent="0.25">
      <c r="A374">
        <v>347</v>
      </c>
      <c r="B374">
        <v>41047002202</v>
      </c>
      <c r="C374">
        <v>0.17307424999999999</v>
      </c>
    </row>
    <row r="375" spans="1:3" x14ac:dyDescent="0.25">
      <c r="A375">
        <v>359</v>
      </c>
      <c r="B375">
        <v>41047002202</v>
      </c>
      <c r="C375">
        <v>1.49544E-3</v>
      </c>
    </row>
    <row r="376" spans="1:3" x14ac:dyDescent="0.25">
      <c r="A376">
        <v>360</v>
      </c>
      <c r="B376">
        <v>41047002202</v>
      </c>
      <c r="C376">
        <v>0.13739493999999999</v>
      </c>
    </row>
    <row r="377" spans="1:3" x14ac:dyDescent="0.25">
      <c r="A377">
        <v>361</v>
      </c>
      <c r="B377">
        <v>41047002202</v>
      </c>
      <c r="C377">
        <v>8.3631930000000007E-2</v>
      </c>
    </row>
    <row r="378" spans="1:3" x14ac:dyDescent="0.25">
      <c r="A378">
        <v>362</v>
      </c>
      <c r="B378">
        <v>41047002202</v>
      </c>
      <c r="C378">
        <v>8.6586969999999999E-2</v>
      </c>
    </row>
    <row r="379" spans="1:3" x14ac:dyDescent="0.25">
      <c r="A379">
        <v>363</v>
      </c>
      <c r="B379">
        <v>41047002202</v>
      </c>
      <c r="C379">
        <v>0.29133150000000002</v>
      </c>
    </row>
    <row r="380" spans="1:3" x14ac:dyDescent="0.25">
      <c r="A380">
        <v>365</v>
      </c>
      <c r="B380">
        <v>41047002202</v>
      </c>
      <c r="C380">
        <v>7.5789429999999991E-2</v>
      </c>
    </row>
    <row r="381" spans="1:3" x14ac:dyDescent="0.25">
      <c r="A381">
        <v>366</v>
      </c>
      <c r="B381">
        <v>41047002202</v>
      </c>
      <c r="C381">
        <v>7.0874999999999996E-4</v>
      </c>
    </row>
    <row r="382" spans="1:3" x14ac:dyDescent="0.25">
      <c r="A382">
        <v>380</v>
      </c>
      <c r="B382">
        <v>41047002202</v>
      </c>
      <c r="C382">
        <v>7.1130000000000005E-5</v>
      </c>
    </row>
    <row r="383" spans="1:3" x14ac:dyDescent="0.25">
      <c r="A383">
        <v>381</v>
      </c>
      <c r="B383">
        <v>41047002202</v>
      </c>
      <c r="C383">
        <v>1.2279000000000001E-4</v>
      </c>
    </row>
    <row r="384" spans="1:3" x14ac:dyDescent="0.25">
      <c r="A384">
        <v>365</v>
      </c>
      <c r="B384">
        <v>41047002301</v>
      </c>
      <c r="C384">
        <v>2.5290600000000001E-3</v>
      </c>
    </row>
    <row r="385" spans="1:3" x14ac:dyDescent="0.25">
      <c r="A385">
        <v>366</v>
      </c>
      <c r="B385">
        <v>41047002301</v>
      </c>
      <c r="C385">
        <v>1.4657E-4</v>
      </c>
    </row>
    <row r="386" spans="1:3" x14ac:dyDescent="0.25">
      <c r="A386">
        <v>379</v>
      </c>
      <c r="B386">
        <v>41047002301</v>
      </c>
      <c r="C386">
        <v>3.5036999999999997E-4</v>
      </c>
    </row>
    <row r="387" spans="1:3" x14ac:dyDescent="0.25">
      <c r="A387">
        <v>380</v>
      </c>
      <c r="B387">
        <v>41047002301</v>
      </c>
      <c r="C387">
        <v>0.33017885000000002</v>
      </c>
    </row>
    <row r="388" spans="1:3" x14ac:dyDescent="0.25">
      <c r="A388">
        <v>381</v>
      </c>
      <c r="B388">
        <v>41047002301</v>
      </c>
      <c r="C388">
        <v>1.2026E-4</v>
      </c>
    </row>
    <row r="389" spans="1:3" x14ac:dyDescent="0.25">
      <c r="A389">
        <v>382</v>
      </c>
      <c r="B389">
        <v>41047002301</v>
      </c>
      <c r="C389">
        <v>5.8221E-4</v>
      </c>
    </row>
    <row r="390" spans="1:3" x14ac:dyDescent="0.25">
      <c r="A390">
        <v>423</v>
      </c>
      <c r="B390">
        <v>41047002301</v>
      </c>
      <c r="C390">
        <v>1.7461000000000001E-4</v>
      </c>
    </row>
    <row r="391" spans="1:3" x14ac:dyDescent="0.25">
      <c r="A391">
        <v>427</v>
      </c>
      <c r="B391">
        <v>41047002301</v>
      </c>
      <c r="C391">
        <v>6.7479999999999998E-5</v>
      </c>
    </row>
    <row r="392" spans="1:3" x14ac:dyDescent="0.25">
      <c r="A392">
        <v>428</v>
      </c>
      <c r="B392">
        <v>41047002301</v>
      </c>
      <c r="C392">
        <v>0.45192160999999997</v>
      </c>
    </row>
    <row r="393" spans="1:3" x14ac:dyDescent="0.25">
      <c r="A393">
        <v>429</v>
      </c>
      <c r="B393">
        <v>41047002301</v>
      </c>
      <c r="C393">
        <v>0.21378789000000001</v>
      </c>
    </row>
    <row r="394" spans="1:3" x14ac:dyDescent="0.25">
      <c r="A394">
        <v>430</v>
      </c>
      <c r="B394">
        <v>41047002301</v>
      </c>
      <c r="C394">
        <v>1.4109999999999999E-4</v>
      </c>
    </row>
    <row r="395" spans="1:3" x14ac:dyDescent="0.25">
      <c r="A395">
        <v>366</v>
      </c>
      <c r="B395">
        <v>41047002303</v>
      </c>
      <c r="C395">
        <v>5.0230439999999994E-2</v>
      </c>
    </row>
    <row r="396" spans="1:3" x14ac:dyDescent="0.25">
      <c r="A396">
        <v>368</v>
      </c>
      <c r="B396">
        <v>41047002303</v>
      </c>
      <c r="C396">
        <v>9.3880730000000009E-2</v>
      </c>
    </row>
    <row r="397" spans="1:3" x14ac:dyDescent="0.25">
      <c r="A397">
        <v>374</v>
      </c>
      <c r="B397">
        <v>41047002303</v>
      </c>
      <c r="C397">
        <v>5.0995500000000004E-3</v>
      </c>
    </row>
    <row r="398" spans="1:3" x14ac:dyDescent="0.25">
      <c r="A398">
        <v>376</v>
      </c>
      <c r="B398">
        <v>41047002303</v>
      </c>
      <c r="C398">
        <v>0.12257059999999999</v>
      </c>
    </row>
    <row r="399" spans="1:3" x14ac:dyDescent="0.25">
      <c r="A399">
        <v>378</v>
      </c>
      <c r="B399">
        <v>41047002303</v>
      </c>
      <c r="C399">
        <v>0.27936902000000002</v>
      </c>
    </row>
    <row r="400" spans="1:3" x14ac:dyDescent="0.25">
      <c r="A400">
        <v>379</v>
      </c>
      <c r="B400">
        <v>41047002303</v>
      </c>
      <c r="C400">
        <v>0.16902657999999998</v>
      </c>
    </row>
    <row r="401" spans="1:3" x14ac:dyDescent="0.25">
      <c r="A401">
        <v>380</v>
      </c>
      <c r="B401">
        <v>41047002303</v>
      </c>
      <c r="C401">
        <v>1.2103E-4</v>
      </c>
    </row>
    <row r="402" spans="1:3" x14ac:dyDescent="0.25">
      <c r="A402">
        <v>382</v>
      </c>
      <c r="B402">
        <v>41047002303</v>
      </c>
      <c r="C402">
        <v>0.10027561</v>
      </c>
    </row>
    <row r="403" spans="1:3" x14ac:dyDescent="0.25">
      <c r="A403">
        <v>383</v>
      </c>
      <c r="B403">
        <v>41047002303</v>
      </c>
      <c r="C403">
        <v>8.7271399999999999E-2</v>
      </c>
    </row>
    <row r="404" spans="1:3" x14ac:dyDescent="0.25">
      <c r="A404">
        <v>384</v>
      </c>
      <c r="B404">
        <v>41047002303</v>
      </c>
      <c r="C404">
        <v>9.2114790000000002E-2</v>
      </c>
    </row>
    <row r="405" spans="1:3" x14ac:dyDescent="0.25">
      <c r="A405">
        <v>429</v>
      </c>
      <c r="B405">
        <v>41047002303</v>
      </c>
      <c r="C405">
        <v>9.910000000000001E-5</v>
      </c>
    </row>
    <row r="406" spans="1:3" x14ac:dyDescent="0.25">
      <c r="A406">
        <v>374</v>
      </c>
      <c r="B406">
        <v>41047002304</v>
      </c>
      <c r="C406">
        <v>1.00136E-3</v>
      </c>
    </row>
    <row r="407" spans="1:3" x14ac:dyDescent="0.25">
      <c r="A407">
        <v>382</v>
      </c>
      <c r="B407">
        <v>41047002304</v>
      </c>
      <c r="C407">
        <v>0.10491593</v>
      </c>
    </row>
    <row r="408" spans="1:3" x14ac:dyDescent="0.25">
      <c r="A408">
        <v>383</v>
      </c>
      <c r="B408">
        <v>41047002304</v>
      </c>
      <c r="C408">
        <v>0.11736340000000001</v>
      </c>
    </row>
    <row r="409" spans="1:3" x14ac:dyDescent="0.25">
      <c r="A409">
        <v>384</v>
      </c>
      <c r="B409">
        <v>41047002304</v>
      </c>
      <c r="C409">
        <v>5.9513420000000004E-2</v>
      </c>
    </row>
    <row r="410" spans="1:3" x14ac:dyDescent="0.25">
      <c r="A410">
        <v>389</v>
      </c>
      <c r="B410">
        <v>41047002304</v>
      </c>
      <c r="C410">
        <v>1.76567E-3</v>
      </c>
    </row>
    <row r="411" spans="1:3" x14ac:dyDescent="0.25">
      <c r="A411">
        <v>390</v>
      </c>
      <c r="B411">
        <v>41047002304</v>
      </c>
      <c r="C411">
        <v>0.24121991000000001</v>
      </c>
    </row>
    <row r="412" spans="1:3" x14ac:dyDescent="0.25">
      <c r="A412">
        <v>421</v>
      </c>
      <c r="B412">
        <v>41047002304</v>
      </c>
      <c r="C412">
        <v>1.1932E-4</v>
      </c>
    </row>
    <row r="413" spans="1:3" x14ac:dyDescent="0.25">
      <c r="A413">
        <v>422</v>
      </c>
      <c r="B413">
        <v>41047002304</v>
      </c>
      <c r="C413">
        <v>6.4448000000000001E-4</v>
      </c>
    </row>
    <row r="414" spans="1:3" x14ac:dyDescent="0.25">
      <c r="A414">
        <v>423</v>
      </c>
      <c r="B414">
        <v>41047002304</v>
      </c>
      <c r="C414">
        <v>4.0502000000000002E-4</v>
      </c>
    </row>
    <row r="415" spans="1:3" x14ac:dyDescent="0.25">
      <c r="A415">
        <v>426</v>
      </c>
      <c r="B415">
        <v>41047002304</v>
      </c>
      <c r="C415">
        <v>0.33598163999999997</v>
      </c>
    </row>
    <row r="416" spans="1:3" x14ac:dyDescent="0.25">
      <c r="A416">
        <v>427</v>
      </c>
      <c r="B416">
        <v>41047002304</v>
      </c>
      <c r="C416">
        <v>0.13697587999999999</v>
      </c>
    </row>
    <row r="417" spans="1:3" x14ac:dyDescent="0.25">
      <c r="A417">
        <v>428</v>
      </c>
      <c r="B417">
        <v>41047002304</v>
      </c>
      <c r="C417">
        <v>2.0019999999999998E-5</v>
      </c>
    </row>
    <row r="418" spans="1:3" x14ac:dyDescent="0.25">
      <c r="A418">
        <v>429</v>
      </c>
      <c r="B418">
        <v>41047002304</v>
      </c>
      <c r="C418">
        <v>6.6459999999999997E-5</v>
      </c>
    </row>
    <row r="419" spans="1:3" x14ac:dyDescent="0.25">
      <c r="A419">
        <v>37</v>
      </c>
      <c r="B419">
        <v>41047002400</v>
      </c>
      <c r="C419">
        <v>9.4256000000000006E-4</v>
      </c>
    </row>
    <row r="420" spans="1:3" x14ac:dyDescent="0.25">
      <c r="A420">
        <v>38</v>
      </c>
      <c r="B420">
        <v>41047002400</v>
      </c>
      <c r="C420">
        <v>1.68257E-3</v>
      </c>
    </row>
    <row r="421" spans="1:3" x14ac:dyDescent="0.25">
      <c r="A421">
        <v>71</v>
      </c>
      <c r="B421">
        <v>41047002400</v>
      </c>
      <c r="C421">
        <v>7.5449000000000002E-4</v>
      </c>
    </row>
    <row r="422" spans="1:3" x14ac:dyDescent="0.25">
      <c r="A422">
        <v>333</v>
      </c>
      <c r="B422">
        <v>41047002400</v>
      </c>
      <c r="C422">
        <v>3.7448000000000001E-4</v>
      </c>
    </row>
    <row r="423" spans="1:3" x14ac:dyDescent="0.25">
      <c r="A423">
        <v>345</v>
      </c>
      <c r="B423">
        <v>41047002400</v>
      </c>
      <c r="C423">
        <v>7.3572600000000002E-2</v>
      </c>
    </row>
    <row r="424" spans="1:3" x14ac:dyDescent="0.25">
      <c r="A424">
        <v>346</v>
      </c>
      <c r="B424">
        <v>41047002400</v>
      </c>
      <c r="C424">
        <v>8.9456999999999991E-4</v>
      </c>
    </row>
    <row r="425" spans="1:3" x14ac:dyDescent="0.25">
      <c r="A425">
        <v>361</v>
      </c>
      <c r="B425">
        <v>41047002400</v>
      </c>
      <c r="C425">
        <v>5.5356000000000003E-4</v>
      </c>
    </row>
    <row r="426" spans="1:3" x14ac:dyDescent="0.25">
      <c r="A426">
        <v>362</v>
      </c>
      <c r="B426">
        <v>41047002400</v>
      </c>
      <c r="C426">
        <v>7.517E-4</v>
      </c>
    </row>
    <row r="427" spans="1:3" x14ac:dyDescent="0.25">
      <c r="A427">
        <v>363</v>
      </c>
      <c r="B427">
        <v>41047002400</v>
      </c>
      <c r="C427">
        <v>9.7355E-4</v>
      </c>
    </row>
    <row r="428" spans="1:3" x14ac:dyDescent="0.25">
      <c r="A428">
        <v>380</v>
      </c>
      <c r="B428">
        <v>41047002400</v>
      </c>
      <c r="C428">
        <v>7.4549999999999996E-5</v>
      </c>
    </row>
    <row r="429" spans="1:3" x14ac:dyDescent="0.25">
      <c r="A429">
        <v>381</v>
      </c>
      <c r="B429">
        <v>41047002400</v>
      </c>
      <c r="C429">
        <v>4.0693500000000002E-3</v>
      </c>
    </row>
    <row r="430" spans="1:3" x14ac:dyDescent="0.25">
      <c r="A430">
        <v>428</v>
      </c>
      <c r="B430">
        <v>41047002400</v>
      </c>
      <c r="C430">
        <v>5.6199999999999997E-5</v>
      </c>
    </row>
    <row r="431" spans="1:3" x14ac:dyDescent="0.25">
      <c r="A431">
        <v>429</v>
      </c>
      <c r="B431">
        <v>41047002400</v>
      </c>
      <c r="C431">
        <v>3.1170000000000001E-5</v>
      </c>
    </row>
    <row r="432" spans="1:3" x14ac:dyDescent="0.25">
      <c r="A432">
        <v>430</v>
      </c>
      <c r="B432">
        <v>41047002400</v>
      </c>
      <c r="C432">
        <v>3.0282730000000001E-2</v>
      </c>
    </row>
    <row r="433" spans="1:3" x14ac:dyDescent="0.25">
      <c r="A433">
        <v>431</v>
      </c>
      <c r="B433">
        <v>41047002400</v>
      </c>
      <c r="C433">
        <v>0.35078400000000004</v>
      </c>
    </row>
    <row r="434" spans="1:3" x14ac:dyDescent="0.25">
      <c r="A434">
        <v>432</v>
      </c>
      <c r="B434">
        <v>41047002400</v>
      </c>
      <c r="C434">
        <v>0.19769172999999998</v>
      </c>
    </row>
    <row r="435" spans="1:3" x14ac:dyDescent="0.25">
      <c r="A435">
        <v>433</v>
      </c>
      <c r="B435">
        <v>41047002400</v>
      </c>
      <c r="C435">
        <v>8.7319809999999998E-2</v>
      </c>
    </row>
    <row r="436" spans="1:3" x14ac:dyDescent="0.25">
      <c r="A436">
        <v>434</v>
      </c>
      <c r="B436">
        <v>41047002400</v>
      </c>
      <c r="C436">
        <v>6.3672500000000007E-2</v>
      </c>
    </row>
    <row r="437" spans="1:3" x14ac:dyDescent="0.25">
      <c r="A437">
        <v>435</v>
      </c>
      <c r="B437">
        <v>41047002400</v>
      </c>
      <c r="C437">
        <v>0.18503411</v>
      </c>
    </row>
    <row r="438" spans="1:3" x14ac:dyDescent="0.25">
      <c r="A438">
        <v>436</v>
      </c>
      <c r="B438">
        <v>41047002400</v>
      </c>
      <c r="C438">
        <v>4.3735000000000003E-4</v>
      </c>
    </row>
    <row r="439" spans="1:3" x14ac:dyDescent="0.25">
      <c r="A439">
        <v>80</v>
      </c>
      <c r="B439">
        <v>41047002501</v>
      </c>
      <c r="C439">
        <v>4.0670000000000002E-5</v>
      </c>
    </row>
    <row r="440" spans="1:3" x14ac:dyDescent="0.25">
      <c r="A440">
        <v>82</v>
      </c>
      <c r="B440">
        <v>41047002501</v>
      </c>
      <c r="C440">
        <v>4.5447300000000003E-3</v>
      </c>
    </row>
    <row r="441" spans="1:3" x14ac:dyDescent="0.25">
      <c r="A441">
        <v>85</v>
      </c>
      <c r="B441">
        <v>41047002501</v>
      </c>
      <c r="C441">
        <v>8.4315189999999998E-2</v>
      </c>
    </row>
    <row r="442" spans="1:3" x14ac:dyDescent="0.25">
      <c r="A442">
        <v>86</v>
      </c>
      <c r="B442">
        <v>41047002501</v>
      </c>
      <c r="C442">
        <v>0.17575383999999999</v>
      </c>
    </row>
    <row r="443" spans="1:3" x14ac:dyDescent="0.25">
      <c r="A443">
        <v>87</v>
      </c>
      <c r="B443">
        <v>41047002501</v>
      </c>
      <c r="C443">
        <v>0.24697801999999999</v>
      </c>
    </row>
    <row r="444" spans="1:3" x14ac:dyDescent="0.25">
      <c r="A444">
        <v>88</v>
      </c>
      <c r="B444">
        <v>41047002501</v>
      </c>
      <c r="C444">
        <v>0.14815308999999999</v>
      </c>
    </row>
    <row r="445" spans="1:3" x14ac:dyDescent="0.25">
      <c r="A445">
        <v>89</v>
      </c>
      <c r="B445">
        <v>41047002501</v>
      </c>
      <c r="C445">
        <v>0.17218582999999998</v>
      </c>
    </row>
    <row r="446" spans="1:3" x14ac:dyDescent="0.25">
      <c r="A446">
        <v>90</v>
      </c>
      <c r="B446">
        <v>41047002501</v>
      </c>
      <c r="C446">
        <v>5.0856360000000003E-2</v>
      </c>
    </row>
    <row r="447" spans="1:3" x14ac:dyDescent="0.25">
      <c r="A447">
        <v>91</v>
      </c>
      <c r="B447">
        <v>41047002501</v>
      </c>
      <c r="C447">
        <v>0.11331545999999999</v>
      </c>
    </row>
    <row r="448" spans="1:3" x14ac:dyDescent="0.25">
      <c r="A448">
        <v>92</v>
      </c>
      <c r="B448">
        <v>41047002501</v>
      </c>
      <c r="C448">
        <v>7.8148999999999992E-4</v>
      </c>
    </row>
    <row r="449" spans="1:3" x14ac:dyDescent="0.25">
      <c r="A449">
        <v>94</v>
      </c>
      <c r="B449">
        <v>41047002501</v>
      </c>
      <c r="C449">
        <v>2.7037699999999999E-3</v>
      </c>
    </row>
    <row r="450" spans="1:3" x14ac:dyDescent="0.25">
      <c r="A450">
        <v>95</v>
      </c>
      <c r="B450">
        <v>41047002501</v>
      </c>
      <c r="C450">
        <v>3.7157000000000005E-4</v>
      </c>
    </row>
    <row r="451" spans="1:3" x14ac:dyDescent="0.25">
      <c r="A451">
        <v>42</v>
      </c>
      <c r="B451">
        <v>41047002502</v>
      </c>
      <c r="C451">
        <v>1.6337E-4</v>
      </c>
    </row>
    <row r="452" spans="1:3" x14ac:dyDescent="0.25">
      <c r="A452">
        <v>80</v>
      </c>
      <c r="B452">
        <v>41047002502</v>
      </c>
      <c r="C452">
        <v>0.23659341</v>
      </c>
    </row>
    <row r="453" spans="1:3" x14ac:dyDescent="0.25">
      <c r="A453">
        <v>81</v>
      </c>
      <c r="B453">
        <v>41047002502</v>
      </c>
      <c r="C453">
        <v>5.9762999999999993E-4</v>
      </c>
    </row>
    <row r="454" spans="1:3" x14ac:dyDescent="0.25">
      <c r="A454">
        <v>82</v>
      </c>
      <c r="B454">
        <v>41047002502</v>
      </c>
      <c r="C454">
        <v>1.8846099999999999E-3</v>
      </c>
    </row>
    <row r="455" spans="1:3" x14ac:dyDescent="0.25">
      <c r="A455">
        <v>83</v>
      </c>
      <c r="B455">
        <v>41047002502</v>
      </c>
      <c r="C455">
        <v>4.864135E-2</v>
      </c>
    </row>
    <row r="456" spans="1:3" x14ac:dyDescent="0.25">
      <c r="A456">
        <v>84</v>
      </c>
      <c r="B456">
        <v>41047002502</v>
      </c>
      <c r="C456">
        <v>3.9169749999999996E-2</v>
      </c>
    </row>
    <row r="457" spans="1:3" x14ac:dyDescent="0.25">
      <c r="A457">
        <v>85</v>
      </c>
      <c r="B457">
        <v>41047002502</v>
      </c>
      <c r="C457">
        <v>1.725747E-2</v>
      </c>
    </row>
    <row r="458" spans="1:3" x14ac:dyDescent="0.25">
      <c r="A458">
        <v>86</v>
      </c>
      <c r="B458">
        <v>41047002502</v>
      </c>
      <c r="C458">
        <v>2.4944939999999999E-2</v>
      </c>
    </row>
    <row r="459" spans="1:3" x14ac:dyDescent="0.25">
      <c r="A459">
        <v>87</v>
      </c>
      <c r="B459">
        <v>41047002502</v>
      </c>
      <c r="C459">
        <v>1.2339E-4</v>
      </c>
    </row>
    <row r="460" spans="1:3" x14ac:dyDescent="0.25">
      <c r="A460">
        <v>88</v>
      </c>
      <c r="B460">
        <v>41047002502</v>
      </c>
      <c r="C460">
        <v>8.0766499999999995E-3</v>
      </c>
    </row>
    <row r="461" spans="1:3" x14ac:dyDescent="0.25">
      <c r="A461">
        <v>92</v>
      </c>
      <c r="B461">
        <v>41047002502</v>
      </c>
      <c r="C461">
        <v>6.0085E-4</v>
      </c>
    </row>
    <row r="462" spans="1:3" x14ac:dyDescent="0.25">
      <c r="A462">
        <v>100</v>
      </c>
      <c r="B462">
        <v>41047002502</v>
      </c>
      <c r="C462">
        <v>5.4219999999999999E-5</v>
      </c>
    </row>
    <row r="463" spans="1:3" x14ac:dyDescent="0.25">
      <c r="A463">
        <v>129</v>
      </c>
      <c r="B463">
        <v>41047002502</v>
      </c>
      <c r="C463">
        <v>3.5765530000000004E-2</v>
      </c>
    </row>
    <row r="464" spans="1:3" x14ac:dyDescent="0.25">
      <c r="A464">
        <v>130</v>
      </c>
      <c r="B464">
        <v>41047002502</v>
      </c>
      <c r="C464">
        <v>2.506444E-2</v>
      </c>
    </row>
    <row r="465" spans="1:3" x14ac:dyDescent="0.25">
      <c r="A465">
        <v>131</v>
      </c>
      <c r="B465">
        <v>41047002502</v>
      </c>
      <c r="C465">
        <v>0.11079663000000001</v>
      </c>
    </row>
    <row r="466" spans="1:3" x14ac:dyDescent="0.25">
      <c r="A466">
        <v>132</v>
      </c>
      <c r="B466">
        <v>41047002502</v>
      </c>
      <c r="C466">
        <v>0.11371575</v>
      </c>
    </row>
    <row r="467" spans="1:3" x14ac:dyDescent="0.25">
      <c r="A467">
        <v>133</v>
      </c>
      <c r="B467">
        <v>41047002502</v>
      </c>
      <c r="C467">
        <v>0.16866098000000002</v>
      </c>
    </row>
    <row r="468" spans="1:3" x14ac:dyDescent="0.25">
      <c r="A468">
        <v>134</v>
      </c>
      <c r="B468">
        <v>41047002502</v>
      </c>
      <c r="C468">
        <v>1.1186370000000001E-2</v>
      </c>
    </row>
    <row r="469" spans="1:3" x14ac:dyDescent="0.25">
      <c r="A469">
        <v>135</v>
      </c>
      <c r="B469">
        <v>41047002502</v>
      </c>
      <c r="C469">
        <v>2.7130960000000003E-2</v>
      </c>
    </row>
    <row r="470" spans="1:3" x14ac:dyDescent="0.25">
      <c r="A470">
        <v>136</v>
      </c>
      <c r="B470">
        <v>41047002502</v>
      </c>
      <c r="C470">
        <v>1.345562E-2</v>
      </c>
    </row>
    <row r="471" spans="1:3" x14ac:dyDescent="0.25">
      <c r="A471">
        <v>137</v>
      </c>
      <c r="B471">
        <v>41047002502</v>
      </c>
      <c r="C471">
        <v>2.1554199999999999E-2</v>
      </c>
    </row>
    <row r="472" spans="1:3" x14ac:dyDescent="0.25">
      <c r="A472">
        <v>138</v>
      </c>
      <c r="B472">
        <v>41047002502</v>
      </c>
      <c r="C472">
        <v>3.9816829999999998E-2</v>
      </c>
    </row>
    <row r="473" spans="1:3" x14ac:dyDescent="0.25">
      <c r="A473">
        <v>139</v>
      </c>
      <c r="B473">
        <v>41047002502</v>
      </c>
      <c r="C473">
        <v>7.7919999999999999E-5</v>
      </c>
    </row>
    <row r="474" spans="1:3" x14ac:dyDescent="0.25">
      <c r="A474">
        <v>140</v>
      </c>
      <c r="B474">
        <v>41047002502</v>
      </c>
      <c r="C474">
        <v>3.595E-5</v>
      </c>
    </row>
    <row r="475" spans="1:3" x14ac:dyDescent="0.25">
      <c r="A475">
        <v>143</v>
      </c>
      <c r="B475">
        <v>41047002502</v>
      </c>
      <c r="C475">
        <v>6.4809000000000004E-4</v>
      </c>
    </row>
    <row r="476" spans="1:3" x14ac:dyDescent="0.25">
      <c r="A476">
        <v>211</v>
      </c>
      <c r="B476">
        <v>41047002502</v>
      </c>
      <c r="C476">
        <v>1.66E-4</v>
      </c>
    </row>
    <row r="477" spans="1:3" x14ac:dyDescent="0.25">
      <c r="A477">
        <v>443</v>
      </c>
      <c r="B477">
        <v>41047002502</v>
      </c>
      <c r="C477">
        <v>2.476654E-2</v>
      </c>
    </row>
    <row r="478" spans="1:3" x14ac:dyDescent="0.25">
      <c r="A478">
        <v>444</v>
      </c>
      <c r="B478">
        <v>41047002502</v>
      </c>
      <c r="C478">
        <v>2.8995440000000001E-2</v>
      </c>
    </row>
    <row r="479" spans="1:3" x14ac:dyDescent="0.25">
      <c r="A479">
        <v>133</v>
      </c>
      <c r="B479">
        <v>41047002600</v>
      </c>
      <c r="C479">
        <v>0.12844995000000001</v>
      </c>
    </row>
    <row r="480" spans="1:3" x14ac:dyDescent="0.25">
      <c r="A480">
        <v>138</v>
      </c>
      <c r="B480">
        <v>41047002600</v>
      </c>
      <c r="C480">
        <v>0.47467954000000001</v>
      </c>
    </row>
    <row r="481" spans="1:3" x14ac:dyDescent="0.25">
      <c r="A481">
        <v>139</v>
      </c>
      <c r="B481">
        <v>41047002600</v>
      </c>
      <c r="C481">
        <v>5.912179E-2</v>
      </c>
    </row>
    <row r="482" spans="1:3" x14ac:dyDescent="0.25">
      <c r="A482">
        <v>152</v>
      </c>
      <c r="B482">
        <v>41047002600</v>
      </c>
      <c r="C482">
        <v>0.13108574000000001</v>
      </c>
    </row>
    <row r="483" spans="1:3" x14ac:dyDescent="0.25">
      <c r="A483">
        <v>153</v>
      </c>
      <c r="B483">
        <v>41047002600</v>
      </c>
      <c r="C483">
        <v>0.16204700999999999</v>
      </c>
    </row>
    <row r="484" spans="1:3" x14ac:dyDescent="0.25">
      <c r="A484">
        <v>170</v>
      </c>
      <c r="B484">
        <v>41047002600</v>
      </c>
      <c r="C484">
        <v>2.808598E-2</v>
      </c>
    </row>
    <row r="485" spans="1:3" x14ac:dyDescent="0.25">
      <c r="A485">
        <v>185</v>
      </c>
      <c r="B485">
        <v>41047002600</v>
      </c>
      <c r="C485">
        <v>6.6369999999999997E-3</v>
      </c>
    </row>
    <row r="486" spans="1:3" x14ac:dyDescent="0.25">
      <c r="A486">
        <v>193</v>
      </c>
      <c r="B486">
        <v>41047002600</v>
      </c>
      <c r="C486">
        <v>9.7516300000000007E-3</v>
      </c>
    </row>
    <row r="487" spans="1:3" x14ac:dyDescent="0.25">
      <c r="A487">
        <v>206</v>
      </c>
      <c r="B487">
        <v>41047002600</v>
      </c>
      <c r="C487">
        <v>9.0390000000000007E-5</v>
      </c>
    </row>
    <row r="488" spans="1:3" x14ac:dyDescent="0.25">
      <c r="A488">
        <v>207</v>
      </c>
      <c r="B488">
        <v>41047002600</v>
      </c>
      <c r="C488">
        <v>5.3779999999999997E-5</v>
      </c>
    </row>
    <row r="489" spans="1:3" x14ac:dyDescent="0.25">
      <c r="A489">
        <v>204</v>
      </c>
      <c r="B489">
        <v>41047002700</v>
      </c>
      <c r="C489">
        <v>2.8289999999999998E-5</v>
      </c>
    </row>
    <row r="490" spans="1:3" x14ac:dyDescent="0.25">
      <c r="A490">
        <v>205</v>
      </c>
      <c r="B490">
        <v>41047002700</v>
      </c>
      <c r="C490">
        <v>1.4694E-4</v>
      </c>
    </row>
    <row r="491" spans="1:3" x14ac:dyDescent="0.25">
      <c r="A491">
        <v>206</v>
      </c>
      <c r="B491">
        <v>41047002700</v>
      </c>
      <c r="C491">
        <v>1.9910000000000001E-5</v>
      </c>
    </row>
    <row r="492" spans="1:3" x14ac:dyDescent="0.25">
      <c r="A492">
        <v>207</v>
      </c>
      <c r="B492">
        <v>41047002700</v>
      </c>
      <c r="C492">
        <v>0.26728484000000002</v>
      </c>
    </row>
    <row r="493" spans="1:3" x14ac:dyDescent="0.25">
      <c r="A493">
        <v>373</v>
      </c>
      <c r="B493">
        <v>41047002700</v>
      </c>
      <c r="C493">
        <v>4.5999999999999999E-7</v>
      </c>
    </row>
    <row r="494" spans="1:3" x14ac:dyDescent="0.25">
      <c r="A494">
        <v>388</v>
      </c>
      <c r="B494">
        <v>41047002700</v>
      </c>
      <c r="C494">
        <v>1.363E-5</v>
      </c>
    </row>
    <row r="495" spans="1:3" x14ac:dyDescent="0.25">
      <c r="A495">
        <v>389</v>
      </c>
      <c r="B495">
        <v>41047002700</v>
      </c>
      <c r="C495">
        <v>6.0943E-4</v>
      </c>
    </row>
    <row r="496" spans="1:3" x14ac:dyDescent="0.25">
      <c r="A496">
        <v>395</v>
      </c>
      <c r="B496">
        <v>41047002700</v>
      </c>
      <c r="C496">
        <v>1.434305E-2</v>
      </c>
    </row>
    <row r="497" spans="1:3" x14ac:dyDescent="0.25">
      <c r="A497">
        <v>411</v>
      </c>
      <c r="B497">
        <v>41047002700</v>
      </c>
      <c r="C497">
        <v>1.5200139999999999E-2</v>
      </c>
    </row>
    <row r="498" spans="1:3" x14ac:dyDescent="0.25">
      <c r="A498">
        <v>414</v>
      </c>
      <c r="B498">
        <v>41047002700</v>
      </c>
      <c r="C498">
        <v>6.6903439999999995E-2</v>
      </c>
    </row>
    <row r="499" spans="1:3" x14ac:dyDescent="0.25">
      <c r="A499">
        <v>415</v>
      </c>
      <c r="B499">
        <v>41047002700</v>
      </c>
      <c r="C499">
        <v>0.16292267999999999</v>
      </c>
    </row>
    <row r="500" spans="1:3" x14ac:dyDescent="0.25">
      <c r="A500">
        <v>416</v>
      </c>
      <c r="B500">
        <v>41047002700</v>
      </c>
      <c r="C500">
        <v>6.7982769999999998E-2</v>
      </c>
    </row>
    <row r="501" spans="1:3" x14ac:dyDescent="0.25">
      <c r="A501">
        <v>417</v>
      </c>
      <c r="B501">
        <v>41047002700</v>
      </c>
      <c r="C501">
        <v>4.0098099999999998E-2</v>
      </c>
    </row>
    <row r="502" spans="1:3" x14ac:dyDescent="0.25">
      <c r="A502">
        <v>418</v>
      </c>
      <c r="B502">
        <v>41047002700</v>
      </c>
      <c r="C502">
        <v>7.7313609999999991E-2</v>
      </c>
    </row>
    <row r="503" spans="1:3" x14ac:dyDescent="0.25">
      <c r="A503">
        <v>419</v>
      </c>
      <c r="B503">
        <v>41047002700</v>
      </c>
      <c r="C503">
        <v>0.14039254000000001</v>
      </c>
    </row>
    <row r="504" spans="1:3" x14ac:dyDescent="0.25">
      <c r="A504">
        <v>420</v>
      </c>
      <c r="B504">
        <v>41047002700</v>
      </c>
      <c r="C504">
        <v>0.12344421999999999</v>
      </c>
    </row>
    <row r="505" spans="1:3" x14ac:dyDescent="0.25">
      <c r="A505">
        <v>421</v>
      </c>
      <c r="B505">
        <v>41047002700</v>
      </c>
      <c r="C505">
        <v>9.5910000000000008E-5</v>
      </c>
    </row>
    <row r="506" spans="1:3" x14ac:dyDescent="0.25">
      <c r="A506">
        <v>450</v>
      </c>
      <c r="B506">
        <v>41047002700</v>
      </c>
      <c r="C506">
        <v>1.7149E-4</v>
      </c>
    </row>
    <row r="507" spans="1:3" x14ac:dyDescent="0.25">
      <c r="A507">
        <v>451</v>
      </c>
      <c r="B507">
        <v>41047002700</v>
      </c>
      <c r="C507">
        <v>2.297037E-2</v>
      </c>
    </row>
    <row r="508" spans="1:3" x14ac:dyDescent="0.25">
      <c r="A508">
        <v>389</v>
      </c>
      <c r="B508">
        <v>41047002800</v>
      </c>
      <c r="C508">
        <v>2.1218400000000003E-3</v>
      </c>
    </row>
    <row r="509" spans="1:3" x14ac:dyDescent="0.25">
      <c r="A509">
        <v>390</v>
      </c>
      <c r="B509">
        <v>41047002800</v>
      </c>
      <c r="C509">
        <v>3.5577500000000001E-3</v>
      </c>
    </row>
    <row r="510" spans="1:3" x14ac:dyDescent="0.25">
      <c r="A510">
        <v>420</v>
      </c>
      <c r="B510">
        <v>41047002800</v>
      </c>
      <c r="C510">
        <v>1.5899999999999998E-6</v>
      </c>
    </row>
    <row r="511" spans="1:3" x14ac:dyDescent="0.25">
      <c r="A511">
        <v>421</v>
      </c>
      <c r="B511">
        <v>41047002800</v>
      </c>
      <c r="C511">
        <v>2.9080599999999998E-2</v>
      </c>
    </row>
    <row r="512" spans="1:3" x14ac:dyDescent="0.25">
      <c r="A512">
        <v>422</v>
      </c>
      <c r="B512">
        <v>41047002800</v>
      </c>
      <c r="C512">
        <v>0.10761291000000001</v>
      </c>
    </row>
    <row r="513" spans="1:3" x14ac:dyDescent="0.25">
      <c r="A513">
        <v>423</v>
      </c>
      <c r="B513">
        <v>41047002800</v>
      </c>
      <c r="C513">
        <v>0.22330013000000001</v>
      </c>
    </row>
    <row r="514" spans="1:3" x14ac:dyDescent="0.25">
      <c r="A514">
        <v>424</v>
      </c>
      <c r="B514">
        <v>41047002800</v>
      </c>
      <c r="C514">
        <v>0.34274979999999999</v>
      </c>
    </row>
    <row r="515" spans="1:3" x14ac:dyDescent="0.25">
      <c r="A515">
        <v>426</v>
      </c>
      <c r="B515">
        <v>41047002800</v>
      </c>
      <c r="C515">
        <v>6.7768799999999999E-3</v>
      </c>
    </row>
    <row r="516" spans="1:3" x14ac:dyDescent="0.25">
      <c r="A516">
        <v>427</v>
      </c>
      <c r="B516">
        <v>41047002800</v>
      </c>
      <c r="C516">
        <v>2.2120000000000001E-4</v>
      </c>
    </row>
    <row r="517" spans="1:3" x14ac:dyDescent="0.25">
      <c r="A517">
        <v>428</v>
      </c>
      <c r="B517">
        <v>41047002800</v>
      </c>
      <c r="C517">
        <v>1.2203700000000001E-3</v>
      </c>
    </row>
    <row r="518" spans="1:3" x14ac:dyDescent="0.25">
      <c r="A518">
        <v>430</v>
      </c>
      <c r="B518">
        <v>41047002800</v>
      </c>
      <c r="C518">
        <v>9.3310000000000013E-5</v>
      </c>
    </row>
    <row r="519" spans="1:3" x14ac:dyDescent="0.25">
      <c r="A519">
        <v>431</v>
      </c>
      <c r="B519">
        <v>41047002800</v>
      </c>
      <c r="C519">
        <v>1.23671E-3</v>
      </c>
    </row>
    <row r="520" spans="1:3" x14ac:dyDescent="0.25">
      <c r="A520">
        <v>432</v>
      </c>
      <c r="B520">
        <v>41047002800</v>
      </c>
      <c r="C520">
        <v>6.4460000000000003E-5</v>
      </c>
    </row>
    <row r="521" spans="1:3" x14ac:dyDescent="0.25">
      <c r="A521">
        <v>437</v>
      </c>
      <c r="B521">
        <v>41047002800</v>
      </c>
      <c r="C521">
        <v>0.24332730000000002</v>
      </c>
    </row>
    <row r="522" spans="1:3" x14ac:dyDescent="0.25">
      <c r="A522">
        <v>450</v>
      </c>
      <c r="B522">
        <v>41047002800</v>
      </c>
      <c r="C522">
        <v>3.8647500000000001E-2</v>
      </c>
    </row>
    <row r="523" spans="1:3" x14ac:dyDescent="0.25">
      <c r="A523">
        <v>424</v>
      </c>
      <c r="B523">
        <v>41047010802</v>
      </c>
      <c r="C523">
        <v>0.56400223999999999</v>
      </c>
    </row>
    <row r="524" spans="1:3" x14ac:dyDescent="0.25">
      <c r="A524">
        <v>437</v>
      </c>
      <c r="B524">
        <v>41047010802</v>
      </c>
      <c r="C524">
        <v>0.43600026999999997</v>
      </c>
    </row>
    <row r="525" spans="1:3" x14ac:dyDescent="0.25">
      <c r="A525">
        <v>61</v>
      </c>
      <c r="B525">
        <v>41053005100</v>
      </c>
      <c r="C525">
        <v>7.4178649999999999E-2</v>
      </c>
    </row>
    <row r="526" spans="1:3" x14ac:dyDescent="0.25">
      <c r="A526">
        <v>64</v>
      </c>
      <c r="B526">
        <v>41053005100</v>
      </c>
      <c r="C526">
        <v>0.30827832999999999</v>
      </c>
    </row>
    <row r="527" spans="1:3" x14ac:dyDescent="0.25">
      <c r="A527">
        <v>65</v>
      </c>
      <c r="B527">
        <v>41053005100</v>
      </c>
      <c r="C527">
        <v>2.1097000000000002E-4</v>
      </c>
    </row>
    <row r="528" spans="1:3" x14ac:dyDescent="0.25">
      <c r="A528">
        <v>74</v>
      </c>
      <c r="B528">
        <v>41053005100</v>
      </c>
      <c r="C528">
        <v>7.3338099999999996E-3</v>
      </c>
    </row>
    <row r="529" spans="1:3" x14ac:dyDescent="0.25">
      <c r="A529">
        <v>75</v>
      </c>
      <c r="B529">
        <v>41053005100</v>
      </c>
      <c r="C529">
        <v>0.31220077000000002</v>
      </c>
    </row>
    <row r="530" spans="1:3" x14ac:dyDescent="0.25">
      <c r="A530">
        <v>76</v>
      </c>
      <c r="B530">
        <v>41053005100</v>
      </c>
      <c r="C530">
        <v>2.8330160000000004E-2</v>
      </c>
    </row>
    <row r="531" spans="1:3" x14ac:dyDescent="0.25">
      <c r="A531">
        <v>77</v>
      </c>
      <c r="B531">
        <v>41053005100</v>
      </c>
      <c r="C531">
        <v>4.2034050000000003E-2</v>
      </c>
    </row>
    <row r="532" spans="1:3" x14ac:dyDescent="0.25">
      <c r="A532">
        <v>78</v>
      </c>
      <c r="B532">
        <v>41053005100</v>
      </c>
      <c r="C532">
        <v>0.22743328000000002</v>
      </c>
    </row>
    <row r="533" spans="1:3" x14ac:dyDescent="0.25">
      <c r="A533">
        <v>37</v>
      </c>
      <c r="B533">
        <v>41053005201</v>
      </c>
      <c r="C533">
        <v>5.1164399999999999E-3</v>
      </c>
    </row>
    <row r="534" spans="1:3" x14ac:dyDescent="0.25">
      <c r="A534">
        <v>38</v>
      </c>
      <c r="B534">
        <v>41053005201</v>
      </c>
      <c r="C534">
        <v>0.25933700999999998</v>
      </c>
    </row>
    <row r="535" spans="1:3" x14ac:dyDescent="0.25">
      <c r="A535">
        <v>39</v>
      </c>
      <c r="B535">
        <v>41053005201</v>
      </c>
      <c r="C535">
        <v>1.0467200000000001E-3</v>
      </c>
    </row>
    <row r="536" spans="1:3" x14ac:dyDescent="0.25">
      <c r="A536">
        <v>52</v>
      </c>
      <c r="B536">
        <v>41053005201</v>
      </c>
      <c r="C536">
        <v>9.9822999999999991E-4</v>
      </c>
    </row>
    <row r="537" spans="1:3" x14ac:dyDescent="0.25">
      <c r="A537">
        <v>54</v>
      </c>
      <c r="B537">
        <v>41053005201</v>
      </c>
      <c r="C537">
        <v>1.4643400000000002E-3</v>
      </c>
    </row>
    <row r="538" spans="1:3" x14ac:dyDescent="0.25">
      <c r="A538">
        <v>56</v>
      </c>
      <c r="B538">
        <v>41053005201</v>
      </c>
      <c r="C538">
        <v>1.29907E-3</v>
      </c>
    </row>
    <row r="539" spans="1:3" x14ac:dyDescent="0.25">
      <c r="A539">
        <v>61</v>
      </c>
      <c r="B539">
        <v>41053005201</v>
      </c>
      <c r="C539">
        <v>1.2539409999999999E-2</v>
      </c>
    </row>
    <row r="540" spans="1:3" x14ac:dyDescent="0.25">
      <c r="A540">
        <v>64</v>
      </c>
      <c r="B540">
        <v>41053005201</v>
      </c>
      <c r="C540">
        <v>1.596821E-2</v>
      </c>
    </row>
    <row r="541" spans="1:3" x14ac:dyDescent="0.25">
      <c r="A541">
        <v>65</v>
      </c>
      <c r="B541">
        <v>41053005201</v>
      </c>
      <c r="C541">
        <v>4.5014120000000005E-2</v>
      </c>
    </row>
    <row r="542" spans="1:3" x14ac:dyDescent="0.25">
      <c r="A542">
        <v>66</v>
      </c>
      <c r="B542">
        <v>41053005201</v>
      </c>
      <c r="C542">
        <v>0.12077450000000001</v>
      </c>
    </row>
    <row r="543" spans="1:3" x14ac:dyDescent="0.25">
      <c r="A543">
        <v>67</v>
      </c>
      <c r="B543">
        <v>41053005201</v>
      </c>
      <c r="C543">
        <v>0.1478237</v>
      </c>
    </row>
    <row r="544" spans="1:3" x14ac:dyDescent="0.25">
      <c r="A544">
        <v>70</v>
      </c>
      <c r="B544">
        <v>41053005201</v>
      </c>
      <c r="C544">
        <v>9.0412630000000008E-2</v>
      </c>
    </row>
    <row r="545" spans="1:3" x14ac:dyDescent="0.25">
      <c r="A545">
        <v>71</v>
      </c>
      <c r="B545">
        <v>41053005201</v>
      </c>
      <c r="C545">
        <v>0.22309214999999999</v>
      </c>
    </row>
    <row r="546" spans="1:3" x14ac:dyDescent="0.25">
      <c r="A546">
        <v>74</v>
      </c>
      <c r="B546">
        <v>41053005201</v>
      </c>
      <c r="C546">
        <v>3.932045E-2</v>
      </c>
    </row>
    <row r="547" spans="1:3" x14ac:dyDescent="0.25">
      <c r="A547">
        <v>75</v>
      </c>
      <c r="B547">
        <v>41053005201</v>
      </c>
      <c r="C547">
        <v>5.0229999999999998E-5</v>
      </c>
    </row>
    <row r="548" spans="1:3" x14ac:dyDescent="0.25">
      <c r="A548">
        <v>76</v>
      </c>
      <c r="B548">
        <v>41053005201</v>
      </c>
      <c r="C548">
        <v>1.4022390000000001E-2</v>
      </c>
    </row>
    <row r="549" spans="1:3" x14ac:dyDescent="0.25">
      <c r="A549">
        <v>77</v>
      </c>
      <c r="B549">
        <v>41053005201</v>
      </c>
      <c r="C549">
        <v>7.3003399999999998E-3</v>
      </c>
    </row>
    <row r="550" spans="1:3" x14ac:dyDescent="0.25">
      <c r="A550">
        <v>78</v>
      </c>
      <c r="B550">
        <v>41053005201</v>
      </c>
      <c r="C550">
        <v>1.02404E-2</v>
      </c>
    </row>
    <row r="551" spans="1:3" x14ac:dyDescent="0.25">
      <c r="A551">
        <v>435</v>
      </c>
      <c r="B551">
        <v>41053005201</v>
      </c>
      <c r="C551">
        <v>6.6033999999999993E-4</v>
      </c>
    </row>
    <row r="552" spans="1:3" x14ac:dyDescent="0.25">
      <c r="A552">
        <v>436</v>
      </c>
      <c r="B552">
        <v>41053005201</v>
      </c>
      <c r="C552">
        <v>3.5193299999999998E-3</v>
      </c>
    </row>
    <row r="553" spans="1:3" x14ac:dyDescent="0.25">
      <c r="A553">
        <v>43</v>
      </c>
      <c r="B553">
        <v>41053005202</v>
      </c>
      <c r="C553">
        <v>0.28365923999999998</v>
      </c>
    </row>
    <row r="554" spans="1:3" x14ac:dyDescent="0.25">
      <c r="A554">
        <v>45</v>
      </c>
      <c r="B554">
        <v>41053005202</v>
      </c>
      <c r="C554">
        <v>1.092E-5</v>
      </c>
    </row>
    <row r="555" spans="1:3" x14ac:dyDescent="0.25">
      <c r="A555">
        <v>47</v>
      </c>
      <c r="B555">
        <v>41053005202</v>
      </c>
      <c r="C555">
        <v>4.8983999999999996E-4</v>
      </c>
    </row>
    <row r="556" spans="1:3" x14ac:dyDescent="0.25">
      <c r="A556">
        <v>48</v>
      </c>
      <c r="B556">
        <v>41053005202</v>
      </c>
      <c r="C556">
        <v>1.7080000000000002E-5</v>
      </c>
    </row>
    <row r="557" spans="1:3" x14ac:dyDescent="0.25">
      <c r="A557">
        <v>49</v>
      </c>
      <c r="B557">
        <v>41053005202</v>
      </c>
      <c r="C557">
        <v>0.10082585999999999</v>
      </c>
    </row>
    <row r="558" spans="1:3" x14ac:dyDescent="0.25">
      <c r="A558">
        <v>50</v>
      </c>
      <c r="B558">
        <v>41053005202</v>
      </c>
      <c r="C558">
        <v>7.7557000000000006E-4</v>
      </c>
    </row>
    <row r="559" spans="1:3" x14ac:dyDescent="0.25">
      <c r="A559">
        <v>51</v>
      </c>
      <c r="B559">
        <v>41053005202</v>
      </c>
      <c r="C559">
        <v>0.12798633000000001</v>
      </c>
    </row>
    <row r="560" spans="1:3" x14ac:dyDescent="0.25">
      <c r="A560">
        <v>52</v>
      </c>
      <c r="B560">
        <v>41053005202</v>
      </c>
      <c r="C560">
        <v>0.12131119</v>
      </c>
    </row>
    <row r="561" spans="1:3" x14ac:dyDescent="0.25">
      <c r="A561">
        <v>53</v>
      </c>
      <c r="B561">
        <v>41053005202</v>
      </c>
      <c r="C561">
        <v>4.1957500000000002E-2</v>
      </c>
    </row>
    <row r="562" spans="1:3" x14ac:dyDescent="0.25">
      <c r="A562">
        <v>54</v>
      </c>
      <c r="B562">
        <v>41053005202</v>
      </c>
      <c r="C562">
        <v>0.18532251</v>
      </c>
    </row>
    <row r="563" spans="1:3" x14ac:dyDescent="0.25">
      <c r="A563">
        <v>55</v>
      </c>
      <c r="B563">
        <v>41053005202</v>
      </c>
      <c r="C563">
        <v>3.8860000000000001E-4</v>
      </c>
    </row>
    <row r="564" spans="1:3" x14ac:dyDescent="0.25">
      <c r="A564">
        <v>56</v>
      </c>
      <c r="B564">
        <v>41053005202</v>
      </c>
      <c r="C564">
        <v>4.3819999999999997E-4</v>
      </c>
    </row>
    <row r="565" spans="1:3" x14ac:dyDescent="0.25">
      <c r="A565">
        <v>61</v>
      </c>
      <c r="B565">
        <v>41053005202</v>
      </c>
      <c r="C565">
        <v>0.10856391999999999</v>
      </c>
    </row>
    <row r="566" spans="1:3" x14ac:dyDescent="0.25">
      <c r="A566">
        <v>64</v>
      </c>
      <c r="B566">
        <v>41053005202</v>
      </c>
      <c r="C566">
        <v>2.4163E-4</v>
      </c>
    </row>
    <row r="567" spans="1:3" x14ac:dyDescent="0.25">
      <c r="A567">
        <v>67</v>
      </c>
      <c r="B567">
        <v>41053005202</v>
      </c>
      <c r="C567">
        <v>3.1849000000000005E-4</v>
      </c>
    </row>
    <row r="568" spans="1:3" x14ac:dyDescent="0.25">
      <c r="A568">
        <v>120</v>
      </c>
      <c r="B568">
        <v>41053005202</v>
      </c>
      <c r="C568">
        <v>2.6909999999999998E-4</v>
      </c>
    </row>
    <row r="569" spans="1:3" x14ac:dyDescent="0.25">
      <c r="A569">
        <v>124</v>
      </c>
      <c r="B569">
        <v>41053005202</v>
      </c>
      <c r="C569">
        <v>8.5892E-4</v>
      </c>
    </row>
    <row r="570" spans="1:3" x14ac:dyDescent="0.25">
      <c r="A570">
        <v>226</v>
      </c>
      <c r="B570">
        <v>41053005202</v>
      </c>
      <c r="C570">
        <v>1.11136E-3</v>
      </c>
    </row>
    <row r="571" spans="1:3" x14ac:dyDescent="0.25">
      <c r="A571">
        <v>227</v>
      </c>
      <c r="B571">
        <v>41053005202</v>
      </c>
      <c r="C571">
        <v>5.86565E-3</v>
      </c>
    </row>
    <row r="572" spans="1:3" x14ac:dyDescent="0.25">
      <c r="A572">
        <v>238</v>
      </c>
      <c r="B572">
        <v>41053005202</v>
      </c>
      <c r="C572">
        <v>4.9089199999999998E-3</v>
      </c>
    </row>
    <row r="573" spans="1:3" x14ac:dyDescent="0.25">
      <c r="A573">
        <v>447</v>
      </c>
      <c r="B573">
        <v>41053005202</v>
      </c>
      <c r="C573">
        <v>1.46713E-2</v>
      </c>
    </row>
    <row r="574" spans="1:3" x14ac:dyDescent="0.25">
      <c r="A574">
        <v>31</v>
      </c>
      <c r="B574">
        <v>41053005300</v>
      </c>
      <c r="C574">
        <v>0.12907185999999998</v>
      </c>
    </row>
    <row r="575" spans="1:3" x14ac:dyDescent="0.25">
      <c r="A575">
        <v>32</v>
      </c>
      <c r="B575">
        <v>41053005300</v>
      </c>
      <c r="C575">
        <v>0.18195097000000002</v>
      </c>
    </row>
    <row r="576" spans="1:3" x14ac:dyDescent="0.25">
      <c r="A576">
        <v>33</v>
      </c>
      <c r="B576">
        <v>41053005300</v>
      </c>
      <c r="C576">
        <v>7.9495159999999995E-2</v>
      </c>
    </row>
    <row r="577" spans="1:3" x14ac:dyDescent="0.25">
      <c r="A577">
        <v>34</v>
      </c>
      <c r="B577">
        <v>41053005300</v>
      </c>
      <c r="C577">
        <v>8.2539329999999994E-2</v>
      </c>
    </row>
    <row r="578" spans="1:3" x14ac:dyDescent="0.25">
      <c r="A578">
        <v>35</v>
      </c>
      <c r="B578">
        <v>41053005300</v>
      </c>
      <c r="C578">
        <v>3.9495670000000004E-2</v>
      </c>
    </row>
    <row r="579" spans="1:3" x14ac:dyDescent="0.25">
      <c r="A579">
        <v>36</v>
      </c>
      <c r="B579">
        <v>41053005300</v>
      </c>
      <c r="C579">
        <v>0.14861112000000001</v>
      </c>
    </row>
    <row r="580" spans="1:3" x14ac:dyDescent="0.25">
      <c r="A580">
        <v>37</v>
      </c>
      <c r="B580">
        <v>41053005300</v>
      </c>
      <c r="C580">
        <v>3.0625570000000001E-2</v>
      </c>
    </row>
    <row r="581" spans="1:3" x14ac:dyDescent="0.25">
      <c r="A581">
        <v>38</v>
      </c>
      <c r="B581">
        <v>41053005300</v>
      </c>
      <c r="C581">
        <v>1.6300000000000001E-6</v>
      </c>
    </row>
    <row r="582" spans="1:3" x14ac:dyDescent="0.25">
      <c r="A582">
        <v>39</v>
      </c>
      <c r="B582">
        <v>41053005300</v>
      </c>
      <c r="C582">
        <v>4.8283050000000001E-2</v>
      </c>
    </row>
    <row r="583" spans="1:3" x14ac:dyDescent="0.25">
      <c r="A583">
        <v>40</v>
      </c>
      <c r="B583">
        <v>41053005300</v>
      </c>
      <c r="C583">
        <v>1.7164100000000002E-2</v>
      </c>
    </row>
    <row r="584" spans="1:3" x14ac:dyDescent="0.25">
      <c r="A584">
        <v>41</v>
      </c>
      <c r="B584">
        <v>41053005300</v>
      </c>
      <c r="C584">
        <v>2.0775229999999999E-2</v>
      </c>
    </row>
    <row r="585" spans="1:3" x14ac:dyDescent="0.25">
      <c r="A585">
        <v>42</v>
      </c>
      <c r="B585">
        <v>41053005300</v>
      </c>
      <c r="C585">
        <v>4.4316680000000004E-2</v>
      </c>
    </row>
    <row r="586" spans="1:3" x14ac:dyDescent="0.25">
      <c r="A586">
        <v>43</v>
      </c>
      <c r="B586">
        <v>41053005300</v>
      </c>
      <c r="C586">
        <v>6.8631890000000001E-2</v>
      </c>
    </row>
    <row r="587" spans="1:3" x14ac:dyDescent="0.25">
      <c r="A587">
        <v>44</v>
      </c>
      <c r="B587">
        <v>41053005300</v>
      </c>
      <c r="C587">
        <v>1.2152110000000001E-2</v>
      </c>
    </row>
    <row r="588" spans="1:3" x14ac:dyDescent="0.25">
      <c r="A588">
        <v>45</v>
      </c>
      <c r="B588">
        <v>41053005300</v>
      </c>
      <c r="C588">
        <v>2.6931949999999996E-2</v>
      </c>
    </row>
    <row r="589" spans="1:3" x14ac:dyDescent="0.25">
      <c r="A589">
        <v>47</v>
      </c>
      <c r="B589">
        <v>41053005300</v>
      </c>
      <c r="C589">
        <v>6.5011699999999997E-3</v>
      </c>
    </row>
    <row r="590" spans="1:3" x14ac:dyDescent="0.25">
      <c r="A590">
        <v>48</v>
      </c>
      <c r="B590">
        <v>41053005300</v>
      </c>
      <c r="C590">
        <v>3.0184399999999998E-3</v>
      </c>
    </row>
    <row r="591" spans="1:3" x14ac:dyDescent="0.25">
      <c r="A591">
        <v>49</v>
      </c>
      <c r="B591">
        <v>41053005300</v>
      </c>
      <c r="C591">
        <v>1.4155999999999999E-4</v>
      </c>
    </row>
    <row r="592" spans="1:3" x14ac:dyDescent="0.25">
      <c r="A592">
        <v>50</v>
      </c>
      <c r="B592">
        <v>41053005300</v>
      </c>
      <c r="C592">
        <v>2.4552439999999998E-2</v>
      </c>
    </row>
    <row r="593" spans="1:3" x14ac:dyDescent="0.25">
      <c r="A593">
        <v>51</v>
      </c>
      <c r="B593">
        <v>41053005300</v>
      </c>
      <c r="C593">
        <v>1.3380000000000001E-5</v>
      </c>
    </row>
    <row r="594" spans="1:3" x14ac:dyDescent="0.25">
      <c r="A594">
        <v>55</v>
      </c>
      <c r="B594">
        <v>41053005300</v>
      </c>
      <c r="C594">
        <v>8.1420599999999996E-3</v>
      </c>
    </row>
    <row r="595" spans="1:3" x14ac:dyDescent="0.25">
      <c r="A595">
        <v>56</v>
      </c>
      <c r="B595">
        <v>41053005300</v>
      </c>
      <c r="C595">
        <v>2.5815169999999998E-2</v>
      </c>
    </row>
    <row r="596" spans="1:3" x14ac:dyDescent="0.25">
      <c r="A596">
        <v>67</v>
      </c>
      <c r="B596">
        <v>41053005300</v>
      </c>
      <c r="C596">
        <v>4.1539999999999999E-5</v>
      </c>
    </row>
    <row r="597" spans="1:3" x14ac:dyDescent="0.25">
      <c r="A597">
        <v>81</v>
      </c>
      <c r="B597">
        <v>41053005300</v>
      </c>
      <c r="C597">
        <v>1.5520400000000002E-3</v>
      </c>
    </row>
    <row r="598" spans="1:3" x14ac:dyDescent="0.25">
      <c r="A598">
        <v>111</v>
      </c>
      <c r="B598">
        <v>41053005300</v>
      </c>
      <c r="C598">
        <v>2.7209999999999999E-5</v>
      </c>
    </row>
    <row r="599" spans="1:3" x14ac:dyDescent="0.25">
      <c r="A599">
        <v>120</v>
      </c>
      <c r="B599">
        <v>41053005300</v>
      </c>
      <c r="C599">
        <v>7.6899999999999999E-5</v>
      </c>
    </row>
    <row r="600" spans="1:3" x14ac:dyDescent="0.25">
      <c r="A600">
        <v>432</v>
      </c>
      <c r="B600">
        <v>41053005300</v>
      </c>
      <c r="C600">
        <v>4.4520000000000001E-5</v>
      </c>
    </row>
    <row r="601" spans="1:3" x14ac:dyDescent="0.25">
      <c r="A601">
        <v>435</v>
      </c>
      <c r="B601">
        <v>41053005300</v>
      </c>
      <c r="C601">
        <v>1.7070000000000001E-5</v>
      </c>
    </row>
    <row r="602" spans="1:3" x14ac:dyDescent="0.25">
      <c r="A602">
        <v>447</v>
      </c>
      <c r="B602">
        <v>41053005300</v>
      </c>
      <c r="C602">
        <v>6.6299999999999992E-6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33B2-6352-4FD6-AAA9-538E412661EB}">
  <dimension ref="A1:C650"/>
  <sheetViews>
    <sheetView workbookViewId="0">
      <selection activeCell="D202" sqref="D202"/>
    </sheetView>
  </sheetViews>
  <sheetFormatPr defaultColWidth="23.5703125" defaultRowHeight="15" x14ac:dyDescent="0.25"/>
  <sheetData>
    <row r="1" spans="1:3" x14ac:dyDescent="0.25">
      <c r="A1" t="s">
        <v>11</v>
      </c>
      <c r="B1" t="s">
        <v>32</v>
      </c>
      <c r="C1" t="s">
        <v>17</v>
      </c>
    </row>
    <row r="2" spans="1:3" x14ac:dyDescent="0.25">
      <c r="A2">
        <v>44</v>
      </c>
      <c r="B2">
        <v>41053005301</v>
      </c>
      <c r="C2">
        <v>1</v>
      </c>
    </row>
    <row r="3" spans="1:3" x14ac:dyDescent="0.25">
      <c r="A3">
        <v>129</v>
      </c>
      <c r="B3">
        <v>41047002502</v>
      </c>
      <c r="C3">
        <v>1</v>
      </c>
    </row>
    <row r="4" spans="1:3" x14ac:dyDescent="0.25">
      <c r="A4">
        <v>132</v>
      </c>
      <c r="B4">
        <v>41047002502</v>
      </c>
      <c r="C4">
        <v>1</v>
      </c>
    </row>
    <row r="5" spans="1:3" x14ac:dyDescent="0.25">
      <c r="A5">
        <v>134</v>
      </c>
      <c r="B5">
        <v>41047002502</v>
      </c>
      <c r="C5">
        <v>1</v>
      </c>
    </row>
    <row r="6" spans="1:3" x14ac:dyDescent="0.25">
      <c r="A6">
        <v>143</v>
      </c>
      <c r="B6">
        <v>41047001601</v>
      </c>
      <c r="C6">
        <v>1</v>
      </c>
    </row>
    <row r="7" spans="1:3" x14ac:dyDescent="0.25">
      <c r="A7">
        <v>223</v>
      </c>
      <c r="B7">
        <v>41047000400</v>
      </c>
      <c r="C7">
        <v>1</v>
      </c>
    </row>
    <row r="8" spans="1:3" x14ac:dyDescent="0.25">
      <c r="A8">
        <v>225</v>
      </c>
      <c r="B8">
        <v>41047000400</v>
      </c>
      <c r="C8">
        <v>1</v>
      </c>
    </row>
    <row r="9" spans="1:3" x14ac:dyDescent="0.25">
      <c r="A9">
        <v>257</v>
      </c>
      <c r="B9">
        <v>41047000900</v>
      </c>
      <c r="C9">
        <v>1</v>
      </c>
    </row>
    <row r="10" spans="1:3" x14ac:dyDescent="0.25">
      <c r="A10">
        <v>279</v>
      </c>
      <c r="B10">
        <v>41047000200</v>
      </c>
      <c r="C10">
        <v>1</v>
      </c>
    </row>
    <row r="11" spans="1:3" x14ac:dyDescent="0.25">
      <c r="A11">
        <v>280</v>
      </c>
      <c r="B11">
        <v>41047000200</v>
      </c>
      <c r="C11">
        <v>1</v>
      </c>
    </row>
    <row r="12" spans="1:3" x14ac:dyDescent="0.25">
      <c r="A12">
        <v>345</v>
      </c>
      <c r="B12">
        <v>41047002400</v>
      </c>
      <c r="C12">
        <v>1</v>
      </c>
    </row>
    <row r="13" spans="1:3" x14ac:dyDescent="0.25">
      <c r="A13">
        <v>358</v>
      </c>
      <c r="B13">
        <v>41047002102</v>
      </c>
      <c r="C13">
        <v>1</v>
      </c>
    </row>
    <row r="14" spans="1:3" x14ac:dyDescent="0.25">
      <c r="A14">
        <v>360</v>
      </c>
      <c r="B14">
        <v>41047002202</v>
      </c>
      <c r="C14">
        <v>1</v>
      </c>
    </row>
    <row r="15" spans="1:3" x14ac:dyDescent="0.25">
      <c r="A15">
        <v>376</v>
      </c>
      <c r="B15">
        <v>41047002303</v>
      </c>
      <c r="C15">
        <v>1</v>
      </c>
    </row>
    <row r="16" spans="1:3" x14ac:dyDescent="0.25">
      <c r="A16">
        <v>378</v>
      </c>
      <c r="B16">
        <v>41047002303</v>
      </c>
      <c r="C16">
        <v>1</v>
      </c>
    </row>
    <row r="17" spans="1:3" x14ac:dyDescent="0.25">
      <c r="A17">
        <v>416</v>
      </c>
      <c r="B17">
        <v>41047002701</v>
      </c>
      <c r="C17">
        <v>1</v>
      </c>
    </row>
    <row r="18" spans="1:3" x14ac:dyDescent="0.25">
      <c r="A18">
        <v>417</v>
      </c>
      <c r="B18">
        <v>41047002701</v>
      </c>
      <c r="C18">
        <v>1</v>
      </c>
    </row>
    <row r="19" spans="1:3" x14ac:dyDescent="0.25">
      <c r="A19">
        <v>433</v>
      </c>
      <c r="B19">
        <v>41047002400</v>
      </c>
      <c r="C19">
        <v>1</v>
      </c>
    </row>
    <row r="20" spans="1:3" x14ac:dyDescent="0.25">
      <c r="A20">
        <v>434</v>
      </c>
      <c r="B20">
        <v>41047002400</v>
      </c>
      <c r="C20">
        <v>1</v>
      </c>
    </row>
    <row r="21" spans="1:3" x14ac:dyDescent="0.25">
      <c r="A21">
        <v>442</v>
      </c>
      <c r="B21">
        <v>41047001300</v>
      </c>
      <c r="C21">
        <v>1</v>
      </c>
    </row>
    <row r="22" spans="1:3" x14ac:dyDescent="0.25">
      <c r="A22">
        <v>84</v>
      </c>
      <c r="B22">
        <v>41047002502</v>
      </c>
      <c r="C22">
        <v>0.99999999000000006</v>
      </c>
    </row>
    <row r="23" spans="1:3" x14ac:dyDescent="0.25">
      <c r="A23">
        <v>117</v>
      </c>
      <c r="B23">
        <v>41047001503</v>
      </c>
      <c r="C23">
        <v>0.99999999000000006</v>
      </c>
    </row>
    <row r="24" spans="1:3" x14ac:dyDescent="0.25">
      <c r="A24">
        <v>131</v>
      </c>
      <c r="B24">
        <v>41047002502</v>
      </c>
      <c r="C24">
        <v>0.99999999000000006</v>
      </c>
    </row>
    <row r="25" spans="1:3" x14ac:dyDescent="0.25">
      <c r="A25">
        <v>171</v>
      </c>
      <c r="B25">
        <v>41047001703</v>
      </c>
      <c r="C25">
        <v>0.99999998000000001</v>
      </c>
    </row>
    <row r="26" spans="1:3" x14ac:dyDescent="0.25">
      <c r="A26">
        <v>233</v>
      </c>
      <c r="B26">
        <v>41047000300</v>
      </c>
      <c r="C26">
        <v>0.99999998000000001</v>
      </c>
    </row>
    <row r="27" spans="1:3" x14ac:dyDescent="0.25">
      <c r="A27">
        <v>295</v>
      </c>
      <c r="B27">
        <v>41047000702</v>
      </c>
      <c r="C27">
        <v>0.99999998000000001</v>
      </c>
    </row>
    <row r="28" spans="1:3" x14ac:dyDescent="0.25">
      <c r="A28">
        <v>396</v>
      </c>
      <c r="B28">
        <v>41047001803</v>
      </c>
      <c r="C28">
        <v>0.99999998000000001</v>
      </c>
    </row>
    <row r="29" spans="1:3" x14ac:dyDescent="0.25">
      <c r="A29">
        <v>444</v>
      </c>
      <c r="B29">
        <v>41047002502</v>
      </c>
      <c r="C29">
        <v>0.99999996999999996</v>
      </c>
    </row>
    <row r="30" spans="1:3" x14ac:dyDescent="0.25">
      <c r="A30">
        <v>130</v>
      </c>
      <c r="B30">
        <v>41047002502</v>
      </c>
      <c r="C30">
        <v>0.99999994999999997</v>
      </c>
    </row>
    <row r="31" spans="1:3" x14ac:dyDescent="0.25">
      <c r="A31">
        <v>186</v>
      </c>
      <c r="B31">
        <v>41047001703</v>
      </c>
      <c r="C31">
        <v>0.99999994000000003</v>
      </c>
    </row>
    <row r="32" spans="1:3" x14ac:dyDescent="0.25">
      <c r="A32">
        <v>224</v>
      </c>
      <c r="B32">
        <v>41047000400</v>
      </c>
      <c r="C32">
        <v>0.99999994000000003</v>
      </c>
    </row>
    <row r="33" spans="1:3" x14ac:dyDescent="0.25">
      <c r="A33">
        <v>294</v>
      </c>
      <c r="B33">
        <v>41047000702</v>
      </c>
      <c r="C33">
        <v>0.99999994000000003</v>
      </c>
    </row>
    <row r="34" spans="1:3" x14ac:dyDescent="0.25">
      <c r="A34">
        <v>443</v>
      </c>
      <c r="B34">
        <v>41047002502</v>
      </c>
      <c r="C34">
        <v>0.99999988000000006</v>
      </c>
    </row>
    <row r="35" spans="1:3" x14ac:dyDescent="0.25">
      <c r="A35">
        <v>53</v>
      </c>
      <c r="B35">
        <v>41053005206</v>
      </c>
      <c r="C35">
        <v>0.99999724999999995</v>
      </c>
    </row>
    <row r="36" spans="1:3" x14ac:dyDescent="0.25">
      <c r="A36">
        <v>419</v>
      </c>
      <c r="B36">
        <v>41047002701</v>
      </c>
      <c r="C36">
        <v>0.99996284000000002</v>
      </c>
    </row>
    <row r="37" spans="1:3" x14ac:dyDescent="0.25">
      <c r="A37">
        <v>207</v>
      </c>
      <c r="B37">
        <v>41047002702</v>
      </c>
      <c r="C37">
        <v>0.99994001999999993</v>
      </c>
    </row>
    <row r="38" spans="1:3" x14ac:dyDescent="0.25">
      <c r="A38">
        <v>80</v>
      </c>
      <c r="B38">
        <v>41047002502</v>
      </c>
      <c r="C38">
        <v>0.99992289000000001</v>
      </c>
    </row>
    <row r="39" spans="1:3" x14ac:dyDescent="0.25">
      <c r="A39">
        <v>231</v>
      </c>
      <c r="B39">
        <v>41047000300</v>
      </c>
      <c r="C39">
        <v>0.99979867999999994</v>
      </c>
    </row>
    <row r="40" spans="1:3" x14ac:dyDescent="0.25">
      <c r="A40">
        <v>314</v>
      </c>
      <c r="B40">
        <v>41047001300</v>
      </c>
      <c r="C40">
        <v>0.99977377000000001</v>
      </c>
    </row>
    <row r="41" spans="1:3" x14ac:dyDescent="0.25">
      <c r="A41">
        <v>283</v>
      </c>
      <c r="B41">
        <v>41047000501</v>
      </c>
      <c r="C41">
        <v>0.99970594000000002</v>
      </c>
    </row>
    <row r="42" spans="1:3" x14ac:dyDescent="0.25">
      <c r="A42">
        <v>261</v>
      </c>
      <c r="B42">
        <v>41047000200</v>
      </c>
      <c r="C42">
        <v>0.99969679999999994</v>
      </c>
    </row>
    <row r="43" spans="1:3" x14ac:dyDescent="0.25">
      <c r="A43">
        <v>33</v>
      </c>
      <c r="B43">
        <v>41053005302</v>
      </c>
      <c r="C43">
        <v>0.99969403999999995</v>
      </c>
    </row>
    <row r="44" spans="1:3" x14ac:dyDescent="0.25">
      <c r="A44">
        <v>185</v>
      </c>
      <c r="B44">
        <v>41047001703</v>
      </c>
      <c r="C44">
        <v>0.99969167000000003</v>
      </c>
    </row>
    <row r="45" spans="1:3" x14ac:dyDescent="0.25">
      <c r="A45">
        <v>70</v>
      </c>
      <c r="B45">
        <v>41053005204</v>
      </c>
      <c r="C45">
        <v>0.99968175000000004</v>
      </c>
    </row>
    <row r="46" spans="1:3" x14ac:dyDescent="0.25">
      <c r="A46">
        <v>149</v>
      </c>
      <c r="B46">
        <v>41047001606</v>
      </c>
      <c r="C46">
        <v>0.99963261000000003</v>
      </c>
    </row>
    <row r="47" spans="1:3" x14ac:dyDescent="0.25">
      <c r="A47">
        <v>420</v>
      </c>
      <c r="B47">
        <v>41047002701</v>
      </c>
      <c r="C47">
        <v>0.99963042999999996</v>
      </c>
    </row>
    <row r="48" spans="1:3" x14ac:dyDescent="0.25">
      <c r="A48">
        <v>285</v>
      </c>
      <c r="B48">
        <v>41047000600</v>
      </c>
      <c r="C48">
        <v>0.99958955000000005</v>
      </c>
    </row>
    <row r="49" spans="1:3" x14ac:dyDescent="0.25">
      <c r="A49">
        <v>423</v>
      </c>
      <c r="B49">
        <v>41047002800</v>
      </c>
      <c r="C49">
        <v>0.99952178999999997</v>
      </c>
    </row>
    <row r="50" spans="1:3" x14ac:dyDescent="0.25">
      <c r="A50">
        <v>206</v>
      </c>
      <c r="B50">
        <v>41047001802</v>
      </c>
      <c r="C50">
        <v>0.99951502999999997</v>
      </c>
    </row>
    <row r="51" spans="1:3" x14ac:dyDescent="0.25">
      <c r="A51">
        <v>158</v>
      </c>
      <c r="B51">
        <v>41047001607</v>
      </c>
      <c r="C51">
        <v>0.99938693000000001</v>
      </c>
    </row>
    <row r="52" spans="1:3" x14ac:dyDescent="0.25">
      <c r="A52">
        <v>83</v>
      </c>
      <c r="B52">
        <v>41047002502</v>
      </c>
      <c r="C52">
        <v>0.99935828000000004</v>
      </c>
    </row>
    <row r="53" spans="1:3" x14ac:dyDescent="0.25">
      <c r="A53">
        <v>432</v>
      </c>
      <c r="B53">
        <v>41047002400</v>
      </c>
      <c r="C53">
        <v>0.99924447999999999</v>
      </c>
    </row>
    <row r="54" spans="1:3" x14ac:dyDescent="0.25">
      <c r="A54">
        <v>51</v>
      </c>
      <c r="B54">
        <v>41053005205</v>
      </c>
      <c r="C54">
        <v>0.99923507</v>
      </c>
    </row>
    <row r="55" spans="1:3" x14ac:dyDescent="0.25">
      <c r="A55">
        <v>422</v>
      </c>
      <c r="B55">
        <v>41047002800</v>
      </c>
      <c r="C55">
        <v>0.99900263</v>
      </c>
    </row>
    <row r="56" spans="1:3" x14ac:dyDescent="0.25">
      <c r="A56">
        <v>230</v>
      </c>
      <c r="B56">
        <v>41047000400</v>
      </c>
      <c r="C56">
        <v>0.99896311999999998</v>
      </c>
    </row>
    <row r="57" spans="1:3" x14ac:dyDescent="0.25">
      <c r="A57">
        <v>48</v>
      </c>
      <c r="B57">
        <v>41053005301</v>
      </c>
      <c r="C57">
        <v>0.99895098999999998</v>
      </c>
    </row>
    <row r="58" spans="1:3" x14ac:dyDescent="0.25">
      <c r="A58">
        <v>65</v>
      </c>
      <c r="B58">
        <v>41053005203</v>
      </c>
      <c r="C58">
        <v>0.99882795000000002</v>
      </c>
    </row>
    <row r="59" spans="1:3" x14ac:dyDescent="0.25">
      <c r="A59">
        <v>133</v>
      </c>
      <c r="B59">
        <v>41047002502</v>
      </c>
      <c r="C59">
        <v>0.99877481999999995</v>
      </c>
    </row>
    <row r="60" spans="1:3" x14ac:dyDescent="0.25">
      <c r="A60">
        <v>66</v>
      </c>
      <c r="B60">
        <v>41053005203</v>
      </c>
      <c r="C60">
        <v>0.99873959999999995</v>
      </c>
    </row>
    <row r="61" spans="1:3" x14ac:dyDescent="0.25">
      <c r="A61">
        <v>75</v>
      </c>
      <c r="B61">
        <v>41053005100</v>
      </c>
      <c r="C61">
        <v>0.99871125000000005</v>
      </c>
    </row>
    <row r="62" spans="1:3" x14ac:dyDescent="0.25">
      <c r="A62">
        <v>313</v>
      </c>
      <c r="B62">
        <v>41047001000</v>
      </c>
      <c r="C62">
        <v>0.99868663999999996</v>
      </c>
    </row>
    <row r="63" spans="1:3" x14ac:dyDescent="0.25">
      <c r="A63">
        <v>170</v>
      </c>
      <c r="B63">
        <v>41047001703</v>
      </c>
      <c r="C63">
        <v>0.99863758999999996</v>
      </c>
    </row>
    <row r="64" spans="1:3" x14ac:dyDescent="0.25">
      <c r="A64">
        <v>281</v>
      </c>
      <c r="B64">
        <v>41047000200</v>
      </c>
      <c r="C64">
        <v>0.99856638000000009</v>
      </c>
    </row>
    <row r="65" spans="1:3" x14ac:dyDescent="0.25">
      <c r="A65">
        <v>347</v>
      </c>
      <c r="B65">
        <v>41047002202</v>
      </c>
      <c r="C65">
        <v>0.99832847000000002</v>
      </c>
    </row>
    <row r="66" spans="1:3" x14ac:dyDescent="0.25">
      <c r="A66">
        <v>379</v>
      </c>
      <c r="B66">
        <v>41047002303</v>
      </c>
      <c r="C66">
        <v>0.99823119999999999</v>
      </c>
    </row>
    <row r="67" spans="1:3" x14ac:dyDescent="0.25">
      <c r="A67">
        <v>221</v>
      </c>
      <c r="B67">
        <v>41047000400</v>
      </c>
      <c r="C67">
        <v>0.99816817000000002</v>
      </c>
    </row>
    <row r="68" spans="1:3" x14ac:dyDescent="0.25">
      <c r="A68">
        <v>437</v>
      </c>
      <c r="B68">
        <v>41047002800</v>
      </c>
      <c r="C68">
        <v>0.99813216999999999</v>
      </c>
    </row>
    <row r="69" spans="1:3" x14ac:dyDescent="0.25">
      <c r="A69">
        <v>424</v>
      </c>
      <c r="B69">
        <v>41047002800</v>
      </c>
      <c r="C69">
        <v>0.99812651000000008</v>
      </c>
    </row>
    <row r="70" spans="1:3" x14ac:dyDescent="0.25">
      <c r="A70">
        <v>429</v>
      </c>
      <c r="B70">
        <v>41047002301</v>
      </c>
      <c r="C70">
        <v>0.99805047000000002</v>
      </c>
    </row>
    <row r="71" spans="1:3" x14ac:dyDescent="0.25">
      <c r="A71">
        <v>107</v>
      </c>
      <c r="B71">
        <v>41047001401</v>
      </c>
      <c r="C71">
        <v>0.99802736999999997</v>
      </c>
    </row>
    <row r="72" spans="1:3" x14ac:dyDescent="0.25">
      <c r="A72">
        <v>380</v>
      </c>
      <c r="B72">
        <v>41047002301</v>
      </c>
      <c r="C72">
        <v>0.99801050000000002</v>
      </c>
    </row>
    <row r="73" spans="1:3" x14ac:dyDescent="0.25">
      <c r="A73">
        <v>112</v>
      </c>
      <c r="B73">
        <v>41047001402</v>
      </c>
      <c r="C73">
        <v>0.99797796000000005</v>
      </c>
    </row>
    <row r="74" spans="1:3" x14ac:dyDescent="0.25">
      <c r="A74">
        <v>388</v>
      </c>
      <c r="B74">
        <v>41047002002</v>
      </c>
      <c r="C74">
        <v>0.99776653999999998</v>
      </c>
    </row>
    <row r="75" spans="1:3" x14ac:dyDescent="0.25">
      <c r="A75">
        <v>299</v>
      </c>
      <c r="B75">
        <v>41047000702</v>
      </c>
      <c r="C75">
        <v>0.99770201000000003</v>
      </c>
    </row>
    <row r="76" spans="1:3" x14ac:dyDescent="0.25">
      <c r="A76">
        <v>36</v>
      </c>
      <c r="B76">
        <v>41053005301</v>
      </c>
      <c r="C76">
        <v>0.99761122000000002</v>
      </c>
    </row>
    <row r="77" spans="1:3" x14ac:dyDescent="0.25">
      <c r="A77">
        <v>139</v>
      </c>
      <c r="B77">
        <v>41047001603</v>
      </c>
      <c r="C77">
        <v>0.99750519999999998</v>
      </c>
    </row>
    <row r="78" spans="1:3" x14ac:dyDescent="0.25">
      <c r="A78">
        <v>246</v>
      </c>
      <c r="B78">
        <v>41047000200</v>
      </c>
      <c r="C78">
        <v>0.99728592000000005</v>
      </c>
    </row>
    <row r="79" spans="1:3" x14ac:dyDescent="0.25">
      <c r="A79">
        <v>234</v>
      </c>
      <c r="B79">
        <v>41047000300</v>
      </c>
      <c r="C79">
        <v>0.99725652999999992</v>
      </c>
    </row>
    <row r="80" spans="1:3" x14ac:dyDescent="0.25">
      <c r="A80">
        <v>229</v>
      </c>
      <c r="B80">
        <v>41047000400</v>
      </c>
      <c r="C80">
        <v>0.99716885</v>
      </c>
    </row>
    <row r="81" spans="1:3" x14ac:dyDescent="0.25">
      <c r="A81">
        <v>39</v>
      </c>
      <c r="B81">
        <v>41053005301</v>
      </c>
      <c r="C81">
        <v>0.99714958999999992</v>
      </c>
    </row>
    <row r="82" spans="1:3" x14ac:dyDescent="0.25">
      <c r="A82">
        <v>260</v>
      </c>
      <c r="B82">
        <v>41047000200</v>
      </c>
      <c r="C82">
        <v>0.99714382999999995</v>
      </c>
    </row>
    <row r="83" spans="1:3" x14ac:dyDescent="0.25">
      <c r="A83">
        <v>40</v>
      </c>
      <c r="B83">
        <v>41053005301</v>
      </c>
      <c r="C83">
        <v>0.99711886000000005</v>
      </c>
    </row>
    <row r="84" spans="1:3" x14ac:dyDescent="0.25">
      <c r="A84">
        <v>301</v>
      </c>
      <c r="B84">
        <v>41047000900</v>
      </c>
      <c r="C84">
        <v>0.99711049000000007</v>
      </c>
    </row>
    <row r="85" spans="1:3" x14ac:dyDescent="0.25">
      <c r="A85">
        <v>237</v>
      </c>
      <c r="B85">
        <v>41047000502</v>
      </c>
      <c r="C85">
        <v>0.99705758</v>
      </c>
    </row>
    <row r="86" spans="1:3" x14ac:dyDescent="0.25">
      <c r="A86">
        <v>232</v>
      </c>
      <c r="B86">
        <v>41047000300</v>
      </c>
      <c r="C86">
        <v>0.99677222999999993</v>
      </c>
    </row>
    <row r="87" spans="1:3" x14ac:dyDescent="0.25">
      <c r="A87">
        <v>310</v>
      </c>
      <c r="B87">
        <v>41047001200</v>
      </c>
      <c r="C87">
        <v>0.99660079999999995</v>
      </c>
    </row>
    <row r="88" spans="1:3" x14ac:dyDescent="0.25">
      <c r="A88">
        <v>431</v>
      </c>
      <c r="B88">
        <v>41047002400</v>
      </c>
      <c r="C88">
        <v>0.99658398000000004</v>
      </c>
    </row>
    <row r="89" spans="1:3" x14ac:dyDescent="0.25">
      <c r="A89">
        <v>205</v>
      </c>
      <c r="B89">
        <v>41047001802</v>
      </c>
      <c r="C89">
        <v>0.99656176000000007</v>
      </c>
    </row>
    <row r="90" spans="1:3" x14ac:dyDescent="0.25">
      <c r="A90">
        <v>169</v>
      </c>
      <c r="B90">
        <v>41047001703</v>
      </c>
      <c r="C90">
        <v>0.99626309000000002</v>
      </c>
    </row>
    <row r="91" spans="1:3" x14ac:dyDescent="0.25">
      <c r="A91">
        <v>31</v>
      </c>
      <c r="B91">
        <v>41053005302</v>
      </c>
      <c r="C91">
        <v>0.99619405000000005</v>
      </c>
    </row>
    <row r="92" spans="1:3" x14ac:dyDescent="0.25">
      <c r="A92">
        <v>153</v>
      </c>
      <c r="B92">
        <v>41047001603</v>
      </c>
      <c r="C92">
        <v>0.99617710000000004</v>
      </c>
    </row>
    <row r="93" spans="1:3" x14ac:dyDescent="0.25">
      <c r="A93">
        <v>430</v>
      </c>
      <c r="B93">
        <v>41047002400</v>
      </c>
      <c r="C93">
        <v>0.99600966999999996</v>
      </c>
    </row>
    <row r="94" spans="1:3" x14ac:dyDescent="0.25">
      <c r="A94">
        <v>152</v>
      </c>
      <c r="B94">
        <v>41047001603</v>
      </c>
      <c r="C94">
        <v>0.99598346000000004</v>
      </c>
    </row>
    <row r="95" spans="1:3" x14ac:dyDescent="0.25">
      <c r="A95">
        <v>95</v>
      </c>
      <c r="B95">
        <v>41047001501</v>
      </c>
      <c r="C95">
        <v>0.99591252999999991</v>
      </c>
    </row>
    <row r="96" spans="1:3" x14ac:dyDescent="0.25">
      <c r="A96">
        <v>242</v>
      </c>
      <c r="B96">
        <v>41047000300</v>
      </c>
      <c r="C96">
        <v>0.99584474999999995</v>
      </c>
    </row>
    <row r="97" spans="1:3" x14ac:dyDescent="0.25">
      <c r="A97">
        <v>87</v>
      </c>
      <c r="B97">
        <v>41047002504</v>
      </c>
      <c r="C97">
        <v>0.99576679999999995</v>
      </c>
    </row>
    <row r="98" spans="1:3" x14ac:dyDescent="0.25">
      <c r="A98">
        <v>137</v>
      </c>
      <c r="B98">
        <v>41047002502</v>
      </c>
      <c r="C98">
        <v>0.99569468999999999</v>
      </c>
    </row>
    <row r="99" spans="1:3" x14ac:dyDescent="0.25">
      <c r="A99">
        <v>357</v>
      </c>
      <c r="B99">
        <v>41047002001</v>
      </c>
      <c r="C99">
        <v>0.9956044300000001</v>
      </c>
    </row>
    <row r="100" spans="1:3" x14ac:dyDescent="0.25">
      <c r="A100">
        <v>214</v>
      </c>
      <c r="B100">
        <v>41047000502</v>
      </c>
      <c r="C100">
        <v>0.99553707000000002</v>
      </c>
    </row>
    <row r="101" spans="1:3" x14ac:dyDescent="0.25">
      <c r="A101">
        <v>35</v>
      </c>
      <c r="B101">
        <v>41053005302</v>
      </c>
      <c r="C101">
        <v>0.99552746999999997</v>
      </c>
    </row>
    <row r="102" spans="1:3" x14ac:dyDescent="0.25">
      <c r="A102">
        <v>249</v>
      </c>
      <c r="B102">
        <v>41047000200</v>
      </c>
      <c r="C102">
        <v>0.99552025999999993</v>
      </c>
    </row>
    <row r="103" spans="1:3" x14ac:dyDescent="0.25">
      <c r="A103">
        <v>245</v>
      </c>
      <c r="B103">
        <v>41047000600</v>
      </c>
      <c r="C103">
        <v>0.99549285999999992</v>
      </c>
    </row>
    <row r="104" spans="1:3" x14ac:dyDescent="0.25">
      <c r="A104">
        <v>155</v>
      </c>
      <c r="B104">
        <v>41047001608</v>
      </c>
      <c r="C104">
        <v>0.99542536000000004</v>
      </c>
    </row>
    <row r="105" spans="1:3" x14ac:dyDescent="0.25">
      <c r="A105">
        <v>136</v>
      </c>
      <c r="B105">
        <v>41047002502</v>
      </c>
      <c r="C105">
        <v>0.99539010999999999</v>
      </c>
    </row>
    <row r="106" spans="1:3" x14ac:dyDescent="0.25">
      <c r="A106">
        <v>110</v>
      </c>
      <c r="B106">
        <v>41047001401</v>
      </c>
      <c r="C106">
        <v>0.99530344999999998</v>
      </c>
    </row>
    <row r="107" spans="1:3" x14ac:dyDescent="0.25">
      <c r="A107">
        <v>235</v>
      </c>
      <c r="B107">
        <v>41047000400</v>
      </c>
      <c r="C107">
        <v>0.99482771000000003</v>
      </c>
    </row>
    <row r="108" spans="1:3" x14ac:dyDescent="0.25">
      <c r="A108">
        <v>324</v>
      </c>
      <c r="B108">
        <v>41047001200</v>
      </c>
      <c r="C108">
        <v>0.99427496000000004</v>
      </c>
    </row>
    <row r="109" spans="1:3" x14ac:dyDescent="0.25">
      <c r="A109">
        <v>50</v>
      </c>
      <c r="B109">
        <v>41053005301</v>
      </c>
      <c r="C109">
        <v>0.99394000000000005</v>
      </c>
    </row>
    <row r="110" spans="1:3" x14ac:dyDescent="0.25">
      <c r="A110">
        <v>90</v>
      </c>
      <c r="B110">
        <v>41047002503</v>
      </c>
      <c r="C110">
        <v>0.99370161000000001</v>
      </c>
    </row>
    <row r="111" spans="1:3" x14ac:dyDescent="0.25">
      <c r="A111">
        <v>450</v>
      </c>
      <c r="B111">
        <v>41047002800</v>
      </c>
      <c r="C111">
        <v>0.99334159999999994</v>
      </c>
    </row>
    <row r="112" spans="1:3" x14ac:dyDescent="0.25">
      <c r="A112">
        <v>55</v>
      </c>
      <c r="B112">
        <v>41053005301</v>
      </c>
      <c r="C112">
        <v>0.99315712</v>
      </c>
    </row>
    <row r="113" spans="1:3" x14ac:dyDescent="0.25">
      <c r="A113">
        <v>125</v>
      </c>
      <c r="B113">
        <v>41047000400</v>
      </c>
      <c r="C113">
        <v>0.99291883000000003</v>
      </c>
    </row>
    <row r="114" spans="1:3" x14ac:dyDescent="0.25">
      <c r="A114">
        <v>67</v>
      </c>
      <c r="B114">
        <v>41053005203</v>
      </c>
      <c r="C114">
        <v>0.99285549000000006</v>
      </c>
    </row>
    <row r="115" spans="1:3" x14ac:dyDescent="0.25">
      <c r="A115">
        <v>54</v>
      </c>
      <c r="B115">
        <v>41053005205</v>
      </c>
      <c r="C115">
        <v>0.99256984999999998</v>
      </c>
    </row>
    <row r="116" spans="1:3" x14ac:dyDescent="0.25">
      <c r="A116">
        <v>323</v>
      </c>
      <c r="B116">
        <v>41047001300</v>
      </c>
      <c r="C116">
        <v>0.99242306999999996</v>
      </c>
    </row>
    <row r="117" spans="1:3" x14ac:dyDescent="0.25">
      <c r="A117">
        <v>330</v>
      </c>
      <c r="B117">
        <v>41047001000</v>
      </c>
      <c r="C117">
        <v>0.99201964000000009</v>
      </c>
    </row>
    <row r="118" spans="1:3" x14ac:dyDescent="0.25">
      <c r="A118">
        <v>334</v>
      </c>
      <c r="B118">
        <v>41047002201</v>
      </c>
      <c r="C118">
        <v>0.99183352000000002</v>
      </c>
    </row>
    <row r="119" spans="1:3" x14ac:dyDescent="0.25">
      <c r="A119">
        <v>45</v>
      </c>
      <c r="B119">
        <v>41053005301</v>
      </c>
      <c r="C119">
        <v>0.99150071999999989</v>
      </c>
    </row>
    <row r="120" spans="1:3" x14ac:dyDescent="0.25">
      <c r="A120">
        <v>427</v>
      </c>
      <c r="B120">
        <v>41047002304</v>
      </c>
      <c r="C120">
        <v>0.9914634200000001</v>
      </c>
    </row>
    <row r="121" spans="1:3" x14ac:dyDescent="0.25">
      <c r="A121">
        <v>128</v>
      </c>
      <c r="B121">
        <v>41047001503</v>
      </c>
      <c r="C121">
        <v>0.99145927999999994</v>
      </c>
    </row>
    <row r="122" spans="1:3" x14ac:dyDescent="0.25">
      <c r="A122">
        <v>322</v>
      </c>
      <c r="B122">
        <v>41047001300</v>
      </c>
      <c r="C122">
        <v>0.99139295999999999</v>
      </c>
    </row>
    <row r="123" spans="1:3" x14ac:dyDescent="0.25">
      <c r="A123">
        <v>354</v>
      </c>
      <c r="B123">
        <v>41047001000</v>
      </c>
      <c r="C123">
        <v>0.99115064000000008</v>
      </c>
    </row>
    <row r="124" spans="1:3" x14ac:dyDescent="0.25">
      <c r="A124">
        <v>359</v>
      </c>
      <c r="B124">
        <v>41047002102</v>
      </c>
      <c r="C124">
        <v>0.99109452000000009</v>
      </c>
    </row>
    <row r="125" spans="1:3" x14ac:dyDescent="0.25">
      <c r="A125">
        <v>164</v>
      </c>
      <c r="B125">
        <v>41047001701</v>
      </c>
      <c r="C125">
        <v>0.99093933000000012</v>
      </c>
    </row>
    <row r="126" spans="1:3" x14ac:dyDescent="0.25">
      <c r="A126">
        <v>421</v>
      </c>
      <c r="B126">
        <v>41047002800</v>
      </c>
      <c r="C126">
        <v>0.99089967000000001</v>
      </c>
    </row>
    <row r="127" spans="1:3" x14ac:dyDescent="0.25">
      <c r="A127">
        <v>304</v>
      </c>
      <c r="B127">
        <v>41047001000</v>
      </c>
      <c r="C127">
        <v>0.99070497999999996</v>
      </c>
    </row>
    <row r="128" spans="1:3" x14ac:dyDescent="0.25">
      <c r="A128">
        <v>56</v>
      </c>
      <c r="B128">
        <v>41053005301</v>
      </c>
      <c r="C128">
        <v>0.99055251</v>
      </c>
    </row>
    <row r="129" spans="1:3" x14ac:dyDescent="0.25">
      <c r="A129">
        <v>244</v>
      </c>
      <c r="B129">
        <v>41047000600</v>
      </c>
      <c r="C129">
        <v>0.99028479000000003</v>
      </c>
    </row>
    <row r="130" spans="1:3" x14ac:dyDescent="0.25">
      <c r="A130">
        <v>336</v>
      </c>
      <c r="B130">
        <v>41047001100</v>
      </c>
      <c r="C130">
        <v>0.99015863999999998</v>
      </c>
    </row>
    <row r="131" spans="1:3" x14ac:dyDescent="0.25">
      <c r="A131">
        <v>256</v>
      </c>
      <c r="B131">
        <v>41047000900</v>
      </c>
      <c r="C131">
        <v>0.9898881799999999</v>
      </c>
    </row>
    <row r="132" spans="1:3" x14ac:dyDescent="0.25">
      <c r="A132">
        <v>200</v>
      </c>
      <c r="B132">
        <v>41047001802</v>
      </c>
      <c r="C132">
        <v>0.98979311999999997</v>
      </c>
    </row>
    <row r="133" spans="1:3" x14ac:dyDescent="0.25">
      <c r="A133">
        <v>381</v>
      </c>
      <c r="B133">
        <v>41047002400</v>
      </c>
      <c r="C133">
        <v>0.98971155999999993</v>
      </c>
    </row>
    <row r="134" spans="1:3" x14ac:dyDescent="0.25">
      <c r="A134">
        <v>447</v>
      </c>
      <c r="B134">
        <v>41053005206</v>
      </c>
      <c r="C134">
        <v>0.98954103999999998</v>
      </c>
    </row>
    <row r="135" spans="1:3" x14ac:dyDescent="0.25">
      <c r="A135">
        <v>194</v>
      </c>
      <c r="B135">
        <v>41047001801</v>
      </c>
      <c r="C135">
        <v>0.98927876999999997</v>
      </c>
    </row>
    <row r="136" spans="1:3" x14ac:dyDescent="0.25">
      <c r="A136">
        <v>436</v>
      </c>
      <c r="B136">
        <v>41047001300</v>
      </c>
      <c r="C136">
        <v>0.98916691000000001</v>
      </c>
    </row>
    <row r="137" spans="1:3" x14ac:dyDescent="0.25">
      <c r="A137">
        <v>284</v>
      </c>
      <c r="B137">
        <v>41047000501</v>
      </c>
      <c r="C137">
        <v>0.98863656000000011</v>
      </c>
    </row>
    <row r="138" spans="1:3" x14ac:dyDescent="0.25">
      <c r="A138">
        <v>47</v>
      </c>
      <c r="B138">
        <v>41053005301</v>
      </c>
      <c r="C138">
        <v>0.98803180999999995</v>
      </c>
    </row>
    <row r="139" spans="1:3" x14ac:dyDescent="0.25">
      <c r="A139">
        <v>162</v>
      </c>
      <c r="B139">
        <v>41047001607</v>
      </c>
      <c r="C139">
        <v>0.98782561000000002</v>
      </c>
    </row>
    <row r="140" spans="1:3" x14ac:dyDescent="0.25">
      <c r="A140">
        <v>168</v>
      </c>
      <c r="B140">
        <v>41047001702</v>
      </c>
      <c r="C140">
        <v>0.98774927000000001</v>
      </c>
    </row>
    <row r="141" spans="1:3" x14ac:dyDescent="0.25">
      <c r="A141">
        <v>189</v>
      </c>
      <c r="B141">
        <v>41047001801</v>
      </c>
      <c r="C141">
        <v>0.98736779999999991</v>
      </c>
    </row>
    <row r="142" spans="1:3" x14ac:dyDescent="0.25">
      <c r="A142">
        <v>289</v>
      </c>
      <c r="B142">
        <v>41047000600</v>
      </c>
      <c r="C142">
        <v>0.98726585</v>
      </c>
    </row>
    <row r="143" spans="1:3" x14ac:dyDescent="0.25">
      <c r="A143">
        <v>332</v>
      </c>
      <c r="B143">
        <v>41047001300</v>
      </c>
      <c r="C143">
        <v>0.98675606999999999</v>
      </c>
    </row>
    <row r="144" spans="1:3" x14ac:dyDescent="0.25">
      <c r="A144">
        <v>100</v>
      </c>
      <c r="B144">
        <v>41047001502</v>
      </c>
      <c r="C144">
        <v>0.9866703200000001</v>
      </c>
    </row>
    <row r="145" spans="1:3" x14ac:dyDescent="0.25">
      <c r="A145">
        <v>94</v>
      </c>
      <c r="B145">
        <v>41047001501</v>
      </c>
      <c r="C145">
        <v>0.9866203899999999</v>
      </c>
    </row>
    <row r="146" spans="1:3" x14ac:dyDescent="0.25">
      <c r="A146">
        <v>156</v>
      </c>
      <c r="B146">
        <v>41047001607</v>
      </c>
      <c r="C146">
        <v>0.98487272000000003</v>
      </c>
    </row>
    <row r="147" spans="1:3" x14ac:dyDescent="0.25">
      <c r="A147">
        <v>34</v>
      </c>
      <c r="B147">
        <v>41053005302</v>
      </c>
      <c r="C147">
        <v>0.98440085999999993</v>
      </c>
    </row>
    <row r="148" spans="1:3" x14ac:dyDescent="0.25">
      <c r="A148">
        <v>124</v>
      </c>
      <c r="B148">
        <v>41047000400</v>
      </c>
      <c r="C148">
        <v>0.98412217999999996</v>
      </c>
    </row>
    <row r="149" spans="1:3" x14ac:dyDescent="0.25">
      <c r="A149">
        <v>118</v>
      </c>
      <c r="B149">
        <v>41047001503</v>
      </c>
      <c r="C149">
        <v>0.98375671999999992</v>
      </c>
    </row>
    <row r="150" spans="1:3" x14ac:dyDescent="0.25">
      <c r="A150">
        <v>126</v>
      </c>
      <c r="B150">
        <v>41047000400</v>
      </c>
      <c r="C150">
        <v>0.98267694999999999</v>
      </c>
    </row>
    <row r="151" spans="1:3" x14ac:dyDescent="0.25">
      <c r="A151">
        <v>138</v>
      </c>
      <c r="B151">
        <v>41047002502</v>
      </c>
      <c r="C151">
        <v>0.98226947999999992</v>
      </c>
    </row>
    <row r="152" spans="1:3" x14ac:dyDescent="0.25">
      <c r="A152">
        <v>49</v>
      </c>
      <c r="B152">
        <v>41053005205</v>
      </c>
      <c r="C152">
        <v>0.98219441000000007</v>
      </c>
    </row>
    <row r="153" spans="1:3" x14ac:dyDescent="0.25">
      <c r="A153">
        <v>309</v>
      </c>
      <c r="B153">
        <v>41047001300</v>
      </c>
      <c r="C153">
        <v>0.98205205000000007</v>
      </c>
    </row>
    <row r="154" spans="1:3" x14ac:dyDescent="0.25">
      <c r="A154">
        <v>71</v>
      </c>
      <c r="B154">
        <v>41053005204</v>
      </c>
      <c r="C154">
        <v>0.98146575000000003</v>
      </c>
    </row>
    <row r="155" spans="1:3" x14ac:dyDescent="0.25">
      <c r="A155">
        <v>52</v>
      </c>
      <c r="B155">
        <v>41053005205</v>
      </c>
      <c r="C155">
        <v>0.98074001</v>
      </c>
    </row>
    <row r="156" spans="1:3" x14ac:dyDescent="0.25">
      <c r="A156">
        <v>428</v>
      </c>
      <c r="B156">
        <v>41047002301</v>
      </c>
      <c r="C156">
        <v>0.97951701999999996</v>
      </c>
    </row>
    <row r="157" spans="1:3" x14ac:dyDescent="0.25">
      <c r="A157">
        <v>374</v>
      </c>
      <c r="B157">
        <v>41047002001</v>
      </c>
      <c r="C157">
        <v>0.97886804999999999</v>
      </c>
    </row>
    <row r="158" spans="1:3" x14ac:dyDescent="0.25">
      <c r="A158">
        <v>363</v>
      </c>
      <c r="B158">
        <v>41047002202</v>
      </c>
      <c r="C158">
        <v>0.97694963000000001</v>
      </c>
    </row>
    <row r="159" spans="1:3" x14ac:dyDescent="0.25">
      <c r="A159">
        <v>373</v>
      </c>
      <c r="B159">
        <v>41047002002</v>
      </c>
      <c r="C159">
        <v>0.97666644000000002</v>
      </c>
    </row>
    <row r="160" spans="1:3" x14ac:dyDescent="0.25">
      <c r="A160">
        <v>120</v>
      </c>
      <c r="B160">
        <v>41047001402</v>
      </c>
      <c r="C160">
        <v>0.97597553000000004</v>
      </c>
    </row>
    <row r="161" spans="1:3" x14ac:dyDescent="0.25">
      <c r="A161">
        <v>151</v>
      </c>
      <c r="B161">
        <v>41047001605</v>
      </c>
      <c r="C161">
        <v>0.97539195000000012</v>
      </c>
    </row>
    <row r="162" spans="1:3" x14ac:dyDescent="0.25">
      <c r="A162">
        <v>204</v>
      </c>
      <c r="B162">
        <v>41047001802</v>
      </c>
      <c r="C162">
        <v>0.97498158000000001</v>
      </c>
    </row>
    <row r="163" spans="1:3" x14ac:dyDescent="0.25">
      <c r="A163">
        <v>38</v>
      </c>
      <c r="B163">
        <v>41053005204</v>
      </c>
      <c r="C163">
        <v>0.97454262000000003</v>
      </c>
    </row>
    <row r="164" spans="1:3" x14ac:dyDescent="0.25">
      <c r="A164">
        <v>150</v>
      </c>
      <c r="B164">
        <v>41047001605</v>
      </c>
      <c r="C164">
        <v>0.97435103000000001</v>
      </c>
    </row>
    <row r="165" spans="1:3" x14ac:dyDescent="0.25">
      <c r="A165">
        <v>335</v>
      </c>
      <c r="B165">
        <v>41047002101</v>
      </c>
      <c r="C165">
        <v>0.97409972999999994</v>
      </c>
    </row>
    <row r="166" spans="1:3" x14ac:dyDescent="0.25">
      <c r="A166">
        <v>74</v>
      </c>
      <c r="B166">
        <v>41053005203</v>
      </c>
      <c r="C166">
        <v>0.97358271000000007</v>
      </c>
    </row>
    <row r="167" spans="1:3" x14ac:dyDescent="0.25">
      <c r="A167">
        <v>212</v>
      </c>
      <c r="B167">
        <v>41047000400</v>
      </c>
      <c r="C167">
        <v>0.97278052999999998</v>
      </c>
    </row>
    <row r="168" spans="1:3" x14ac:dyDescent="0.25">
      <c r="A168">
        <v>81</v>
      </c>
      <c r="B168">
        <v>41047001401</v>
      </c>
      <c r="C168">
        <v>0.97235315</v>
      </c>
    </row>
    <row r="169" spans="1:3" x14ac:dyDescent="0.25">
      <c r="A169">
        <v>42</v>
      </c>
      <c r="B169">
        <v>41053005301</v>
      </c>
      <c r="C169">
        <v>0.97141189999999999</v>
      </c>
    </row>
    <row r="170" spans="1:3" x14ac:dyDescent="0.25">
      <c r="A170">
        <v>92</v>
      </c>
      <c r="B170">
        <v>41047001501</v>
      </c>
      <c r="C170">
        <v>0.97038273000000008</v>
      </c>
    </row>
    <row r="171" spans="1:3" x14ac:dyDescent="0.25">
      <c r="A171">
        <v>365</v>
      </c>
      <c r="B171">
        <v>41047002202</v>
      </c>
      <c r="C171">
        <v>0.96904906999999996</v>
      </c>
    </row>
    <row r="172" spans="1:3" x14ac:dyDescent="0.25">
      <c r="A172">
        <v>91</v>
      </c>
      <c r="B172">
        <v>41047002503</v>
      </c>
      <c r="C172">
        <v>0.96806414000000007</v>
      </c>
    </row>
    <row r="173" spans="1:3" x14ac:dyDescent="0.25">
      <c r="A173">
        <v>415</v>
      </c>
      <c r="B173">
        <v>41047002701</v>
      </c>
      <c r="C173">
        <v>0.96554985000000004</v>
      </c>
    </row>
    <row r="174" spans="1:3" x14ac:dyDescent="0.25">
      <c r="A174">
        <v>312</v>
      </c>
      <c r="B174">
        <v>41047001000</v>
      </c>
      <c r="C174">
        <v>0.96549287000000006</v>
      </c>
    </row>
    <row r="175" spans="1:3" x14ac:dyDescent="0.25">
      <c r="A175">
        <v>333</v>
      </c>
      <c r="B175">
        <v>41047002201</v>
      </c>
      <c r="C175">
        <v>0.96471661999999991</v>
      </c>
    </row>
    <row r="176" spans="1:3" x14ac:dyDescent="0.25">
      <c r="A176">
        <v>135</v>
      </c>
      <c r="B176">
        <v>41047002502</v>
      </c>
      <c r="C176">
        <v>0.96413117999999998</v>
      </c>
    </row>
    <row r="177" spans="1:3" x14ac:dyDescent="0.25">
      <c r="A177">
        <v>300</v>
      </c>
      <c r="B177">
        <v>41047000702</v>
      </c>
      <c r="C177">
        <v>0.96314103000000006</v>
      </c>
    </row>
    <row r="178" spans="1:3" x14ac:dyDescent="0.25">
      <c r="A178">
        <v>220</v>
      </c>
      <c r="B178">
        <v>41047000400</v>
      </c>
      <c r="C178">
        <v>0.96086647999999997</v>
      </c>
    </row>
    <row r="179" spans="1:3" x14ac:dyDescent="0.25">
      <c r="A179">
        <v>346</v>
      </c>
      <c r="B179">
        <v>41047002202</v>
      </c>
      <c r="C179">
        <v>0.95895387999999993</v>
      </c>
    </row>
    <row r="180" spans="1:3" x14ac:dyDescent="0.25">
      <c r="A180">
        <v>395</v>
      </c>
      <c r="B180">
        <v>41047001803</v>
      </c>
      <c r="C180">
        <v>0.9584259799999999</v>
      </c>
    </row>
    <row r="181" spans="1:3" x14ac:dyDescent="0.25">
      <c r="A181">
        <v>389</v>
      </c>
      <c r="B181">
        <v>41047002002</v>
      </c>
      <c r="C181">
        <v>0.95824682999999988</v>
      </c>
    </row>
    <row r="182" spans="1:3" x14ac:dyDescent="0.25">
      <c r="A182">
        <v>243</v>
      </c>
      <c r="B182">
        <v>41047000501</v>
      </c>
      <c r="C182">
        <v>0.95811214000000011</v>
      </c>
    </row>
    <row r="183" spans="1:3" x14ac:dyDescent="0.25">
      <c r="A183">
        <v>213</v>
      </c>
      <c r="B183">
        <v>41047000502</v>
      </c>
      <c r="C183">
        <v>0.95672901999999993</v>
      </c>
    </row>
    <row r="184" spans="1:3" x14ac:dyDescent="0.25">
      <c r="A184">
        <v>361</v>
      </c>
      <c r="B184">
        <v>41047002202</v>
      </c>
      <c r="C184">
        <v>0.95587997999999996</v>
      </c>
    </row>
    <row r="185" spans="1:3" x14ac:dyDescent="0.25">
      <c r="A185">
        <v>236</v>
      </c>
      <c r="B185">
        <v>41047000502</v>
      </c>
      <c r="C185">
        <v>0.95397215999999996</v>
      </c>
    </row>
    <row r="186" spans="1:3" x14ac:dyDescent="0.25">
      <c r="A186">
        <v>144</v>
      </c>
      <c r="B186">
        <v>41047001601</v>
      </c>
      <c r="C186">
        <v>0.95223149000000007</v>
      </c>
    </row>
    <row r="187" spans="1:3" x14ac:dyDescent="0.25">
      <c r="A187">
        <v>82</v>
      </c>
      <c r="B187">
        <v>41047001401</v>
      </c>
      <c r="C187">
        <v>0.95124467999999995</v>
      </c>
    </row>
    <row r="188" spans="1:3" x14ac:dyDescent="0.25">
      <c r="A188">
        <v>259</v>
      </c>
      <c r="B188">
        <v>41047000900</v>
      </c>
      <c r="C188">
        <v>0.95006547999999991</v>
      </c>
    </row>
    <row r="189" spans="1:3" x14ac:dyDescent="0.25">
      <c r="A189">
        <v>362</v>
      </c>
      <c r="B189">
        <v>41047002202</v>
      </c>
      <c r="C189">
        <v>0.94170179000000009</v>
      </c>
    </row>
    <row r="190" spans="1:3" x14ac:dyDescent="0.25">
      <c r="A190">
        <v>254</v>
      </c>
      <c r="B190">
        <v>41047000600</v>
      </c>
      <c r="C190">
        <v>0.94073781000000001</v>
      </c>
    </row>
    <row r="191" spans="1:3" x14ac:dyDescent="0.25">
      <c r="A191">
        <v>390</v>
      </c>
      <c r="B191">
        <v>41047002304</v>
      </c>
      <c r="C191">
        <v>0.93456198000000001</v>
      </c>
    </row>
    <row r="192" spans="1:3" x14ac:dyDescent="0.25">
      <c r="A192">
        <v>435</v>
      </c>
      <c r="B192">
        <v>41047002400</v>
      </c>
      <c r="C192">
        <v>0.9291328900000001</v>
      </c>
    </row>
    <row r="193" spans="1:3" x14ac:dyDescent="0.25">
      <c r="A193">
        <v>227</v>
      </c>
      <c r="B193">
        <v>41047000300</v>
      </c>
      <c r="C193">
        <v>0.92845330999999998</v>
      </c>
    </row>
    <row r="194" spans="1:3" x14ac:dyDescent="0.25">
      <c r="A194">
        <v>141</v>
      </c>
      <c r="B194">
        <v>41047001601</v>
      </c>
      <c r="C194">
        <v>0.92680376999999992</v>
      </c>
    </row>
    <row r="195" spans="1:3" x14ac:dyDescent="0.25">
      <c r="A195">
        <v>193</v>
      </c>
      <c r="B195">
        <v>41047001802</v>
      </c>
      <c r="C195">
        <v>0.92556209999999994</v>
      </c>
    </row>
    <row r="196" spans="1:3" x14ac:dyDescent="0.25">
      <c r="A196">
        <v>439</v>
      </c>
      <c r="B196">
        <v>41047000300</v>
      </c>
      <c r="C196">
        <v>0.92411764000000007</v>
      </c>
    </row>
    <row r="197" spans="1:3" x14ac:dyDescent="0.25">
      <c r="A197">
        <v>418</v>
      </c>
      <c r="B197">
        <v>41047002701</v>
      </c>
      <c r="C197">
        <v>0.92401685999999994</v>
      </c>
    </row>
    <row r="198" spans="1:3" x14ac:dyDescent="0.25">
      <c r="A198">
        <v>414</v>
      </c>
      <c r="B198">
        <v>41047002701</v>
      </c>
      <c r="C198">
        <v>0.92098665999999996</v>
      </c>
    </row>
    <row r="199" spans="1:3" x14ac:dyDescent="0.25">
      <c r="A199">
        <v>350</v>
      </c>
      <c r="B199">
        <v>41047001100</v>
      </c>
      <c r="C199">
        <v>0.91838679999999995</v>
      </c>
    </row>
    <row r="200" spans="1:3" x14ac:dyDescent="0.25">
      <c r="A200">
        <v>37</v>
      </c>
      <c r="B200">
        <v>41053005301</v>
      </c>
      <c r="C200">
        <v>0.91671145999999992</v>
      </c>
    </row>
    <row r="201" spans="1:3" x14ac:dyDescent="0.25">
      <c r="A201">
        <v>258</v>
      </c>
      <c r="B201">
        <v>41047000900</v>
      </c>
      <c r="C201">
        <v>0.91452665</v>
      </c>
    </row>
    <row r="202" spans="1:3" x14ac:dyDescent="0.25">
      <c r="A202">
        <v>426</v>
      </c>
      <c r="B202">
        <v>41047002304</v>
      </c>
      <c r="C202">
        <v>0.91301818999999995</v>
      </c>
    </row>
    <row r="203" spans="1:3" x14ac:dyDescent="0.25">
      <c r="A203">
        <v>111</v>
      </c>
      <c r="B203">
        <v>41047001402</v>
      </c>
      <c r="C203">
        <v>0.91121905999999997</v>
      </c>
    </row>
    <row r="204" spans="1:3" x14ac:dyDescent="0.25">
      <c r="A204">
        <v>146</v>
      </c>
      <c r="B204">
        <v>41047001601</v>
      </c>
      <c r="C204">
        <v>0.90690815999999996</v>
      </c>
    </row>
    <row r="205" spans="1:3" x14ac:dyDescent="0.25">
      <c r="A205">
        <v>238</v>
      </c>
      <c r="B205">
        <v>41047000200</v>
      </c>
      <c r="C205">
        <v>0.89909327999999999</v>
      </c>
    </row>
    <row r="206" spans="1:3" x14ac:dyDescent="0.25">
      <c r="A206">
        <v>282</v>
      </c>
      <c r="B206">
        <v>41047000501</v>
      </c>
      <c r="C206">
        <v>0.88874281999999993</v>
      </c>
    </row>
    <row r="207" spans="1:3" x14ac:dyDescent="0.25">
      <c r="A207">
        <v>226</v>
      </c>
      <c r="B207">
        <v>41047000400</v>
      </c>
      <c r="C207">
        <v>0.87686189999999997</v>
      </c>
    </row>
    <row r="208" spans="1:3" x14ac:dyDescent="0.25">
      <c r="A208">
        <v>296</v>
      </c>
      <c r="B208">
        <v>41047000702</v>
      </c>
      <c r="C208">
        <v>0.86604341000000007</v>
      </c>
    </row>
    <row r="209" spans="1:3" x14ac:dyDescent="0.25">
      <c r="A209">
        <v>338</v>
      </c>
      <c r="B209">
        <v>41047001100</v>
      </c>
      <c r="C209">
        <v>0.85020728000000001</v>
      </c>
    </row>
    <row r="210" spans="1:3" x14ac:dyDescent="0.25">
      <c r="A210">
        <v>61</v>
      </c>
      <c r="B210">
        <v>41053005206</v>
      </c>
      <c r="C210">
        <v>0.81902302999999999</v>
      </c>
    </row>
    <row r="211" spans="1:3" x14ac:dyDescent="0.25">
      <c r="A211">
        <v>302</v>
      </c>
      <c r="B211">
        <v>41047000900</v>
      </c>
      <c r="C211">
        <v>0.81332395000000002</v>
      </c>
    </row>
    <row r="212" spans="1:3" x14ac:dyDescent="0.25">
      <c r="A212">
        <v>303</v>
      </c>
      <c r="B212">
        <v>41047000900</v>
      </c>
      <c r="C212">
        <v>0.80226416999999994</v>
      </c>
    </row>
    <row r="213" spans="1:3" x14ac:dyDescent="0.25">
      <c r="A213">
        <v>286</v>
      </c>
      <c r="B213">
        <v>41047000703</v>
      </c>
      <c r="C213">
        <v>0.80089725999999994</v>
      </c>
    </row>
    <row r="214" spans="1:3" x14ac:dyDescent="0.25">
      <c r="A214">
        <v>116</v>
      </c>
      <c r="B214">
        <v>41047001502</v>
      </c>
      <c r="C214">
        <v>0.79862650999999996</v>
      </c>
    </row>
    <row r="215" spans="1:3" x14ac:dyDescent="0.25">
      <c r="A215">
        <v>368</v>
      </c>
      <c r="B215">
        <v>41047002102</v>
      </c>
      <c r="C215">
        <v>0.78213289000000008</v>
      </c>
    </row>
    <row r="216" spans="1:3" x14ac:dyDescent="0.25">
      <c r="A216">
        <v>222</v>
      </c>
      <c r="B216">
        <v>41047000400</v>
      </c>
      <c r="C216">
        <v>0.77588095999999995</v>
      </c>
    </row>
    <row r="217" spans="1:3" x14ac:dyDescent="0.25">
      <c r="A217">
        <v>78</v>
      </c>
      <c r="B217">
        <v>41053005100</v>
      </c>
      <c r="C217">
        <v>0.76442684999999999</v>
      </c>
    </row>
    <row r="218" spans="1:3" x14ac:dyDescent="0.25">
      <c r="A218">
        <v>140</v>
      </c>
      <c r="B218">
        <v>41047001601</v>
      </c>
      <c r="C218">
        <v>0.75482123000000001</v>
      </c>
    </row>
    <row r="219" spans="1:3" x14ac:dyDescent="0.25">
      <c r="A219">
        <v>366</v>
      </c>
      <c r="B219">
        <v>41047002102</v>
      </c>
      <c r="C219">
        <v>0.74898697999999997</v>
      </c>
    </row>
    <row r="220" spans="1:3" x14ac:dyDescent="0.25">
      <c r="A220">
        <v>103</v>
      </c>
      <c r="B220">
        <v>41047001502</v>
      </c>
      <c r="C220">
        <v>0.74485037000000009</v>
      </c>
    </row>
    <row r="221" spans="1:3" x14ac:dyDescent="0.25">
      <c r="A221">
        <v>298</v>
      </c>
      <c r="B221">
        <v>41047000900</v>
      </c>
      <c r="C221">
        <v>0.71568239</v>
      </c>
    </row>
    <row r="222" spans="1:3" x14ac:dyDescent="0.25">
      <c r="A222">
        <v>64</v>
      </c>
      <c r="B222">
        <v>41053005100</v>
      </c>
      <c r="C222">
        <v>0.70886931000000009</v>
      </c>
    </row>
    <row r="223" spans="1:3" x14ac:dyDescent="0.25">
      <c r="A223">
        <v>147</v>
      </c>
      <c r="B223">
        <v>41047001603</v>
      </c>
      <c r="C223">
        <v>0.69673868999999999</v>
      </c>
    </row>
    <row r="224" spans="1:3" x14ac:dyDescent="0.25">
      <c r="A224">
        <v>41</v>
      </c>
      <c r="B224">
        <v>41053005302</v>
      </c>
      <c r="C224">
        <v>0.68999887000000004</v>
      </c>
    </row>
    <row r="225" spans="1:3" x14ac:dyDescent="0.25">
      <c r="A225">
        <v>85</v>
      </c>
      <c r="B225">
        <v>41047002502</v>
      </c>
      <c r="C225">
        <v>0.68221293000000005</v>
      </c>
    </row>
    <row r="226" spans="1:3" x14ac:dyDescent="0.25">
      <c r="A226">
        <v>383</v>
      </c>
      <c r="B226">
        <v>41047002304</v>
      </c>
      <c r="C226">
        <v>0.68081205</v>
      </c>
    </row>
    <row r="227" spans="1:3" x14ac:dyDescent="0.25">
      <c r="A227">
        <v>43</v>
      </c>
      <c r="B227">
        <v>41053005301</v>
      </c>
      <c r="C227">
        <v>0.63395015999999993</v>
      </c>
    </row>
    <row r="228" spans="1:3" x14ac:dyDescent="0.25">
      <c r="A228">
        <v>148</v>
      </c>
      <c r="B228">
        <v>41047001603</v>
      </c>
      <c r="C228">
        <v>0.63204866999999998</v>
      </c>
    </row>
    <row r="229" spans="1:3" x14ac:dyDescent="0.25">
      <c r="A229">
        <v>196</v>
      </c>
      <c r="B229">
        <v>41047001802</v>
      </c>
      <c r="C229">
        <v>0.62553482999999999</v>
      </c>
    </row>
    <row r="230" spans="1:3" x14ac:dyDescent="0.25">
      <c r="A230">
        <v>382</v>
      </c>
      <c r="B230">
        <v>41047002304</v>
      </c>
      <c r="C230">
        <v>0.62255923000000002</v>
      </c>
    </row>
    <row r="231" spans="1:3" x14ac:dyDescent="0.25">
      <c r="A231">
        <v>411</v>
      </c>
      <c r="B231">
        <v>41047001803</v>
      </c>
      <c r="C231">
        <v>0.60972978</v>
      </c>
    </row>
    <row r="232" spans="1:3" x14ac:dyDescent="0.25">
      <c r="A232">
        <v>86</v>
      </c>
      <c r="B232">
        <v>41047002502</v>
      </c>
      <c r="C232">
        <v>0.59828539999999997</v>
      </c>
    </row>
    <row r="233" spans="1:3" x14ac:dyDescent="0.25">
      <c r="A233">
        <v>180</v>
      </c>
      <c r="B233">
        <v>41047001701</v>
      </c>
      <c r="C233">
        <v>0.59493039999999997</v>
      </c>
    </row>
    <row r="234" spans="1:3" x14ac:dyDescent="0.25">
      <c r="A234">
        <v>211</v>
      </c>
      <c r="B234">
        <v>41047000400</v>
      </c>
      <c r="C234">
        <v>0.58770822</v>
      </c>
    </row>
    <row r="235" spans="1:3" x14ac:dyDescent="0.25">
      <c r="A235">
        <v>32</v>
      </c>
      <c r="B235">
        <v>41053005301</v>
      </c>
      <c r="C235">
        <v>0.57731350000000003</v>
      </c>
    </row>
    <row r="236" spans="1:3" x14ac:dyDescent="0.25">
      <c r="A236">
        <v>172</v>
      </c>
      <c r="B236">
        <v>41047001703</v>
      </c>
      <c r="C236">
        <v>0.55474869999999998</v>
      </c>
    </row>
    <row r="237" spans="1:3" x14ac:dyDescent="0.25">
      <c r="A237">
        <v>104</v>
      </c>
      <c r="B237">
        <v>41047001501</v>
      </c>
      <c r="C237">
        <v>0.55248038999999993</v>
      </c>
    </row>
    <row r="238" spans="1:3" x14ac:dyDescent="0.25">
      <c r="A238">
        <v>173</v>
      </c>
      <c r="B238">
        <v>41047001701</v>
      </c>
      <c r="C238">
        <v>0.54434207000000001</v>
      </c>
    </row>
    <row r="239" spans="1:3" x14ac:dyDescent="0.25">
      <c r="A239">
        <v>290</v>
      </c>
      <c r="B239">
        <v>41047000702</v>
      </c>
      <c r="C239">
        <v>0.54302264</v>
      </c>
    </row>
    <row r="240" spans="1:3" x14ac:dyDescent="0.25">
      <c r="A240">
        <v>77</v>
      </c>
      <c r="B240">
        <v>41053005204</v>
      </c>
      <c r="C240">
        <v>0.54204406999999999</v>
      </c>
    </row>
    <row r="241" spans="1:3" x14ac:dyDescent="0.25">
      <c r="A241">
        <v>451</v>
      </c>
      <c r="B241">
        <v>41047002701</v>
      </c>
      <c r="C241">
        <v>0.53738850000000005</v>
      </c>
    </row>
    <row r="242" spans="1:3" x14ac:dyDescent="0.25">
      <c r="A242">
        <v>114</v>
      </c>
      <c r="B242">
        <v>41047001502</v>
      </c>
      <c r="C242">
        <v>0.53159860999999997</v>
      </c>
    </row>
    <row r="243" spans="1:3" x14ac:dyDescent="0.25">
      <c r="A243">
        <v>384</v>
      </c>
      <c r="B243">
        <v>41047002304</v>
      </c>
      <c r="C243">
        <v>0.50607800999999997</v>
      </c>
    </row>
    <row r="244" spans="1:3" x14ac:dyDescent="0.25">
      <c r="A244">
        <v>89</v>
      </c>
      <c r="B244">
        <v>41047002504</v>
      </c>
      <c r="C244">
        <v>0.50477749999999999</v>
      </c>
    </row>
    <row r="245" spans="1:3" x14ac:dyDescent="0.25">
      <c r="A245">
        <v>154</v>
      </c>
      <c r="B245">
        <v>41047001603</v>
      </c>
      <c r="C245">
        <v>0.50087064000000003</v>
      </c>
    </row>
    <row r="246" spans="1:3" x14ac:dyDescent="0.25">
      <c r="A246">
        <v>154</v>
      </c>
      <c r="B246">
        <v>41047001608</v>
      </c>
      <c r="C246">
        <v>0.49769461999999998</v>
      </c>
    </row>
    <row r="247" spans="1:3" x14ac:dyDescent="0.25">
      <c r="A247">
        <v>89</v>
      </c>
      <c r="B247">
        <v>41047002503</v>
      </c>
      <c r="C247">
        <v>0.49522252</v>
      </c>
    </row>
    <row r="248" spans="1:3" x14ac:dyDescent="0.25">
      <c r="A248">
        <v>384</v>
      </c>
      <c r="B248">
        <v>41047002303</v>
      </c>
      <c r="C248">
        <v>0.49392195999999999</v>
      </c>
    </row>
    <row r="249" spans="1:3" x14ac:dyDescent="0.25">
      <c r="A249">
        <v>451</v>
      </c>
      <c r="B249">
        <v>41047001803</v>
      </c>
      <c r="C249">
        <v>0.46261152000000005</v>
      </c>
    </row>
    <row r="250" spans="1:3" x14ac:dyDescent="0.25">
      <c r="A250">
        <v>114</v>
      </c>
      <c r="B250">
        <v>41047001503</v>
      </c>
      <c r="C250">
        <v>0.46220374999999997</v>
      </c>
    </row>
    <row r="251" spans="1:3" x14ac:dyDescent="0.25">
      <c r="A251">
        <v>290</v>
      </c>
      <c r="B251">
        <v>41047000703</v>
      </c>
      <c r="C251">
        <v>0.45661588999999997</v>
      </c>
    </row>
    <row r="252" spans="1:3" x14ac:dyDescent="0.25">
      <c r="A252">
        <v>173</v>
      </c>
      <c r="B252">
        <v>41047001702</v>
      </c>
      <c r="C252">
        <v>0.45431346</v>
      </c>
    </row>
    <row r="253" spans="1:3" x14ac:dyDescent="0.25">
      <c r="A253">
        <v>172</v>
      </c>
      <c r="B253">
        <v>41047001702</v>
      </c>
      <c r="C253">
        <v>0.44525129999999996</v>
      </c>
    </row>
    <row r="254" spans="1:3" x14ac:dyDescent="0.25">
      <c r="A254">
        <v>76</v>
      </c>
      <c r="B254">
        <v>41053005204</v>
      </c>
      <c r="C254">
        <v>0.43857816999999999</v>
      </c>
    </row>
    <row r="255" spans="1:3" x14ac:dyDescent="0.25">
      <c r="A255">
        <v>104</v>
      </c>
      <c r="B255">
        <v>41047001502</v>
      </c>
      <c r="C255">
        <v>0.43485591999999995</v>
      </c>
    </row>
    <row r="256" spans="1:3" x14ac:dyDescent="0.25">
      <c r="A256">
        <v>88</v>
      </c>
      <c r="B256">
        <v>41047002503</v>
      </c>
      <c r="C256">
        <v>0.42661656999999997</v>
      </c>
    </row>
    <row r="257" spans="1:3" x14ac:dyDescent="0.25">
      <c r="A257">
        <v>32</v>
      </c>
      <c r="B257">
        <v>41053005302</v>
      </c>
      <c r="C257">
        <v>0.42268650000000002</v>
      </c>
    </row>
    <row r="258" spans="1:3" x14ac:dyDescent="0.25">
      <c r="A258">
        <v>77</v>
      </c>
      <c r="B258">
        <v>41053005100</v>
      </c>
      <c r="C258">
        <v>0.41790723000000002</v>
      </c>
    </row>
    <row r="259" spans="1:3" x14ac:dyDescent="0.25">
      <c r="A259">
        <v>180</v>
      </c>
      <c r="B259">
        <v>41047001703</v>
      </c>
      <c r="C259">
        <v>0.39820500000000003</v>
      </c>
    </row>
    <row r="260" spans="1:3" x14ac:dyDescent="0.25">
      <c r="A260">
        <v>86</v>
      </c>
      <c r="B260">
        <v>41047002503</v>
      </c>
      <c r="C260">
        <v>0.39653875</v>
      </c>
    </row>
    <row r="261" spans="1:3" x14ac:dyDescent="0.25">
      <c r="A261">
        <v>411</v>
      </c>
      <c r="B261">
        <v>41047002701</v>
      </c>
      <c r="C261">
        <v>0.39027023</v>
      </c>
    </row>
    <row r="262" spans="1:3" x14ac:dyDescent="0.25">
      <c r="A262">
        <v>211</v>
      </c>
      <c r="B262">
        <v>41047001502</v>
      </c>
      <c r="C262">
        <v>0.38170779999999999</v>
      </c>
    </row>
    <row r="263" spans="1:3" x14ac:dyDescent="0.25">
      <c r="A263">
        <v>382</v>
      </c>
      <c r="B263">
        <v>41047002303</v>
      </c>
      <c r="C263">
        <v>0.37561990000000001</v>
      </c>
    </row>
    <row r="264" spans="1:3" x14ac:dyDescent="0.25">
      <c r="A264">
        <v>196</v>
      </c>
      <c r="B264">
        <v>41047001801</v>
      </c>
      <c r="C264">
        <v>0.37354508000000003</v>
      </c>
    </row>
    <row r="265" spans="1:3" x14ac:dyDescent="0.25">
      <c r="A265">
        <v>148</v>
      </c>
      <c r="B265">
        <v>41047001606</v>
      </c>
      <c r="C265">
        <v>0.36795137999999999</v>
      </c>
    </row>
    <row r="266" spans="1:3" x14ac:dyDescent="0.25">
      <c r="A266">
        <v>43</v>
      </c>
      <c r="B266">
        <v>41053005206</v>
      </c>
      <c r="C266">
        <v>0.36110079</v>
      </c>
    </row>
    <row r="267" spans="1:3" x14ac:dyDescent="0.25">
      <c r="A267">
        <v>76</v>
      </c>
      <c r="B267">
        <v>41053005203</v>
      </c>
      <c r="C267">
        <v>0.34217689999999995</v>
      </c>
    </row>
    <row r="268" spans="1:3" x14ac:dyDescent="0.25">
      <c r="A268">
        <v>88</v>
      </c>
      <c r="B268">
        <v>41047002502</v>
      </c>
      <c r="C268">
        <v>0.34001973000000002</v>
      </c>
    </row>
    <row r="269" spans="1:3" x14ac:dyDescent="0.25">
      <c r="A269">
        <v>383</v>
      </c>
      <c r="B269">
        <v>41047002303</v>
      </c>
      <c r="C269">
        <v>0.31918792000000001</v>
      </c>
    </row>
    <row r="270" spans="1:3" x14ac:dyDescent="0.25">
      <c r="A270">
        <v>85</v>
      </c>
      <c r="B270">
        <v>41047002504</v>
      </c>
      <c r="C270">
        <v>0.31778711999999998</v>
      </c>
    </row>
    <row r="271" spans="1:3" x14ac:dyDescent="0.25">
      <c r="A271">
        <v>41</v>
      </c>
      <c r="B271">
        <v>41053005301</v>
      </c>
      <c r="C271">
        <v>0.31000113000000001</v>
      </c>
    </row>
    <row r="272" spans="1:3" x14ac:dyDescent="0.25">
      <c r="A272">
        <v>298</v>
      </c>
      <c r="B272">
        <v>41047000702</v>
      </c>
      <c r="C272">
        <v>0.28398709999999999</v>
      </c>
    </row>
    <row r="273" spans="1:3" x14ac:dyDescent="0.25">
      <c r="A273">
        <v>103</v>
      </c>
      <c r="B273">
        <v>41047001501</v>
      </c>
      <c r="C273">
        <v>0.25514963000000002</v>
      </c>
    </row>
    <row r="274" spans="1:3" x14ac:dyDescent="0.25">
      <c r="A274">
        <v>366</v>
      </c>
      <c r="B274">
        <v>41047002303</v>
      </c>
      <c r="C274">
        <v>0.24679711999999998</v>
      </c>
    </row>
    <row r="275" spans="1:3" x14ac:dyDescent="0.25">
      <c r="A275">
        <v>140</v>
      </c>
      <c r="B275">
        <v>41047001603</v>
      </c>
      <c r="C275">
        <v>0.24429770000000001</v>
      </c>
    </row>
    <row r="276" spans="1:3" x14ac:dyDescent="0.25">
      <c r="A276">
        <v>78</v>
      </c>
      <c r="B276">
        <v>41053005203</v>
      </c>
      <c r="C276">
        <v>0.23557314000000001</v>
      </c>
    </row>
    <row r="277" spans="1:3" x14ac:dyDescent="0.25">
      <c r="A277">
        <v>88</v>
      </c>
      <c r="B277">
        <v>41047002504</v>
      </c>
      <c r="C277">
        <v>0.23050657999999999</v>
      </c>
    </row>
    <row r="278" spans="1:3" x14ac:dyDescent="0.25">
      <c r="A278">
        <v>222</v>
      </c>
      <c r="B278">
        <v>41047001503</v>
      </c>
      <c r="C278">
        <v>0.21854661</v>
      </c>
    </row>
    <row r="279" spans="1:3" x14ac:dyDescent="0.25">
      <c r="A279">
        <v>147</v>
      </c>
      <c r="B279">
        <v>41047001606</v>
      </c>
      <c r="C279">
        <v>0.21804984999999999</v>
      </c>
    </row>
    <row r="280" spans="1:3" x14ac:dyDescent="0.25">
      <c r="A280">
        <v>368</v>
      </c>
      <c r="B280">
        <v>41047002303</v>
      </c>
      <c r="C280">
        <v>0.21767727000000001</v>
      </c>
    </row>
    <row r="281" spans="1:3" x14ac:dyDescent="0.25">
      <c r="A281">
        <v>76</v>
      </c>
      <c r="B281">
        <v>41053005100</v>
      </c>
      <c r="C281">
        <v>0.21030958999999999</v>
      </c>
    </row>
    <row r="282" spans="1:3" x14ac:dyDescent="0.25">
      <c r="A282">
        <v>116</v>
      </c>
      <c r="B282">
        <v>41047001503</v>
      </c>
      <c r="C282">
        <v>0.20116731000000002</v>
      </c>
    </row>
    <row r="283" spans="1:3" x14ac:dyDescent="0.25">
      <c r="A283">
        <v>303</v>
      </c>
      <c r="B283">
        <v>41047001000</v>
      </c>
      <c r="C283">
        <v>0.19773581000000001</v>
      </c>
    </row>
    <row r="284" spans="1:3" x14ac:dyDescent="0.25">
      <c r="A284">
        <v>302</v>
      </c>
      <c r="B284">
        <v>41047001000</v>
      </c>
      <c r="C284">
        <v>0.18661442</v>
      </c>
    </row>
    <row r="285" spans="1:3" x14ac:dyDescent="0.25">
      <c r="A285">
        <v>64</v>
      </c>
      <c r="B285">
        <v>41053005204</v>
      </c>
      <c r="C285">
        <v>0.18432725000000003</v>
      </c>
    </row>
    <row r="286" spans="1:3" x14ac:dyDescent="0.25">
      <c r="A286">
        <v>338</v>
      </c>
      <c r="B286">
        <v>41047001000</v>
      </c>
      <c r="C286">
        <v>0.14588403999999999</v>
      </c>
    </row>
    <row r="287" spans="1:3" x14ac:dyDescent="0.25">
      <c r="A287">
        <v>296</v>
      </c>
      <c r="B287">
        <v>41047001701</v>
      </c>
      <c r="C287">
        <v>0.13395652999999999</v>
      </c>
    </row>
    <row r="288" spans="1:3" x14ac:dyDescent="0.25">
      <c r="A288">
        <v>282</v>
      </c>
      <c r="B288">
        <v>41047000600</v>
      </c>
      <c r="C288">
        <v>0.11066081999999999</v>
      </c>
    </row>
    <row r="289" spans="1:3" x14ac:dyDescent="0.25">
      <c r="A289">
        <v>226</v>
      </c>
      <c r="B289">
        <v>41047000300</v>
      </c>
      <c r="C289">
        <v>0.10063447</v>
      </c>
    </row>
    <row r="290" spans="1:3" x14ac:dyDescent="0.25">
      <c r="A290">
        <v>286</v>
      </c>
      <c r="B290">
        <v>41047000702</v>
      </c>
      <c r="C290">
        <v>9.3168919999999988E-2</v>
      </c>
    </row>
    <row r="291" spans="1:3" x14ac:dyDescent="0.25">
      <c r="A291">
        <v>286</v>
      </c>
      <c r="B291">
        <v>41047000600</v>
      </c>
      <c r="C291">
        <v>9.1958860000000003E-2</v>
      </c>
    </row>
    <row r="292" spans="1:3" x14ac:dyDescent="0.25">
      <c r="A292">
        <v>146</v>
      </c>
      <c r="B292">
        <v>41047001606</v>
      </c>
      <c r="C292">
        <v>9.0264460000000005E-2</v>
      </c>
    </row>
    <row r="293" spans="1:3" x14ac:dyDescent="0.25">
      <c r="A293">
        <v>111</v>
      </c>
      <c r="B293">
        <v>41047001401</v>
      </c>
      <c r="C293">
        <v>8.7150049999999993E-2</v>
      </c>
    </row>
    <row r="294" spans="1:3" x14ac:dyDescent="0.25">
      <c r="A294">
        <v>426</v>
      </c>
      <c r="B294">
        <v>41047002800</v>
      </c>
      <c r="C294">
        <v>8.6981780000000009E-2</v>
      </c>
    </row>
    <row r="295" spans="1:3" x14ac:dyDescent="0.25">
      <c r="A295">
        <v>64</v>
      </c>
      <c r="B295">
        <v>41053005203</v>
      </c>
      <c r="C295">
        <v>8.6398489999999994E-2</v>
      </c>
    </row>
    <row r="296" spans="1:3" x14ac:dyDescent="0.25">
      <c r="A296">
        <v>258</v>
      </c>
      <c r="B296">
        <v>41047001000</v>
      </c>
      <c r="C296">
        <v>8.5473230000000011E-2</v>
      </c>
    </row>
    <row r="297" spans="1:3" x14ac:dyDescent="0.25">
      <c r="A297">
        <v>147</v>
      </c>
      <c r="B297">
        <v>41047001601</v>
      </c>
      <c r="C297">
        <v>8.5211419999999996E-2</v>
      </c>
    </row>
    <row r="298" spans="1:3" x14ac:dyDescent="0.25">
      <c r="A298">
        <v>61</v>
      </c>
      <c r="B298">
        <v>41053005204</v>
      </c>
      <c r="C298">
        <v>8.4583469999999994E-2</v>
      </c>
    </row>
    <row r="299" spans="1:3" x14ac:dyDescent="0.25">
      <c r="A299">
        <v>418</v>
      </c>
      <c r="B299">
        <v>41047002702</v>
      </c>
      <c r="C299">
        <v>7.5983149999999999E-2</v>
      </c>
    </row>
    <row r="300" spans="1:3" x14ac:dyDescent="0.25">
      <c r="A300">
        <v>439</v>
      </c>
      <c r="B300">
        <v>41047000400</v>
      </c>
      <c r="C300">
        <v>7.5882379999999999E-2</v>
      </c>
    </row>
    <row r="301" spans="1:3" x14ac:dyDescent="0.25">
      <c r="A301">
        <v>61</v>
      </c>
      <c r="B301">
        <v>41053005100</v>
      </c>
      <c r="C301">
        <v>7.5728840000000006E-2</v>
      </c>
    </row>
    <row r="302" spans="1:3" x14ac:dyDescent="0.25">
      <c r="A302">
        <v>193</v>
      </c>
      <c r="B302">
        <v>41047001703</v>
      </c>
      <c r="C302">
        <v>7.3296680000000003E-2</v>
      </c>
    </row>
    <row r="303" spans="1:3" x14ac:dyDescent="0.25">
      <c r="A303">
        <v>141</v>
      </c>
      <c r="B303">
        <v>41047001605</v>
      </c>
      <c r="C303">
        <v>7.3075760000000003E-2</v>
      </c>
    </row>
    <row r="304" spans="1:3" x14ac:dyDescent="0.25">
      <c r="A304">
        <v>435</v>
      </c>
      <c r="B304">
        <v>41047001300</v>
      </c>
      <c r="C304">
        <v>6.9859119999999997E-2</v>
      </c>
    </row>
    <row r="305" spans="1:3" x14ac:dyDescent="0.25">
      <c r="A305">
        <v>350</v>
      </c>
      <c r="B305">
        <v>41047001000</v>
      </c>
      <c r="C305">
        <v>6.8850389999999997E-2</v>
      </c>
    </row>
    <row r="306" spans="1:3" x14ac:dyDescent="0.25">
      <c r="A306">
        <v>227</v>
      </c>
      <c r="B306">
        <v>41053005206</v>
      </c>
      <c r="C306">
        <v>6.8003800000000003E-2</v>
      </c>
    </row>
    <row r="307" spans="1:3" x14ac:dyDescent="0.25">
      <c r="A307">
        <v>390</v>
      </c>
      <c r="B307">
        <v>41047002800</v>
      </c>
      <c r="C307">
        <v>6.5438029999999994E-2</v>
      </c>
    </row>
    <row r="308" spans="1:3" x14ac:dyDescent="0.25">
      <c r="A308">
        <v>414</v>
      </c>
      <c r="B308">
        <v>41047001803</v>
      </c>
      <c r="C308">
        <v>6.4791939999999992E-2</v>
      </c>
    </row>
    <row r="309" spans="1:3" x14ac:dyDescent="0.25">
      <c r="A309">
        <v>362</v>
      </c>
      <c r="B309">
        <v>41047002400</v>
      </c>
      <c r="C309">
        <v>5.8298160000000002E-2</v>
      </c>
    </row>
    <row r="310" spans="1:3" x14ac:dyDescent="0.25">
      <c r="A310">
        <v>238</v>
      </c>
      <c r="B310">
        <v>41053005206</v>
      </c>
      <c r="C310">
        <v>5.354826E-2</v>
      </c>
    </row>
    <row r="311" spans="1:3" x14ac:dyDescent="0.25">
      <c r="A311">
        <v>37</v>
      </c>
      <c r="B311">
        <v>41053005302</v>
      </c>
      <c r="C311">
        <v>4.9388889999999998E-2</v>
      </c>
    </row>
    <row r="312" spans="1:3" x14ac:dyDescent="0.25">
      <c r="A312">
        <v>144</v>
      </c>
      <c r="B312">
        <v>41047001605</v>
      </c>
      <c r="C312">
        <v>4.774933E-2</v>
      </c>
    </row>
    <row r="313" spans="1:3" x14ac:dyDescent="0.25">
      <c r="A313">
        <v>238</v>
      </c>
      <c r="B313">
        <v>41047000300</v>
      </c>
      <c r="C313">
        <v>4.7358460000000005E-2</v>
      </c>
    </row>
    <row r="314" spans="1:3" x14ac:dyDescent="0.25">
      <c r="A314">
        <v>254</v>
      </c>
      <c r="B314">
        <v>41047000702</v>
      </c>
      <c r="C314">
        <v>4.4419149999999998E-2</v>
      </c>
    </row>
    <row r="315" spans="1:3" x14ac:dyDescent="0.25">
      <c r="A315">
        <v>361</v>
      </c>
      <c r="B315">
        <v>41047002400</v>
      </c>
      <c r="C315">
        <v>4.4120039999999999E-2</v>
      </c>
    </row>
    <row r="316" spans="1:3" x14ac:dyDescent="0.25">
      <c r="A316">
        <v>395</v>
      </c>
      <c r="B316">
        <v>41047002701</v>
      </c>
      <c r="C316">
        <v>4.1221759999999996E-2</v>
      </c>
    </row>
    <row r="317" spans="1:3" x14ac:dyDescent="0.25">
      <c r="A317">
        <v>346</v>
      </c>
      <c r="B317">
        <v>41047002400</v>
      </c>
      <c r="C317">
        <v>4.1046110000000004E-2</v>
      </c>
    </row>
    <row r="318" spans="1:3" x14ac:dyDescent="0.25">
      <c r="A318">
        <v>77</v>
      </c>
      <c r="B318">
        <v>41047001300</v>
      </c>
      <c r="C318">
        <v>4.0048630000000002E-2</v>
      </c>
    </row>
    <row r="319" spans="1:3" x14ac:dyDescent="0.25">
      <c r="A319">
        <v>82</v>
      </c>
      <c r="B319">
        <v>41047002502</v>
      </c>
      <c r="C319">
        <v>3.80256E-2</v>
      </c>
    </row>
    <row r="320" spans="1:3" x14ac:dyDescent="0.25">
      <c r="A320">
        <v>220</v>
      </c>
      <c r="B320">
        <v>41047000502</v>
      </c>
      <c r="C320">
        <v>3.7753370000000001E-2</v>
      </c>
    </row>
    <row r="321" spans="1:3" x14ac:dyDescent="0.25">
      <c r="A321">
        <v>135</v>
      </c>
      <c r="B321">
        <v>41047001601</v>
      </c>
      <c r="C321">
        <v>3.5868829999999997E-2</v>
      </c>
    </row>
    <row r="322" spans="1:3" x14ac:dyDescent="0.25">
      <c r="A322">
        <v>312</v>
      </c>
      <c r="B322">
        <v>41047001200</v>
      </c>
      <c r="C322">
        <v>3.4507070000000001E-2</v>
      </c>
    </row>
    <row r="323" spans="1:3" x14ac:dyDescent="0.25">
      <c r="A323">
        <v>415</v>
      </c>
      <c r="B323">
        <v>41047001803</v>
      </c>
      <c r="C323">
        <v>3.4450160000000001E-2</v>
      </c>
    </row>
    <row r="324" spans="1:3" x14ac:dyDescent="0.25">
      <c r="A324">
        <v>236</v>
      </c>
      <c r="B324">
        <v>41047000300</v>
      </c>
      <c r="C324">
        <v>3.4280850000000002E-2</v>
      </c>
    </row>
    <row r="325" spans="1:3" x14ac:dyDescent="0.25">
      <c r="A325">
        <v>243</v>
      </c>
      <c r="B325">
        <v>41047000300</v>
      </c>
      <c r="C325">
        <v>3.3784450000000001E-2</v>
      </c>
    </row>
    <row r="326" spans="1:3" x14ac:dyDescent="0.25">
      <c r="A326">
        <v>91</v>
      </c>
      <c r="B326">
        <v>41047001501</v>
      </c>
      <c r="C326">
        <v>3.1935820000000004E-2</v>
      </c>
    </row>
    <row r="327" spans="1:3" x14ac:dyDescent="0.25">
      <c r="A327">
        <v>365</v>
      </c>
      <c r="B327">
        <v>41047002301</v>
      </c>
      <c r="C327">
        <v>3.0834359999999998E-2</v>
      </c>
    </row>
    <row r="328" spans="1:3" x14ac:dyDescent="0.25">
      <c r="A328">
        <v>259</v>
      </c>
      <c r="B328">
        <v>41047000200</v>
      </c>
      <c r="C328">
        <v>2.8386459999999999E-2</v>
      </c>
    </row>
    <row r="329" spans="1:3" x14ac:dyDescent="0.25">
      <c r="A329">
        <v>389</v>
      </c>
      <c r="B329">
        <v>41047002701</v>
      </c>
      <c r="C329">
        <v>2.7206350000000001E-2</v>
      </c>
    </row>
    <row r="330" spans="1:3" x14ac:dyDescent="0.25">
      <c r="A330">
        <v>92</v>
      </c>
      <c r="B330">
        <v>41047002502</v>
      </c>
      <c r="C330">
        <v>2.6108739999999998E-2</v>
      </c>
    </row>
    <row r="331" spans="1:3" x14ac:dyDescent="0.25">
      <c r="A331">
        <v>300</v>
      </c>
      <c r="B331">
        <v>41047001701</v>
      </c>
      <c r="C331">
        <v>2.5994239999999998E-2</v>
      </c>
    </row>
    <row r="332" spans="1:3" x14ac:dyDescent="0.25">
      <c r="A332">
        <v>150</v>
      </c>
      <c r="B332">
        <v>41047001606</v>
      </c>
      <c r="C332">
        <v>2.5648970000000004E-2</v>
      </c>
    </row>
    <row r="333" spans="1:3" x14ac:dyDescent="0.25">
      <c r="A333">
        <v>38</v>
      </c>
      <c r="B333">
        <v>41047002400</v>
      </c>
      <c r="C333">
        <v>2.5434849999999998E-2</v>
      </c>
    </row>
    <row r="334" spans="1:3" x14ac:dyDescent="0.25">
      <c r="A334">
        <v>213</v>
      </c>
      <c r="B334">
        <v>41047000400</v>
      </c>
      <c r="C334">
        <v>2.5207790000000001E-2</v>
      </c>
    </row>
    <row r="335" spans="1:3" x14ac:dyDescent="0.25">
      <c r="A335">
        <v>74</v>
      </c>
      <c r="B335">
        <v>41053005100</v>
      </c>
      <c r="C335">
        <v>2.5168750000000004E-2</v>
      </c>
    </row>
    <row r="336" spans="1:3" x14ac:dyDescent="0.25">
      <c r="A336">
        <v>42</v>
      </c>
      <c r="B336">
        <v>41053005302</v>
      </c>
      <c r="C336">
        <v>2.3863229999999999E-2</v>
      </c>
    </row>
    <row r="337" spans="1:3" x14ac:dyDescent="0.25">
      <c r="A337">
        <v>363</v>
      </c>
      <c r="B337">
        <v>41047002400</v>
      </c>
      <c r="C337">
        <v>2.3050359999999999E-2</v>
      </c>
    </row>
    <row r="338" spans="1:3" x14ac:dyDescent="0.25">
      <c r="A338">
        <v>226</v>
      </c>
      <c r="B338">
        <v>41053005206</v>
      </c>
      <c r="C338">
        <v>2.2503600000000002E-2</v>
      </c>
    </row>
    <row r="339" spans="1:3" x14ac:dyDescent="0.25">
      <c r="A339">
        <v>204</v>
      </c>
      <c r="B339">
        <v>41047001803</v>
      </c>
      <c r="C339">
        <v>2.2448579999999999E-2</v>
      </c>
    </row>
    <row r="340" spans="1:3" x14ac:dyDescent="0.25">
      <c r="A340">
        <v>151</v>
      </c>
      <c r="B340">
        <v>41047001606</v>
      </c>
      <c r="C340">
        <v>2.2237920000000001E-2</v>
      </c>
    </row>
    <row r="341" spans="1:3" x14ac:dyDescent="0.25">
      <c r="A341">
        <v>259</v>
      </c>
      <c r="B341">
        <v>41047001000</v>
      </c>
      <c r="C341">
        <v>2.1390159999999998E-2</v>
      </c>
    </row>
    <row r="342" spans="1:3" x14ac:dyDescent="0.25">
      <c r="A342">
        <v>81</v>
      </c>
      <c r="B342">
        <v>41053005301</v>
      </c>
      <c r="C342">
        <v>2.0653359999999999E-2</v>
      </c>
    </row>
    <row r="343" spans="1:3" x14ac:dyDescent="0.25">
      <c r="A343">
        <v>211</v>
      </c>
      <c r="B343">
        <v>41047001601</v>
      </c>
      <c r="C343">
        <v>2.0439739999999998E-2</v>
      </c>
    </row>
    <row r="344" spans="1:3" x14ac:dyDescent="0.25">
      <c r="A344">
        <v>333</v>
      </c>
      <c r="B344">
        <v>41047002400</v>
      </c>
      <c r="C344">
        <v>1.9910360000000002E-2</v>
      </c>
    </row>
    <row r="345" spans="1:3" x14ac:dyDescent="0.25">
      <c r="A345">
        <v>37</v>
      </c>
      <c r="B345">
        <v>41053005204</v>
      </c>
      <c r="C345">
        <v>1.974654E-2</v>
      </c>
    </row>
    <row r="346" spans="1:3" x14ac:dyDescent="0.25">
      <c r="A346">
        <v>428</v>
      </c>
      <c r="B346">
        <v>41047002800</v>
      </c>
      <c r="C346">
        <v>1.9519979999999999E-2</v>
      </c>
    </row>
    <row r="347" spans="1:3" x14ac:dyDescent="0.25">
      <c r="A347">
        <v>120</v>
      </c>
      <c r="B347">
        <v>41047000400</v>
      </c>
      <c r="C347">
        <v>1.8909290000000002E-2</v>
      </c>
    </row>
    <row r="348" spans="1:3" x14ac:dyDescent="0.25">
      <c r="A348">
        <v>212</v>
      </c>
      <c r="B348">
        <v>41047001601</v>
      </c>
      <c r="C348">
        <v>1.8116420000000001E-2</v>
      </c>
    </row>
    <row r="349" spans="1:3" x14ac:dyDescent="0.25">
      <c r="A349">
        <v>138</v>
      </c>
      <c r="B349">
        <v>41047002600</v>
      </c>
      <c r="C349">
        <v>1.758523E-2</v>
      </c>
    </row>
    <row r="350" spans="1:3" x14ac:dyDescent="0.25">
      <c r="A350">
        <v>126</v>
      </c>
      <c r="B350">
        <v>41047001503</v>
      </c>
      <c r="C350">
        <v>1.7323089999999999E-2</v>
      </c>
    </row>
    <row r="351" spans="1:3" x14ac:dyDescent="0.25">
      <c r="A351">
        <v>213</v>
      </c>
      <c r="B351">
        <v>41047001605</v>
      </c>
      <c r="C351">
        <v>1.6791979999999998E-2</v>
      </c>
    </row>
    <row r="352" spans="1:3" x14ac:dyDescent="0.25">
      <c r="A352">
        <v>61</v>
      </c>
      <c r="B352">
        <v>41047000200</v>
      </c>
      <c r="C352">
        <v>1.6368899999999999E-2</v>
      </c>
    </row>
    <row r="353" spans="1:3" x14ac:dyDescent="0.25">
      <c r="A353">
        <v>64</v>
      </c>
      <c r="B353">
        <v>41047001300</v>
      </c>
      <c r="C353">
        <v>1.5735680000000002E-2</v>
      </c>
    </row>
    <row r="354" spans="1:3" x14ac:dyDescent="0.25">
      <c r="A354">
        <v>374</v>
      </c>
      <c r="B354">
        <v>41047002303</v>
      </c>
      <c r="C354">
        <v>1.560894E-2</v>
      </c>
    </row>
    <row r="355" spans="1:3" x14ac:dyDescent="0.25">
      <c r="A355">
        <v>34</v>
      </c>
      <c r="B355">
        <v>41053005301</v>
      </c>
      <c r="C355">
        <v>1.5599140000000001E-2</v>
      </c>
    </row>
    <row r="356" spans="1:3" x14ac:dyDescent="0.25">
      <c r="A356">
        <v>124</v>
      </c>
      <c r="B356">
        <v>41053005206</v>
      </c>
      <c r="C356">
        <v>1.50901E-2</v>
      </c>
    </row>
    <row r="357" spans="1:3" x14ac:dyDescent="0.25">
      <c r="A357">
        <v>118</v>
      </c>
      <c r="B357">
        <v>41047001402</v>
      </c>
      <c r="C357">
        <v>1.507591E-2</v>
      </c>
    </row>
    <row r="358" spans="1:3" x14ac:dyDescent="0.25">
      <c r="A358">
        <v>156</v>
      </c>
      <c r="B358">
        <v>41047001608</v>
      </c>
      <c r="C358">
        <v>1.500141E-2</v>
      </c>
    </row>
    <row r="359" spans="1:3" x14ac:dyDescent="0.25">
      <c r="A359">
        <v>309</v>
      </c>
      <c r="B359">
        <v>41047000200</v>
      </c>
      <c r="C359">
        <v>1.459564E-2</v>
      </c>
    </row>
    <row r="360" spans="1:3" x14ac:dyDescent="0.25">
      <c r="A360">
        <v>414</v>
      </c>
      <c r="B360">
        <v>41047002702</v>
      </c>
      <c r="C360">
        <v>1.422141E-2</v>
      </c>
    </row>
    <row r="361" spans="1:3" x14ac:dyDescent="0.25">
      <c r="A361">
        <v>37</v>
      </c>
      <c r="B361">
        <v>41047002400</v>
      </c>
      <c r="C361">
        <v>1.415311E-2</v>
      </c>
    </row>
    <row r="362" spans="1:3" x14ac:dyDescent="0.25">
      <c r="A362">
        <v>335</v>
      </c>
      <c r="B362">
        <v>41047002102</v>
      </c>
      <c r="C362">
        <v>1.327042E-2</v>
      </c>
    </row>
    <row r="363" spans="1:3" x14ac:dyDescent="0.25">
      <c r="A363">
        <v>332</v>
      </c>
      <c r="B363">
        <v>41047002201</v>
      </c>
      <c r="C363">
        <v>1.3243910000000001E-2</v>
      </c>
    </row>
    <row r="364" spans="1:3" x14ac:dyDescent="0.25">
      <c r="A364">
        <v>71</v>
      </c>
      <c r="B364">
        <v>41047002400</v>
      </c>
      <c r="C364">
        <v>1.320492E-2</v>
      </c>
    </row>
    <row r="365" spans="1:3" x14ac:dyDescent="0.25">
      <c r="A365">
        <v>373</v>
      </c>
      <c r="B365">
        <v>41047002001</v>
      </c>
      <c r="C365">
        <v>1.2972699999999998E-2</v>
      </c>
    </row>
    <row r="366" spans="1:3" x14ac:dyDescent="0.25">
      <c r="A366">
        <v>104</v>
      </c>
      <c r="B366">
        <v>41047001401</v>
      </c>
      <c r="C366">
        <v>1.266366E-2</v>
      </c>
    </row>
    <row r="367" spans="1:3" x14ac:dyDescent="0.25">
      <c r="A367">
        <v>94</v>
      </c>
      <c r="B367">
        <v>41047002503</v>
      </c>
      <c r="C367">
        <v>1.2066509999999999E-2</v>
      </c>
    </row>
    <row r="368" spans="1:3" x14ac:dyDescent="0.25">
      <c r="A368">
        <v>47</v>
      </c>
      <c r="B368">
        <v>41053005205</v>
      </c>
      <c r="C368">
        <v>1.1968129999999999E-2</v>
      </c>
    </row>
    <row r="369" spans="1:3" x14ac:dyDescent="0.25">
      <c r="A369">
        <v>236</v>
      </c>
      <c r="B369">
        <v>41047000501</v>
      </c>
      <c r="C369">
        <v>1.1747019999999999E-2</v>
      </c>
    </row>
    <row r="370" spans="1:3" x14ac:dyDescent="0.25">
      <c r="A370">
        <v>162</v>
      </c>
      <c r="B370">
        <v>41047001608</v>
      </c>
      <c r="C370">
        <v>1.1572809999999999E-2</v>
      </c>
    </row>
    <row r="371" spans="1:3" x14ac:dyDescent="0.25">
      <c r="A371">
        <v>52</v>
      </c>
      <c r="B371">
        <v>41053005206</v>
      </c>
      <c r="C371">
        <v>1.1269380000000001E-2</v>
      </c>
    </row>
    <row r="372" spans="1:3" x14ac:dyDescent="0.25">
      <c r="A372">
        <v>286</v>
      </c>
      <c r="B372">
        <v>41047001701</v>
      </c>
      <c r="C372">
        <v>1.115293E-2</v>
      </c>
    </row>
    <row r="373" spans="1:3" x14ac:dyDescent="0.25">
      <c r="A373">
        <v>389</v>
      </c>
      <c r="B373">
        <v>41047002304</v>
      </c>
      <c r="C373">
        <v>1.102908E-2</v>
      </c>
    </row>
    <row r="374" spans="1:3" x14ac:dyDescent="0.25">
      <c r="A374">
        <v>300</v>
      </c>
      <c r="B374">
        <v>41047001801</v>
      </c>
      <c r="C374">
        <v>1.086467E-2</v>
      </c>
    </row>
    <row r="375" spans="1:3" x14ac:dyDescent="0.25">
      <c r="A375">
        <v>200</v>
      </c>
      <c r="B375">
        <v>41047001803</v>
      </c>
      <c r="C375">
        <v>9.9425299999999998E-3</v>
      </c>
    </row>
    <row r="376" spans="1:3" x14ac:dyDescent="0.25">
      <c r="A376">
        <v>49</v>
      </c>
      <c r="B376">
        <v>41053005301</v>
      </c>
      <c r="C376">
        <v>9.8704899999999991E-3</v>
      </c>
    </row>
    <row r="377" spans="1:3" x14ac:dyDescent="0.25">
      <c r="A377">
        <v>211</v>
      </c>
      <c r="B377">
        <v>41047002502</v>
      </c>
      <c r="C377">
        <v>9.8336800000000009E-3</v>
      </c>
    </row>
    <row r="378" spans="1:3" x14ac:dyDescent="0.25">
      <c r="A378">
        <v>284</v>
      </c>
      <c r="B378">
        <v>41047001607</v>
      </c>
      <c r="C378">
        <v>9.1112800000000011E-3</v>
      </c>
    </row>
    <row r="379" spans="1:3" x14ac:dyDescent="0.25">
      <c r="A379">
        <v>212</v>
      </c>
      <c r="B379">
        <v>41047000502</v>
      </c>
      <c r="C379">
        <v>9.1029500000000003E-3</v>
      </c>
    </row>
    <row r="380" spans="1:3" x14ac:dyDescent="0.25">
      <c r="A380">
        <v>336</v>
      </c>
      <c r="B380">
        <v>41047002101</v>
      </c>
      <c r="C380">
        <v>9.0837000000000001E-3</v>
      </c>
    </row>
    <row r="381" spans="1:3" x14ac:dyDescent="0.25">
      <c r="A381">
        <v>333</v>
      </c>
      <c r="B381">
        <v>41047002202</v>
      </c>
      <c r="C381">
        <v>9.0210900000000007E-3</v>
      </c>
    </row>
    <row r="382" spans="1:3" x14ac:dyDescent="0.25">
      <c r="A382">
        <v>76</v>
      </c>
      <c r="B382">
        <v>41047001300</v>
      </c>
      <c r="C382">
        <v>8.9353499999999999E-3</v>
      </c>
    </row>
    <row r="383" spans="1:3" x14ac:dyDescent="0.25">
      <c r="A383">
        <v>359</v>
      </c>
      <c r="B383">
        <v>41047002202</v>
      </c>
      <c r="C383">
        <v>8.905419999999999E-3</v>
      </c>
    </row>
    <row r="384" spans="1:3" x14ac:dyDescent="0.25">
      <c r="A384">
        <v>100</v>
      </c>
      <c r="B384">
        <v>41047001501</v>
      </c>
      <c r="C384">
        <v>8.8847100000000005E-3</v>
      </c>
    </row>
    <row r="385" spans="1:3" x14ac:dyDescent="0.25">
      <c r="A385">
        <v>82</v>
      </c>
      <c r="B385">
        <v>41047002503</v>
      </c>
      <c r="C385">
        <v>8.7335700000000013E-3</v>
      </c>
    </row>
    <row r="386" spans="1:3" x14ac:dyDescent="0.25">
      <c r="A386">
        <v>322</v>
      </c>
      <c r="B386">
        <v>41047002201</v>
      </c>
      <c r="C386">
        <v>8.6070199999999999E-3</v>
      </c>
    </row>
    <row r="387" spans="1:3" x14ac:dyDescent="0.25">
      <c r="A387">
        <v>128</v>
      </c>
      <c r="B387">
        <v>41047000400</v>
      </c>
      <c r="C387">
        <v>8.5407299999999998E-3</v>
      </c>
    </row>
    <row r="388" spans="1:3" x14ac:dyDescent="0.25">
      <c r="A388">
        <v>447</v>
      </c>
      <c r="B388">
        <v>41053005205</v>
      </c>
      <c r="C388">
        <v>8.5375E-3</v>
      </c>
    </row>
    <row r="389" spans="1:3" x14ac:dyDescent="0.25">
      <c r="A389">
        <v>45</v>
      </c>
      <c r="B389">
        <v>41053005302</v>
      </c>
      <c r="C389">
        <v>8.4356499999999994E-3</v>
      </c>
    </row>
    <row r="390" spans="1:3" x14ac:dyDescent="0.25">
      <c r="A390">
        <v>427</v>
      </c>
      <c r="B390">
        <v>41047002800</v>
      </c>
      <c r="C390">
        <v>8.36457E-3</v>
      </c>
    </row>
    <row r="391" spans="1:3" x14ac:dyDescent="0.25">
      <c r="A391">
        <v>194</v>
      </c>
      <c r="B391">
        <v>41047001803</v>
      </c>
      <c r="C391">
        <v>8.0563200000000005E-3</v>
      </c>
    </row>
    <row r="392" spans="1:3" x14ac:dyDescent="0.25">
      <c r="A392">
        <v>52</v>
      </c>
      <c r="B392">
        <v>41053005203</v>
      </c>
      <c r="C392">
        <v>7.9906300000000003E-3</v>
      </c>
    </row>
    <row r="393" spans="1:3" x14ac:dyDescent="0.25">
      <c r="A393">
        <v>330</v>
      </c>
      <c r="B393">
        <v>41047001100</v>
      </c>
      <c r="C393">
        <v>7.9803300000000008E-3</v>
      </c>
    </row>
    <row r="394" spans="1:3" x14ac:dyDescent="0.25">
      <c r="A394">
        <v>49</v>
      </c>
      <c r="B394">
        <v>41053005206</v>
      </c>
      <c r="C394">
        <v>7.9351500000000002E-3</v>
      </c>
    </row>
    <row r="395" spans="1:3" x14ac:dyDescent="0.25">
      <c r="A395">
        <v>304</v>
      </c>
      <c r="B395">
        <v>41047001801</v>
      </c>
      <c r="C395">
        <v>7.5150499999999997E-3</v>
      </c>
    </row>
    <row r="396" spans="1:3" x14ac:dyDescent="0.25">
      <c r="A396">
        <v>254</v>
      </c>
      <c r="B396">
        <v>41047000200</v>
      </c>
      <c r="C396">
        <v>7.5102199999999997E-3</v>
      </c>
    </row>
    <row r="397" spans="1:3" x14ac:dyDescent="0.25">
      <c r="A397">
        <v>54</v>
      </c>
      <c r="B397">
        <v>41053005203</v>
      </c>
      <c r="C397">
        <v>7.4301599999999999E-3</v>
      </c>
    </row>
    <row r="398" spans="1:3" x14ac:dyDescent="0.25">
      <c r="A398">
        <v>289</v>
      </c>
      <c r="B398">
        <v>41047000702</v>
      </c>
      <c r="C398">
        <v>7.4180599999999998E-3</v>
      </c>
    </row>
    <row r="399" spans="1:3" x14ac:dyDescent="0.25">
      <c r="A399">
        <v>254</v>
      </c>
      <c r="B399">
        <v>41047000900</v>
      </c>
      <c r="C399">
        <v>7.3327799999999997E-3</v>
      </c>
    </row>
    <row r="400" spans="1:3" x14ac:dyDescent="0.25">
      <c r="A400">
        <v>334</v>
      </c>
      <c r="B400">
        <v>41047002202</v>
      </c>
      <c r="C400">
        <v>7.2414799999999998E-3</v>
      </c>
    </row>
    <row r="401" spans="1:3" x14ac:dyDescent="0.25">
      <c r="A401">
        <v>373</v>
      </c>
      <c r="B401">
        <v>41047001803</v>
      </c>
      <c r="C401">
        <v>7.2325499999999999E-3</v>
      </c>
    </row>
    <row r="402" spans="1:3" x14ac:dyDescent="0.25">
      <c r="A402">
        <v>335</v>
      </c>
      <c r="B402">
        <v>41047002202</v>
      </c>
      <c r="C402">
        <v>7.2168500000000003E-3</v>
      </c>
    </row>
    <row r="403" spans="1:3" x14ac:dyDescent="0.25">
      <c r="A403">
        <v>125</v>
      </c>
      <c r="B403">
        <v>41047001503</v>
      </c>
      <c r="C403">
        <v>7.0811800000000003E-3</v>
      </c>
    </row>
    <row r="404" spans="1:3" x14ac:dyDescent="0.25">
      <c r="A404">
        <v>189</v>
      </c>
      <c r="B404">
        <v>41047001703</v>
      </c>
      <c r="C404">
        <v>7.0735800000000003E-3</v>
      </c>
    </row>
    <row r="405" spans="1:3" x14ac:dyDescent="0.25">
      <c r="A405">
        <v>81</v>
      </c>
      <c r="B405">
        <v>41047002502</v>
      </c>
      <c r="C405">
        <v>6.9843500000000003E-3</v>
      </c>
    </row>
    <row r="406" spans="1:3" x14ac:dyDescent="0.25">
      <c r="A406">
        <v>180</v>
      </c>
      <c r="B406">
        <v>41047001801</v>
      </c>
      <c r="C406">
        <v>6.8646200000000001E-3</v>
      </c>
    </row>
    <row r="407" spans="1:3" x14ac:dyDescent="0.25">
      <c r="A407">
        <v>55</v>
      </c>
      <c r="B407">
        <v>41053005205</v>
      </c>
      <c r="C407">
        <v>6.8428999999999999E-3</v>
      </c>
    </row>
    <row r="408" spans="1:3" x14ac:dyDescent="0.25">
      <c r="A408">
        <v>450</v>
      </c>
      <c r="B408">
        <v>41047002701</v>
      </c>
      <c r="C408">
        <v>6.65841E-3</v>
      </c>
    </row>
    <row r="409" spans="1:3" x14ac:dyDescent="0.25">
      <c r="A409">
        <v>381</v>
      </c>
      <c r="B409">
        <v>41047002301</v>
      </c>
      <c r="C409">
        <v>6.5898500000000004E-3</v>
      </c>
    </row>
    <row r="410" spans="1:3" x14ac:dyDescent="0.25">
      <c r="A410">
        <v>350</v>
      </c>
      <c r="B410">
        <v>41047002101</v>
      </c>
      <c r="C410">
        <v>6.5600400000000005E-3</v>
      </c>
    </row>
    <row r="411" spans="1:3" x14ac:dyDescent="0.25">
      <c r="A411">
        <v>168</v>
      </c>
      <c r="B411">
        <v>41047001703</v>
      </c>
      <c r="C411">
        <v>6.5327500000000004E-3</v>
      </c>
    </row>
    <row r="412" spans="1:3" x14ac:dyDescent="0.25">
      <c r="A412">
        <v>256</v>
      </c>
      <c r="B412">
        <v>41047000200</v>
      </c>
      <c r="C412">
        <v>6.3668599999999994E-3</v>
      </c>
    </row>
    <row r="413" spans="1:3" x14ac:dyDescent="0.25">
      <c r="A413">
        <v>333</v>
      </c>
      <c r="B413">
        <v>41047001300</v>
      </c>
      <c r="C413">
        <v>6.3519600000000002E-3</v>
      </c>
    </row>
    <row r="414" spans="1:3" x14ac:dyDescent="0.25">
      <c r="A414">
        <v>244</v>
      </c>
      <c r="B414">
        <v>41047000300</v>
      </c>
      <c r="C414">
        <v>6.1894099999999994E-3</v>
      </c>
    </row>
    <row r="415" spans="1:3" x14ac:dyDescent="0.25">
      <c r="A415">
        <v>164</v>
      </c>
      <c r="B415">
        <v>41047001702</v>
      </c>
      <c r="C415">
        <v>6.02164E-3</v>
      </c>
    </row>
    <row r="416" spans="1:3" x14ac:dyDescent="0.25">
      <c r="A416">
        <v>243</v>
      </c>
      <c r="B416">
        <v>41047000600</v>
      </c>
      <c r="C416">
        <v>5.7657199999999994E-3</v>
      </c>
    </row>
    <row r="417" spans="1:3" x14ac:dyDescent="0.25">
      <c r="A417">
        <v>114</v>
      </c>
      <c r="B417">
        <v>41047001402</v>
      </c>
      <c r="C417">
        <v>5.7498899999999997E-3</v>
      </c>
    </row>
    <row r="418" spans="1:3" x14ac:dyDescent="0.25">
      <c r="A418">
        <v>222</v>
      </c>
      <c r="B418">
        <v>41047001502</v>
      </c>
      <c r="C418">
        <v>5.57239E-3</v>
      </c>
    </row>
    <row r="419" spans="1:3" x14ac:dyDescent="0.25">
      <c r="A419">
        <v>335</v>
      </c>
      <c r="B419">
        <v>41047002201</v>
      </c>
      <c r="C419">
        <v>5.4130199999999993E-3</v>
      </c>
    </row>
    <row r="420" spans="1:3" x14ac:dyDescent="0.25">
      <c r="A420">
        <v>436</v>
      </c>
      <c r="B420">
        <v>41053005204</v>
      </c>
      <c r="C420">
        <v>5.3735399999999996E-3</v>
      </c>
    </row>
    <row r="421" spans="1:3" x14ac:dyDescent="0.25">
      <c r="A421">
        <v>189</v>
      </c>
      <c r="B421">
        <v>41047001802</v>
      </c>
      <c r="C421">
        <v>5.3537799999999998E-3</v>
      </c>
    </row>
    <row r="422" spans="1:3" x14ac:dyDescent="0.25">
      <c r="A422">
        <v>71</v>
      </c>
      <c r="B422">
        <v>41053005203</v>
      </c>
      <c r="C422">
        <v>5.3293400000000001E-3</v>
      </c>
    </row>
    <row r="423" spans="1:3" x14ac:dyDescent="0.25">
      <c r="A423">
        <v>289</v>
      </c>
      <c r="B423">
        <v>41047000703</v>
      </c>
      <c r="C423">
        <v>5.3161099999999998E-3</v>
      </c>
    </row>
    <row r="424" spans="1:3" x14ac:dyDescent="0.25">
      <c r="A424">
        <v>86</v>
      </c>
      <c r="B424">
        <v>41047002504</v>
      </c>
      <c r="C424">
        <v>5.1758499999999992E-3</v>
      </c>
    </row>
    <row r="425" spans="1:3" x14ac:dyDescent="0.25">
      <c r="A425">
        <v>235</v>
      </c>
      <c r="B425">
        <v>41047000300</v>
      </c>
      <c r="C425">
        <v>5.1722500000000006E-3</v>
      </c>
    </row>
    <row r="426" spans="1:3" x14ac:dyDescent="0.25">
      <c r="A426">
        <v>168</v>
      </c>
      <c r="B426">
        <v>41047001603</v>
      </c>
      <c r="C426">
        <v>4.9717399999999997E-3</v>
      </c>
    </row>
    <row r="427" spans="1:3" x14ac:dyDescent="0.25">
      <c r="A427">
        <v>374</v>
      </c>
      <c r="B427">
        <v>41047002304</v>
      </c>
      <c r="C427">
        <v>4.8467399999999996E-3</v>
      </c>
    </row>
    <row r="428" spans="1:3" x14ac:dyDescent="0.25">
      <c r="A428">
        <v>421</v>
      </c>
      <c r="B428">
        <v>41047002701</v>
      </c>
      <c r="C428">
        <v>4.8380300000000001E-3</v>
      </c>
    </row>
    <row r="429" spans="1:3" x14ac:dyDescent="0.25">
      <c r="A429">
        <v>323</v>
      </c>
      <c r="B429">
        <v>41047002201</v>
      </c>
      <c r="C429">
        <v>4.8264900000000001E-3</v>
      </c>
    </row>
    <row r="430" spans="1:3" x14ac:dyDescent="0.25">
      <c r="A430">
        <v>110</v>
      </c>
      <c r="B430">
        <v>41047001402</v>
      </c>
      <c r="C430">
        <v>4.6966400000000002E-3</v>
      </c>
    </row>
    <row r="431" spans="1:3" x14ac:dyDescent="0.25">
      <c r="A431">
        <v>64</v>
      </c>
      <c r="B431">
        <v>41053005206</v>
      </c>
      <c r="C431">
        <v>4.66921E-3</v>
      </c>
    </row>
    <row r="432" spans="1:3" x14ac:dyDescent="0.25">
      <c r="A432">
        <v>50</v>
      </c>
      <c r="B432">
        <v>41053005205</v>
      </c>
      <c r="C432">
        <v>4.6169399999999999E-3</v>
      </c>
    </row>
    <row r="433" spans="1:3" x14ac:dyDescent="0.25">
      <c r="A433">
        <v>136</v>
      </c>
      <c r="B433">
        <v>41047001601</v>
      </c>
      <c r="C433">
        <v>4.6098800000000002E-3</v>
      </c>
    </row>
    <row r="434" spans="1:3" x14ac:dyDescent="0.25">
      <c r="A434">
        <v>245</v>
      </c>
      <c r="B434">
        <v>41047000200</v>
      </c>
      <c r="C434">
        <v>4.5071499999999997E-3</v>
      </c>
    </row>
    <row r="435" spans="1:3" x14ac:dyDescent="0.25">
      <c r="A435">
        <v>249</v>
      </c>
      <c r="B435">
        <v>41047001300</v>
      </c>
      <c r="C435">
        <v>4.4797399999999994E-3</v>
      </c>
    </row>
    <row r="436" spans="1:3" x14ac:dyDescent="0.25">
      <c r="A436">
        <v>350</v>
      </c>
      <c r="B436">
        <v>41047002102</v>
      </c>
      <c r="C436">
        <v>4.4759600000000002E-3</v>
      </c>
    </row>
    <row r="437" spans="1:3" x14ac:dyDescent="0.25">
      <c r="A437">
        <v>35</v>
      </c>
      <c r="B437">
        <v>41053005301</v>
      </c>
      <c r="C437">
        <v>4.4725299999999997E-3</v>
      </c>
    </row>
    <row r="438" spans="1:3" x14ac:dyDescent="0.25">
      <c r="A438">
        <v>354</v>
      </c>
      <c r="B438">
        <v>41047001803</v>
      </c>
      <c r="C438">
        <v>4.4563700000000003E-3</v>
      </c>
    </row>
    <row r="439" spans="1:3" x14ac:dyDescent="0.25">
      <c r="A439">
        <v>100</v>
      </c>
      <c r="B439">
        <v>41047002502</v>
      </c>
      <c r="C439">
        <v>4.4448999999999999E-3</v>
      </c>
    </row>
    <row r="440" spans="1:3" x14ac:dyDescent="0.25">
      <c r="A440">
        <v>137</v>
      </c>
      <c r="B440">
        <v>41047001603</v>
      </c>
      <c r="C440">
        <v>4.2621300000000003E-3</v>
      </c>
    </row>
    <row r="441" spans="1:3" x14ac:dyDescent="0.25">
      <c r="A441">
        <v>87</v>
      </c>
      <c r="B441">
        <v>41047002502</v>
      </c>
      <c r="C441">
        <v>4.2331900000000004E-3</v>
      </c>
    </row>
    <row r="442" spans="1:3" x14ac:dyDescent="0.25">
      <c r="A442">
        <v>90</v>
      </c>
      <c r="B442">
        <v>41047001401</v>
      </c>
      <c r="C442">
        <v>4.2195799999999997E-3</v>
      </c>
    </row>
    <row r="443" spans="1:3" x14ac:dyDescent="0.25">
      <c r="A443">
        <v>56</v>
      </c>
      <c r="B443">
        <v>41053005203</v>
      </c>
      <c r="C443">
        <v>4.0598600000000002E-3</v>
      </c>
    </row>
    <row r="444" spans="1:3" x14ac:dyDescent="0.25">
      <c r="A444">
        <v>152</v>
      </c>
      <c r="B444">
        <v>41047002600</v>
      </c>
      <c r="C444">
        <v>4.0165499999999998E-3</v>
      </c>
    </row>
    <row r="445" spans="1:3" x14ac:dyDescent="0.25">
      <c r="A445">
        <v>338</v>
      </c>
      <c r="B445">
        <v>41047001200</v>
      </c>
      <c r="C445">
        <v>3.9087599999999998E-3</v>
      </c>
    </row>
    <row r="446" spans="1:3" x14ac:dyDescent="0.25">
      <c r="A446">
        <v>354</v>
      </c>
      <c r="B446">
        <v>41047002001</v>
      </c>
      <c r="C446">
        <v>3.8063999999999997E-3</v>
      </c>
    </row>
    <row r="447" spans="1:3" x14ac:dyDescent="0.25">
      <c r="A447">
        <v>31</v>
      </c>
      <c r="B447">
        <v>41053005301</v>
      </c>
      <c r="C447">
        <v>3.8059399999999998E-3</v>
      </c>
    </row>
    <row r="448" spans="1:3" x14ac:dyDescent="0.25">
      <c r="A448">
        <v>256</v>
      </c>
      <c r="B448">
        <v>41047000600</v>
      </c>
      <c r="C448">
        <v>3.7449800000000002E-3</v>
      </c>
    </row>
    <row r="449" spans="1:3" x14ac:dyDescent="0.25">
      <c r="A449">
        <v>169</v>
      </c>
      <c r="B449">
        <v>41047001603</v>
      </c>
      <c r="C449">
        <v>3.7369999999999999E-3</v>
      </c>
    </row>
    <row r="450" spans="1:3" x14ac:dyDescent="0.25">
      <c r="A450">
        <v>381</v>
      </c>
      <c r="B450">
        <v>41047002202</v>
      </c>
      <c r="C450">
        <v>3.6985800000000004E-3</v>
      </c>
    </row>
    <row r="451" spans="1:3" x14ac:dyDescent="0.25">
      <c r="A451">
        <v>61</v>
      </c>
      <c r="B451">
        <v>41047001300</v>
      </c>
      <c r="C451">
        <v>3.55106E-3</v>
      </c>
    </row>
    <row r="452" spans="1:3" x14ac:dyDescent="0.25">
      <c r="A452">
        <v>244</v>
      </c>
      <c r="B452">
        <v>41047000501</v>
      </c>
      <c r="C452">
        <v>3.5257399999999999E-3</v>
      </c>
    </row>
    <row r="453" spans="1:3" x14ac:dyDescent="0.25">
      <c r="A453">
        <v>389</v>
      </c>
      <c r="B453">
        <v>41047002800</v>
      </c>
      <c r="C453">
        <v>3.4944599999999996E-3</v>
      </c>
    </row>
    <row r="454" spans="1:3" x14ac:dyDescent="0.25">
      <c r="A454">
        <v>120</v>
      </c>
      <c r="B454">
        <v>41053005301</v>
      </c>
      <c r="C454">
        <v>3.4941499999999997E-3</v>
      </c>
    </row>
    <row r="455" spans="1:3" x14ac:dyDescent="0.25">
      <c r="A455">
        <v>214</v>
      </c>
      <c r="B455">
        <v>41047001605</v>
      </c>
      <c r="C455">
        <v>3.4934500000000004E-3</v>
      </c>
    </row>
    <row r="456" spans="1:3" x14ac:dyDescent="0.25">
      <c r="A456">
        <v>324</v>
      </c>
      <c r="B456">
        <v>41047001300</v>
      </c>
      <c r="C456">
        <v>3.4928300000000002E-3</v>
      </c>
    </row>
    <row r="457" spans="1:3" x14ac:dyDescent="0.25">
      <c r="A457">
        <v>366</v>
      </c>
      <c r="B457">
        <v>41047002202</v>
      </c>
      <c r="C457">
        <v>3.4774100000000002E-3</v>
      </c>
    </row>
    <row r="458" spans="1:3" x14ac:dyDescent="0.25">
      <c r="A458">
        <v>421</v>
      </c>
      <c r="B458">
        <v>41047002002</v>
      </c>
      <c r="C458">
        <v>3.4507599999999998E-3</v>
      </c>
    </row>
    <row r="459" spans="1:3" x14ac:dyDescent="0.25">
      <c r="A459">
        <v>205</v>
      </c>
      <c r="B459">
        <v>41047002702</v>
      </c>
      <c r="C459">
        <v>3.43823E-3</v>
      </c>
    </row>
    <row r="460" spans="1:3" x14ac:dyDescent="0.25">
      <c r="A460">
        <v>431</v>
      </c>
      <c r="B460">
        <v>41047002800</v>
      </c>
      <c r="C460">
        <v>3.41603E-3</v>
      </c>
    </row>
    <row r="461" spans="1:3" x14ac:dyDescent="0.25">
      <c r="A461">
        <v>309</v>
      </c>
      <c r="B461">
        <v>41047001200</v>
      </c>
      <c r="C461">
        <v>3.3522999999999999E-3</v>
      </c>
    </row>
    <row r="462" spans="1:3" x14ac:dyDescent="0.25">
      <c r="A462">
        <v>227</v>
      </c>
      <c r="B462">
        <v>41047000200</v>
      </c>
      <c r="C462">
        <v>3.3437699999999998E-3</v>
      </c>
    </row>
    <row r="463" spans="1:3" x14ac:dyDescent="0.25">
      <c r="A463">
        <v>42</v>
      </c>
      <c r="B463">
        <v>41047002502</v>
      </c>
      <c r="C463">
        <v>3.3075100000000001E-3</v>
      </c>
    </row>
    <row r="464" spans="1:3" x14ac:dyDescent="0.25">
      <c r="A464">
        <v>153</v>
      </c>
      <c r="B464">
        <v>41047002600</v>
      </c>
      <c r="C464">
        <v>3.2466699999999997E-3</v>
      </c>
    </row>
    <row r="465" spans="1:3" x14ac:dyDescent="0.25">
      <c r="A465">
        <v>232</v>
      </c>
      <c r="B465">
        <v>41047000200</v>
      </c>
      <c r="C465">
        <v>3.22771E-3</v>
      </c>
    </row>
    <row r="466" spans="1:3" x14ac:dyDescent="0.25">
      <c r="A466">
        <v>92</v>
      </c>
      <c r="B466">
        <v>41047002503</v>
      </c>
      <c r="C466">
        <v>3.2035499999999999E-3</v>
      </c>
    </row>
    <row r="467" spans="1:3" x14ac:dyDescent="0.25">
      <c r="A467">
        <v>373</v>
      </c>
      <c r="B467">
        <v>41047001000</v>
      </c>
      <c r="C467">
        <v>3.1160799999999998E-3</v>
      </c>
    </row>
    <row r="468" spans="1:3" x14ac:dyDescent="0.25">
      <c r="A468">
        <v>67</v>
      </c>
      <c r="B468">
        <v>41053005204</v>
      </c>
      <c r="C468">
        <v>3.0995899999999997E-3</v>
      </c>
    </row>
    <row r="469" spans="1:3" x14ac:dyDescent="0.25">
      <c r="A469">
        <v>430</v>
      </c>
      <c r="B469">
        <v>41047002800</v>
      </c>
      <c r="C469">
        <v>3.0866800000000001E-3</v>
      </c>
    </row>
    <row r="470" spans="1:3" x14ac:dyDescent="0.25">
      <c r="A470">
        <v>95</v>
      </c>
      <c r="B470">
        <v>41047002503</v>
      </c>
      <c r="C470">
        <v>3.0548300000000001E-3</v>
      </c>
    </row>
    <row r="471" spans="1:3" x14ac:dyDescent="0.25">
      <c r="A471">
        <v>164</v>
      </c>
      <c r="B471">
        <v>41047001607</v>
      </c>
      <c r="C471">
        <v>3.0390400000000002E-3</v>
      </c>
    </row>
    <row r="472" spans="1:3" x14ac:dyDescent="0.25">
      <c r="A472">
        <v>242</v>
      </c>
      <c r="B472">
        <v>41047000200</v>
      </c>
      <c r="C472">
        <v>3.0044700000000004E-3</v>
      </c>
    </row>
    <row r="473" spans="1:3" x14ac:dyDescent="0.25">
      <c r="A473">
        <v>237</v>
      </c>
      <c r="B473">
        <v>41047000501</v>
      </c>
      <c r="C473">
        <v>2.94254E-3</v>
      </c>
    </row>
    <row r="474" spans="1:3" x14ac:dyDescent="0.25">
      <c r="A474">
        <v>301</v>
      </c>
      <c r="B474">
        <v>41047001000</v>
      </c>
      <c r="C474">
        <v>2.8895500000000003E-3</v>
      </c>
    </row>
    <row r="475" spans="1:3" x14ac:dyDescent="0.25">
      <c r="A475">
        <v>40</v>
      </c>
      <c r="B475">
        <v>41053005302</v>
      </c>
      <c r="C475">
        <v>2.8811100000000001E-3</v>
      </c>
    </row>
    <row r="476" spans="1:3" x14ac:dyDescent="0.25">
      <c r="A476">
        <v>88</v>
      </c>
      <c r="B476">
        <v>41047001401</v>
      </c>
      <c r="C476">
        <v>2.8571899999999999E-3</v>
      </c>
    </row>
    <row r="477" spans="1:3" x14ac:dyDescent="0.25">
      <c r="A477">
        <v>260</v>
      </c>
      <c r="B477">
        <v>41047001200</v>
      </c>
      <c r="C477">
        <v>2.8561599999999999E-3</v>
      </c>
    </row>
    <row r="478" spans="1:3" x14ac:dyDescent="0.25">
      <c r="A478">
        <v>39</v>
      </c>
      <c r="B478">
        <v>41053005204</v>
      </c>
      <c r="C478">
        <v>2.8504299999999997E-3</v>
      </c>
    </row>
    <row r="479" spans="1:3" x14ac:dyDescent="0.25">
      <c r="A479">
        <v>357</v>
      </c>
      <c r="B479">
        <v>41047001100</v>
      </c>
      <c r="C479">
        <v>2.84132E-3</v>
      </c>
    </row>
    <row r="480" spans="1:3" x14ac:dyDescent="0.25">
      <c r="A480">
        <v>229</v>
      </c>
      <c r="B480">
        <v>41047000300</v>
      </c>
      <c r="C480">
        <v>2.8311199999999999E-3</v>
      </c>
    </row>
    <row r="481" spans="1:3" x14ac:dyDescent="0.25">
      <c r="A481">
        <v>146</v>
      </c>
      <c r="B481">
        <v>41047001603</v>
      </c>
      <c r="C481">
        <v>2.8273999999999999E-3</v>
      </c>
    </row>
    <row r="482" spans="1:3" x14ac:dyDescent="0.25">
      <c r="A482">
        <v>286</v>
      </c>
      <c r="B482">
        <v>41047000501</v>
      </c>
      <c r="C482">
        <v>2.8162399999999998E-3</v>
      </c>
    </row>
    <row r="483" spans="1:3" x14ac:dyDescent="0.25">
      <c r="A483">
        <v>56</v>
      </c>
      <c r="B483">
        <v>41053005204</v>
      </c>
      <c r="C483">
        <v>2.8083599999999998E-3</v>
      </c>
    </row>
    <row r="484" spans="1:3" x14ac:dyDescent="0.25">
      <c r="A484">
        <v>436</v>
      </c>
      <c r="B484">
        <v>41047000200</v>
      </c>
      <c r="C484">
        <v>2.7853099999999996E-3</v>
      </c>
    </row>
    <row r="485" spans="1:3" x14ac:dyDescent="0.25">
      <c r="A485">
        <v>323</v>
      </c>
      <c r="B485">
        <v>41047002101</v>
      </c>
      <c r="C485">
        <v>2.7506100000000001E-3</v>
      </c>
    </row>
    <row r="486" spans="1:3" x14ac:dyDescent="0.25">
      <c r="A486">
        <v>234</v>
      </c>
      <c r="B486">
        <v>41047000400</v>
      </c>
      <c r="C486">
        <v>2.7435599999999999E-3</v>
      </c>
    </row>
    <row r="487" spans="1:3" x14ac:dyDescent="0.25">
      <c r="A487">
        <v>246</v>
      </c>
      <c r="B487">
        <v>41047000600</v>
      </c>
      <c r="C487">
        <v>2.7140399999999996E-3</v>
      </c>
    </row>
    <row r="488" spans="1:3" x14ac:dyDescent="0.25">
      <c r="A488">
        <v>310</v>
      </c>
      <c r="B488">
        <v>41047000200</v>
      </c>
      <c r="C488">
        <v>2.7095599999999997E-3</v>
      </c>
    </row>
    <row r="489" spans="1:3" x14ac:dyDescent="0.25">
      <c r="A489">
        <v>43</v>
      </c>
      <c r="B489">
        <v>41047000300</v>
      </c>
      <c r="C489">
        <v>2.6866099999999999E-3</v>
      </c>
    </row>
    <row r="490" spans="1:3" x14ac:dyDescent="0.25">
      <c r="A490">
        <v>436</v>
      </c>
      <c r="B490">
        <v>41047002400</v>
      </c>
      <c r="C490">
        <v>2.6742300000000001E-3</v>
      </c>
    </row>
    <row r="491" spans="1:3" x14ac:dyDescent="0.25">
      <c r="A491">
        <v>194</v>
      </c>
      <c r="B491">
        <v>41047001802</v>
      </c>
      <c r="C491">
        <v>2.6649199999999999E-3</v>
      </c>
    </row>
    <row r="492" spans="1:3" x14ac:dyDescent="0.25">
      <c r="A492">
        <v>56</v>
      </c>
      <c r="B492">
        <v>41053005205</v>
      </c>
      <c r="C492">
        <v>2.5792599999999999E-3</v>
      </c>
    </row>
    <row r="493" spans="1:3" x14ac:dyDescent="0.25">
      <c r="A493">
        <v>204</v>
      </c>
      <c r="B493">
        <v>41047002702</v>
      </c>
      <c r="C493">
        <v>2.5699400000000002E-3</v>
      </c>
    </row>
    <row r="494" spans="1:3" x14ac:dyDescent="0.25">
      <c r="A494">
        <v>36</v>
      </c>
      <c r="B494">
        <v>41053005302</v>
      </c>
      <c r="C494">
        <v>2.3887800000000001E-3</v>
      </c>
    </row>
    <row r="495" spans="1:3" x14ac:dyDescent="0.25">
      <c r="A495">
        <v>155</v>
      </c>
      <c r="B495">
        <v>41047001606</v>
      </c>
      <c r="C495">
        <v>2.37726E-3</v>
      </c>
    </row>
    <row r="496" spans="1:3" x14ac:dyDescent="0.25">
      <c r="A496">
        <v>151</v>
      </c>
      <c r="B496">
        <v>41047001607</v>
      </c>
      <c r="C496">
        <v>2.3701500000000001E-3</v>
      </c>
    </row>
    <row r="497" spans="1:3" x14ac:dyDescent="0.25">
      <c r="A497">
        <v>243</v>
      </c>
      <c r="B497">
        <v>41047000502</v>
      </c>
      <c r="C497">
        <v>2.3376600000000001E-3</v>
      </c>
    </row>
    <row r="498" spans="1:3" x14ac:dyDescent="0.25">
      <c r="A498">
        <v>299</v>
      </c>
      <c r="B498">
        <v>41047001000</v>
      </c>
      <c r="C498">
        <v>2.2970299999999998E-3</v>
      </c>
    </row>
    <row r="499" spans="1:3" x14ac:dyDescent="0.25">
      <c r="A499">
        <v>284</v>
      </c>
      <c r="B499">
        <v>41047000502</v>
      </c>
      <c r="C499">
        <v>2.2361500000000001E-3</v>
      </c>
    </row>
    <row r="500" spans="1:3" x14ac:dyDescent="0.25">
      <c r="A500">
        <v>324</v>
      </c>
      <c r="B500">
        <v>41047001100</v>
      </c>
      <c r="C500">
        <v>2.2321799999999998E-3</v>
      </c>
    </row>
    <row r="501" spans="1:3" x14ac:dyDescent="0.25">
      <c r="A501">
        <v>67</v>
      </c>
      <c r="B501">
        <v>41053005205</v>
      </c>
      <c r="C501">
        <v>2.1047700000000002E-3</v>
      </c>
    </row>
    <row r="502" spans="1:3" x14ac:dyDescent="0.25">
      <c r="A502">
        <v>90</v>
      </c>
      <c r="B502">
        <v>41047001501</v>
      </c>
      <c r="C502">
        <v>2.0788899999999999E-3</v>
      </c>
    </row>
    <row r="503" spans="1:3" x14ac:dyDescent="0.25">
      <c r="A503">
        <v>112</v>
      </c>
      <c r="B503">
        <v>41047001401</v>
      </c>
      <c r="C503">
        <v>2.0220400000000001E-3</v>
      </c>
    </row>
    <row r="504" spans="1:3" x14ac:dyDescent="0.25">
      <c r="A504">
        <v>82</v>
      </c>
      <c r="B504">
        <v>41047001501</v>
      </c>
      <c r="C504">
        <v>1.99614E-3</v>
      </c>
    </row>
    <row r="505" spans="1:3" x14ac:dyDescent="0.25">
      <c r="A505">
        <v>67</v>
      </c>
      <c r="B505">
        <v>41053005301</v>
      </c>
      <c r="C505">
        <v>1.9401099999999999E-3</v>
      </c>
    </row>
    <row r="506" spans="1:3" x14ac:dyDescent="0.25">
      <c r="A506">
        <v>447</v>
      </c>
      <c r="B506">
        <v>41053005301</v>
      </c>
      <c r="C506">
        <v>1.9214700000000002E-3</v>
      </c>
    </row>
    <row r="507" spans="1:3" x14ac:dyDescent="0.25">
      <c r="A507">
        <v>424</v>
      </c>
      <c r="B507">
        <v>41047010802</v>
      </c>
      <c r="C507">
        <v>1.8734899999999998E-3</v>
      </c>
    </row>
    <row r="508" spans="1:3" x14ac:dyDescent="0.25">
      <c r="A508">
        <v>437</v>
      </c>
      <c r="B508">
        <v>41047010802</v>
      </c>
      <c r="C508">
        <v>1.86783E-3</v>
      </c>
    </row>
    <row r="509" spans="1:3" x14ac:dyDescent="0.25">
      <c r="A509">
        <v>221</v>
      </c>
      <c r="B509">
        <v>41047001503</v>
      </c>
      <c r="C509">
        <v>1.8318100000000001E-3</v>
      </c>
    </row>
    <row r="510" spans="1:3" x14ac:dyDescent="0.25">
      <c r="A510">
        <v>382</v>
      </c>
      <c r="B510">
        <v>41047002301</v>
      </c>
      <c r="C510">
        <v>1.8208499999999999E-3</v>
      </c>
    </row>
    <row r="511" spans="1:3" x14ac:dyDescent="0.25">
      <c r="A511">
        <v>379</v>
      </c>
      <c r="B511">
        <v>41047002301</v>
      </c>
      <c r="C511">
        <v>1.7688499999999998E-3</v>
      </c>
    </row>
    <row r="512" spans="1:3" x14ac:dyDescent="0.25">
      <c r="A512">
        <v>304</v>
      </c>
      <c r="B512">
        <v>41047000702</v>
      </c>
      <c r="C512">
        <v>1.7280799999999999E-3</v>
      </c>
    </row>
    <row r="513" spans="1:3" x14ac:dyDescent="0.25">
      <c r="A513">
        <v>350</v>
      </c>
      <c r="B513">
        <v>41047002001</v>
      </c>
      <c r="C513">
        <v>1.72671E-3</v>
      </c>
    </row>
    <row r="514" spans="1:3" x14ac:dyDescent="0.25">
      <c r="A514">
        <v>43</v>
      </c>
      <c r="B514">
        <v>41047001402</v>
      </c>
      <c r="C514">
        <v>1.7253499999999998E-3</v>
      </c>
    </row>
    <row r="515" spans="1:3" x14ac:dyDescent="0.25">
      <c r="A515">
        <v>155</v>
      </c>
      <c r="B515">
        <v>41047001702</v>
      </c>
      <c r="C515">
        <v>1.7061799999999998E-3</v>
      </c>
    </row>
    <row r="516" spans="1:3" x14ac:dyDescent="0.25">
      <c r="A516">
        <v>347</v>
      </c>
      <c r="B516">
        <v>41047002201</v>
      </c>
      <c r="C516">
        <v>1.6715199999999999E-3</v>
      </c>
    </row>
    <row r="517" spans="1:3" x14ac:dyDescent="0.25">
      <c r="A517">
        <v>111</v>
      </c>
      <c r="B517">
        <v>41053005301</v>
      </c>
      <c r="C517">
        <v>1.6308100000000001E-3</v>
      </c>
    </row>
    <row r="518" spans="1:3" x14ac:dyDescent="0.25">
      <c r="A518">
        <v>120</v>
      </c>
      <c r="B518">
        <v>41053005206</v>
      </c>
      <c r="C518">
        <v>1.6210199999999999E-3</v>
      </c>
    </row>
    <row r="519" spans="1:3" x14ac:dyDescent="0.25">
      <c r="A519">
        <v>357</v>
      </c>
      <c r="B519">
        <v>41047002102</v>
      </c>
      <c r="C519">
        <v>1.5542500000000001E-3</v>
      </c>
    </row>
    <row r="520" spans="1:3" x14ac:dyDescent="0.25">
      <c r="A520">
        <v>388</v>
      </c>
      <c r="B520">
        <v>41047002701</v>
      </c>
      <c r="C520">
        <v>1.5532299999999998E-3</v>
      </c>
    </row>
    <row r="521" spans="1:3" x14ac:dyDescent="0.25">
      <c r="A521">
        <v>139</v>
      </c>
      <c r="B521">
        <v>41047002600</v>
      </c>
      <c r="C521">
        <v>1.4702100000000002E-3</v>
      </c>
    </row>
    <row r="522" spans="1:3" x14ac:dyDescent="0.25">
      <c r="A522">
        <v>50</v>
      </c>
      <c r="B522">
        <v>41053005302</v>
      </c>
      <c r="C522">
        <v>1.44309E-3</v>
      </c>
    </row>
    <row r="523" spans="1:3" x14ac:dyDescent="0.25">
      <c r="A523">
        <v>281</v>
      </c>
      <c r="B523">
        <v>41047001300</v>
      </c>
      <c r="C523">
        <v>1.4334600000000001E-3</v>
      </c>
    </row>
    <row r="524" spans="1:3" x14ac:dyDescent="0.25">
      <c r="A524">
        <v>42</v>
      </c>
      <c r="B524">
        <v>41047001401</v>
      </c>
      <c r="C524">
        <v>1.4173600000000001E-3</v>
      </c>
    </row>
    <row r="525" spans="1:3" x14ac:dyDescent="0.25">
      <c r="A525">
        <v>220</v>
      </c>
      <c r="B525">
        <v>41047000300</v>
      </c>
      <c r="C525">
        <v>1.3801199999999999E-3</v>
      </c>
    </row>
    <row r="526" spans="1:3" x14ac:dyDescent="0.25">
      <c r="A526">
        <v>173</v>
      </c>
      <c r="B526">
        <v>41047001703</v>
      </c>
      <c r="C526">
        <v>1.3444700000000002E-3</v>
      </c>
    </row>
    <row r="527" spans="1:3" x14ac:dyDescent="0.25">
      <c r="A527">
        <v>313</v>
      </c>
      <c r="B527">
        <v>41047000900</v>
      </c>
      <c r="C527">
        <v>1.3133900000000002E-3</v>
      </c>
    </row>
    <row r="528" spans="1:3" x14ac:dyDescent="0.25">
      <c r="A528">
        <v>94</v>
      </c>
      <c r="B528">
        <v>41047001502</v>
      </c>
      <c r="C528">
        <v>1.3131100000000001E-3</v>
      </c>
    </row>
    <row r="529" spans="1:3" x14ac:dyDescent="0.25">
      <c r="A529">
        <v>75</v>
      </c>
      <c r="B529">
        <v>41053005203</v>
      </c>
      <c r="C529">
        <v>1.2887199999999999E-3</v>
      </c>
    </row>
    <row r="530" spans="1:3" x14ac:dyDescent="0.25">
      <c r="A530">
        <v>380</v>
      </c>
      <c r="B530">
        <v>41047002400</v>
      </c>
      <c r="C530">
        <v>1.2725800000000002E-3</v>
      </c>
    </row>
    <row r="531" spans="1:3" x14ac:dyDescent="0.25">
      <c r="A531">
        <v>213</v>
      </c>
      <c r="B531">
        <v>41047001601</v>
      </c>
      <c r="C531">
        <v>1.2712999999999999E-3</v>
      </c>
    </row>
    <row r="532" spans="1:3" x14ac:dyDescent="0.25">
      <c r="A532">
        <v>66</v>
      </c>
      <c r="B532">
        <v>41053005204</v>
      </c>
      <c r="C532">
        <v>1.2603900000000001E-3</v>
      </c>
    </row>
    <row r="533" spans="1:3" x14ac:dyDescent="0.25">
      <c r="A533">
        <v>74</v>
      </c>
      <c r="B533">
        <v>41053005204</v>
      </c>
      <c r="C533">
        <v>1.2485200000000001E-3</v>
      </c>
    </row>
    <row r="534" spans="1:3" x14ac:dyDescent="0.25">
      <c r="A534">
        <v>133</v>
      </c>
      <c r="B534">
        <v>41047002600</v>
      </c>
      <c r="C534">
        <v>1.22518E-3</v>
      </c>
    </row>
    <row r="535" spans="1:3" x14ac:dyDescent="0.25">
      <c r="A535">
        <v>107</v>
      </c>
      <c r="B535">
        <v>41047001501</v>
      </c>
      <c r="C535">
        <v>1.1861199999999999E-3</v>
      </c>
    </row>
    <row r="536" spans="1:3" x14ac:dyDescent="0.25">
      <c r="A536">
        <v>65</v>
      </c>
      <c r="B536">
        <v>41053005100</v>
      </c>
      <c r="C536">
        <v>1.1721399999999999E-3</v>
      </c>
    </row>
    <row r="537" spans="1:3" x14ac:dyDescent="0.25">
      <c r="A537">
        <v>118</v>
      </c>
      <c r="B537">
        <v>41047000400</v>
      </c>
      <c r="C537">
        <v>1.1673500000000002E-3</v>
      </c>
    </row>
    <row r="538" spans="1:3" x14ac:dyDescent="0.25">
      <c r="A538">
        <v>242</v>
      </c>
      <c r="B538">
        <v>41047000600</v>
      </c>
      <c r="C538">
        <v>1.15083E-3</v>
      </c>
    </row>
    <row r="539" spans="1:3" x14ac:dyDescent="0.25">
      <c r="A539">
        <v>170</v>
      </c>
      <c r="B539">
        <v>41047002600</v>
      </c>
      <c r="C539">
        <v>1.1508200000000001E-3</v>
      </c>
    </row>
    <row r="540" spans="1:3" x14ac:dyDescent="0.25">
      <c r="A540">
        <v>193</v>
      </c>
      <c r="B540">
        <v>41047002600</v>
      </c>
      <c r="C540">
        <v>1.1411399999999999E-3</v>
      </c>
    </row>
    <row r="541" spans="1:3" x14ac:dyDescent="0.25">
      <c r="A541">
        <v>154</v>
      </c>
      <c r="B541">
        <v>41047001702</v>
      </c>
      <c r="C541">
        <v>1.0911E-3</v>
      </c>
    </row>
    <row r="542" spans="1:3" x14ac:dyDescent="0.25">
      <c r="A542">
        <v>48</v>
      </c>
      <c r="B542">
        <v>41053005206</v>
      </c>
      <c r="C542">
        <v>1.04794E-3</v>
      </c>
    </row>
    <row r="543" spans="1:3" x14ac:dyDescent="0.25">
      <c r="A543">
        <v>230</v>
      </c>
      <c r="B543">
        <v>41047000300</v>
      </c>
      <c r="C543">
        <v>1.03699E-3</v>
      </c>
    </row>
    <row r="544" spans="1:3" x14ac:dyDescent="0.25">
      <c r="A544">
        <v>139</v>
      </c>
      <c r="B544">
        <v>41047002502</v>
      </c>
      <c r="C544">
        <v>1.02458E-3</v>
      </c>
    </row>
    <row r="545" spans="1:3" x14ac:dyDescent="0.25">
      <c r="A545">
        <v>422</v>
      </c>
      <c r="B545">
        <v>41047002304</v>
      </c>
      <c r="C545">
        <v>9.9727999999999991E-4</v>
      </c>
    </row>
    <row r="546" spans="1:3" x14ac:dyDescent="0.25">
      <c r="A546">
        <v>429</v>
      </c>
      <c r="B546">
        <v>41047002400</v>
      </c>
      <c r="C546">
        <v>9.8374000000000009E-4</v>
      </c>
    </row>
    <row r="547" spans="1:3" x14ac:dyDescent="0.25">
      <c r="A547">
        <v>214</v>
      </c>
      <c r="B547">
        <v>41047000501</v>
      </c>
      <c r="C547">
        <v>9.6947000000000005E-4</v>
      </c>
    </row>
    <row r="548" spans="1:3" x14ac:dyDescent="0.25">
      <c r="A548">
        <v>196</v>
      </c>
      <c r="B548">
        <v>41047001803</v>
      </c>
      <c r="C548">
        <v>9.2008999999999993E-4</v>
      </c>
    </row>
    <row r="549" spans="1:3" x14ac:dyDescent="0.25">
      <c r="A549">
        <v>430</v>
      </c>
      <c r="B549">
        <v>41047002301</v>
      </c>
      <c r="C549">
        <v>9.0362999999999999E-4</v>
      </c>
    </row>
    <row r="550" spans="1:3" x14ac:dyDescent="0.25">
      <c r="A550">
        <v>140</v>
      </c>
      <c r="B550">
        <v>41047002502</v>
      </c>
      <c r="C550">
        <v>8.8110999999999994E-4</v>
      </c>
    </row>
    <row r="551" spans="1:3" x14ac:dyDescent="0.25">
      <c r="A551">
        <v>428</v>
      </c>
      <c r="B551">
        <v>41047002400</v>
      </c>
      <c r="C551">
        <v>8.3580999999999998E-4</v>
      </c>
    </row>
    <row r="552" spans="1:3" x14ac:dyDescent="0.25">
      <c r="A552">
        <v>435</v>
      </c>
      <c r="B552">
        <v>41053005204</v>
      </c>
      <c r="C552">
        <v>8.1961999999999996E-4</v>
      </c>
    </row>
    <row r="553" spans="1:3" x14ac:dyDescent="0.25">
      <c r="A553">
        <v>421</v>
      </c>
      <c r="B553">
        <v>41047002304</v>
      </c>
      <c r="C553">
        <v>8.1155000000000008E-4</v>
      </c>
    </row>
    <row r="554" spans="1:3" x14ac:dyDescent="0.25">
      <c r="A554">
        <v>124</v>
      </c>
      <c r="B554">
        <v>41047001402</v>
      </c>
      <c r="C554">
        <v>7.8779000000000002E-4</v>
      </c>
    </row>
    <row r="555" spans="1:3" x14ac:dyDescent="0.25">
      <c r="A555">
        <v>107</v>
      </c>
      <c r="B555">
        <v>41047001402</v>
      </c>
      <c r="C555">
        <v>7.8651999999999997E-4</v>
      </c>
    </row>
    <row r="556" spans="1:3" x14ac:dyDescent="0.25">
      <c r="A556">
        <v>168</v>
      </c>
      <c r="B556">
        <v>41047001608</v>
      </c>
      <c r="C556">
        <v>7.4621999999999991E-4</v>
      </c>
    </row>
    <row r="557" spans="1:3" x14ac:dyDescent="0.25">
      <c r="A557">
        <v>366</v>
      </c>
      <c r="B557">
        <v>41047002301</v>
      </c>
      <c r="C557">
        <v>7.3845999999999992E-4</v>
      </c>
    </row>
    <row r="558" spans="1:3" x14ac:dyDescent="0.25">
      <c r="A558">
        <v>310</v>
      </c>
      <c r="B558">
        <v>41047001300</v>
      </c>
      <c r="C558">
        <v>6.8964999999999999E-4</v>
      </c>
    </row>
    <row r="559" spans="1:3" x14ac:dyDescent="0.25">
      <c r="A559">
        <v>61</v>
      </c>
      <c r="B559">
        <v>41047000300</v>
      </c>
      <c r="C559">
        <v>6.8928000000000001E-4</v>
      </c>
    </row>
    <row r="560" spans="1:3" x14ac:dyDescent="0.25">
      <c r="A560">
        <v>388</v>
      </c>
      <c r="B560">
        <v>41047002001</v>
      </c>
      <c r="C560">
        <v>6.8024999999999997E-4</v>
      </c>
    </row>
    <row r="561" spans="1:3" x14ac:dyDescent="0.25">
      <c r="A561">
        <v>334</v>
      </c>
      <c r="B561">
        <v>41047001300</v>
      </c>
      <c r="C561">
        <v>6.7714999999999995E-4</v>
      </c>
    </row>
    <row r="562" spans="1:3" x14ac:dyDescent="0.25">
      <c r="A562">
        <v>374</v>
      </c>
      <c r="B562">
        <v>41047002002</v>
      </c>
      <c r="C562">
        <v>6.7630999999999995E-4</v>
      </c>
    </row>
    <row r="563" spans="1:3" x14ac:dyDescent="0.25">
      <c r="A563">
        <v>83</v>
      </c>
      <c r="B563">
        <v>41047002504</v>
      </c>
      <c r="C563">
        <v>6.4170000000000004E-4</v>
      </c>
    </row>
    <row r="564" spans="1:3" x14ac:dyDescent="0.25">
      <c r="A564">
        <v>336</v>
      </c>
      <c r="B564">
        <v>41047001200</v>
      </c>
      <c r="C564">
        <v>6.3166999999999997E-4</v>
      </c>
    </row>
    <row r="565" spans="1:3" x14ac:dyDescent="0.25">
      <c r="A565">
        <v>51</v>
      </c>
      <c r="B565">
        <v>41053005301</v>
      </c>
      <c r="C565">
        <v>6.1573999999999993E-4</v>
      </c>
    </row>
    <row r="566" spans="1:3" x14ac:dyDescent="0.25">
      <c r="A566">
        <v>158</v>
      </c>
      <c r="B566">
        <v>41047001605</v>
      </c>
      <c r="C566">
        <v>6.1306000000000002E-4</v>
      </c>
    </row>
    <row r="567" spans="1:3" x14ac:dyDescent="0.25">
      <c r="A567">
        <v>162</v>
      </c>
      <c r="B567">
        <v>41047001701</v>
      </c>
      <c r="C567">
        <v>6.0157000000000006E-4</v>
      </c>
    </row>
    <row r="568" spans="1:3" x14ac:dyDescent="0.25">
      <c r="A568">
        <v>282</v>
      </c>
      <c r="B568">
        <v>41047000502</v>
      </c>
      <c r="C568">
        <v>5.9632999999999995E-4</v>
      </c>
    </row>
    <row r="569" spans="1:3" x14ac:dyDescent="0.25">
      <c r="A569">
        <v>153</v>
      </c>
      <c r="B569">
        <v>41047001703</v>
      </c>
      <c r="C569">
        <v>5.7620999999999996E-4</v>
      </c>
    </row>
    <row r="570" spans="1:3" x14ac:dyDescent="0.25">
      <c r="A570">
        <v>95</v>
      </c>
      <c r="B570">
        <v>41047001502</v>
      </c>
      <c r="C570">
        <v>5.5695000000000007E-4</v>
      </c>
    </row>
    <row r="571" spans="1:3" x14ac:dyDescent="0.25">
      <c r="A571">
        <v>429</v>
      </c>
      <c r="B571">
        <v>41047002304</v>
      </c>
      <c r="C571">
        <v>5.1216999999999994E-4</v>
      </c>
    </row>
    <row r="572" spans="1:3" x14ac:dyDescent="0.25">
      <c r="A572">
        <v>380</v>
      </c>
      <c r="B572">
        <v>41047002303</v>
      </c>
      <c r="C572">
        <v>5.1017E-4</v>
      </c>
    </row>
    <row r="573" spans="1:3" x14ac:dyDescent="0.25">
      <c r="A573">
        <v>155</v>
      </c>
      <c r="B573">
        <v>41047001701</v>
      </c>
      <c r="C573">
        <v>4.9122E-4</v>
      </c>
    </row>
    <row r="574" spans="1:3" x14ac:dyDescent="0.25">
      <c r="A574">
        <v>206</v>
      </c>
      <c r="B574">
        <v>41047002702</v>
      </c>
      <c r="C574">
        <v>4.8322999999999997E-4</v>
      </c>
    </row>
    <row r="575" spans="1:3" x14ac:dyDescent="0.25">
      <c r="A575">
        <v>95</v>
      </c>
      <c r="B575">
        <v>41047001401</v>
      </c>
      <c r="C575">
        <v>4.7571000000000001E-4</v>
      </c>
    </row>
    <row r="576" spans="1:3" x14ac:dyDescent="0.25">
      <c r="A576">
        <v>354</v>
      </c>
      <c r="B576">
        <v>41047001100</v>
      </c>
      <c r="C576">
        <v>4.7523999999999998E-4</v>
      </c>
    </row>
    <row r="577" spans="1:3" x14ac:dyDescent="0.25">
      <c r="A577">
        <v>429</v>
      </c>
      <c r="B577">
        <v>41047002303</v>
      </c>
      <c r="C577">
        <v>4.5365000000000005E-4</v>
      </c>
    </row>
    <row r="578" spans="1:3" x14ac:dyDescent="0.25">
      <c r="A578">
        <v>423</v>
      </c>
      <c r="B578">
        <v>41047002304</v>
      </c>
      <c r="C578">
        <v>4.1766999999999998E-4</v>
      </c>
    </row>
    <row r="579" spans="1:3" x14ac:dyDescent="0.25">
      <c r="A579">
        <v>285</v>
      </c>
      <c r="B579">
        <v>41047000703</v>
      </c>
      <c r="C579">
        <v>4.1044999999999998E-4</v>
      </c>
    </row>
    <row r="580" spans="1:3" x14ac:dyDescent="0.25">
      <c r="A580">
        <v>432</v>
      </c>
      <c r="B580">
        <v>41053005302</v>
      </c>
      <c r="C580">
        <v>4.0668999999999997E-4</v>
      </c>
    </row>
    <row r="581" spans="1:3" x14ac:dyDescent="0.25">
      <c r="A581">
        <v>114</v>
      </c>
      <c r="B581">
        <v>41047001501</v>
      </c>
      <c r="C581">
        <v>4.0221000000000001E-4</v>
      </c>
    </row>
    <row r="582" spans="1:3" x14ac:dyDescent="0.25">
      <c r="A582">
        <v>43</v>
      </c>
      <c r="B582">
        <v>41047001401</v>
      </c>
      <c r="C582">
        <v>3.7941E-4</v>
      </c>
    </row>
    <row r="583" spans="1:3" x14ac:dyDescent="0.25">
      <c r="A583">
        <v>149</v>
      </c>
      <c r="B583">
        <v>41047001607</v>
      </c>
      <c r="C583">
        <v>3.6741999999999998E-4</v>
      </c>
    </row>
    <row r="584" spans="1:3" x14ac:dyDescent="0.25">
      <c r="A584">
        <v>420</v>
      </c>
      <c r="B584">
        <v>41047001803</v>
      </c>
      <c r="C584">
        <v>3.6586000000000002E-4</v>
      </c>
    </row>
    <row r="585" spans="1:3" x14ac:dyDescent="0.25">
      <c r="A585">
        <v>290</v>
      </c>
      <c r="B585">
        <v>41047000600</v>
      </c>
      <c r="C585">
        <v>3.6149000000000001E-4</v>
      </c>
    </row>
    <row r="586" spans="1:3" x14ac:dyDescent="0.25">
      <c r="A586">
        <v>432</v>
      </c>
      <c r="B586">
        <v>41047002800</v>
      </c>
      <c r="C586">
        <v>3.4882999999999995E-4</v>
      </c>
    </row>
    <row r="587" spans="1:3" x14ac:dyDescent="0.25">
      <c r="A587">
        <v>154</v>
      </c>
      <c r="B587">
        <v>41047001606</v>
      </c>
      <c r="C587">
        <v>3.4361000000000005E-4</v>
      </c>
    </row>
    <row r="588" spans="1:3" x14ac:dyDescent="0.25">
      <c r="A588">
        <v>70</v>
      </c>
      <c r="B588">
        <v>41053005203</v>
      </c>
      <c r="C588">
        <v>3.1826000000000001E-4</v>
      </c>
    </row>
    <row r="589" spans="1:3" x14ac:dyDescent="0.25">
      <c r="A589">
        <v>298</v>
      </c>
      <c r="B589">
        <v>41047001000</v>
      </c>
      <c r="C589">
        <v>3.122E-4</v>
      </c>
    </row>
    <row r="590" spans="1:3" x14ac:dyDescent="0.25">
      <c r="A590">
        <v>211</v>
      </c>
      <c r="B590">
        <v>41047001503</v>
      </c>
      <c r="C590">
        <v>3.1062E-4</v>
      </c>
    </row>
    <row r="591" spans="1:3" x14ac:dyDescent="0.25">
      <c r="A591">
        <v>185</v>
      </c>
      <c r="B591">
        <v>41047002600</v>
      </c>
      <c r="C591">
        <v>3.0831000000000001E-4</v>
      </c>
    </row>
    <row r="592" spans="1:3" x14ac:dyDescent="0.25">
      <c r="A592">
        <v>33</v>
      </c>
      <c r="B592">
        <v>41053005301</v>
      </c>
      <c r="C592">
        <v>3.0594999999999998E-4</v>
      </c>
    </row>
    <row r="593" spans="1:3" x14ac:dyDescent="0.25">
      <c r="A593">
        <v>92</v>
      </c>
      <c r="B593">
        <v>41047001502</v>
      </c>
      <c r="C593">
        <v>3.0497E-4</v>
      </c>
    </row>
    <row r="594" spans="1:3" x14ac:dyDescent="0.25">
      <c r="A594">
        <v>261</v>
      </c>
      <c r="B594">
        <v>41047001200</v>
      </c>
      <c r="C594">
        <v>3.0323999999999998E-4</v>
      </c>
    </row>
    <row r="595" spans="1:3" x14ac:dyDescent="0.25">
      <c r="A595">
        <v>283</v>
      </c>
      <c r="B595">
        <v>41047000502</v>
      </c>
      <c r="C595">
        <v>2.9411999999999998E-4</v>
      </c>
    </row>
    <row r="596" spans="1:3" x14ac:dyDescent="0.25">
      <c r="A596">
        <v>200</v>
      </c>
      <c r="B596">
        <v>41047001801</v>
      </c>
      <c r="C596">
        <v>2.6445E-4</v>
      </c>
    </row>
    <row r="597" spans="1:3" x14ac:dyDescent="0.25">
      <c r="A597">
        <v>334</v>
      </c>
      <c r="B597">
        <v>41047002101</v>
      </c>
      <c r="C597">
        <v>2.4782999999999999E-4</v>
      </c>
    </row>
    <row r="598" spans="1:3" x14ac:dyDescent="0.25">
      <c r="A598">
        <v>314</v>
      </c>
      <c r="B598">
        <v>41047001200</v>
      </c>
      <c r="C598">
        <v>2.2623999999999998E-4</v>
      </c>
    </row>
    <row r="599" spans="1:3" x14ac:dyDescent="0.25">
      <c r="A599">
        <v>170</v>
      </c>
      <c r="B599">
        <v>41047001603</v>
      </c>
      <c r="C599">
        <v>2.1158E-4</v>
      </c>
    </row>
    <row r="600" spans="1:3" x14ac:dyDescent="0.25">
      <c r="A600">
        <v>380</v>
      </c>
      <c r="B600">
        <v>41047002202</v>
      </c>
      <c r="C600">
        <v>2.0674999999999998E-4</v>
      </c>
    </row>
    <row r="601" spans="1:3" x14ac:dyDescent="0.25">
      <c r="A601">
        <v>116</v>
      </c>
      <c r="B601">
        <v>41047001501</v>
      </c>
      <c r="C601">
        <v>2.0616999999999999E-4</v>
      </c>
    </row>
    <row r="602" spans="1:3" x14ac:dyDescent="0.25">
      <c r="A602">
        <v>189</v>
      </c>
      <c r="B602">
        <v>41047001701</v>
      </c>
      <c r="C602">
        <v>2.0480999999999999E-4</v>
      </c>
    </row>
    <row r="603" spans="1:3" x14ac:dyDescent="0.25">
      <c r="A603">
        <v>231</v>
      </c>
      <c r="B603">
        <v>41047000400</v>
      </c>
      <c r="C603">
        <v>2.0126000000000001E-4</v>
      </c>
    </row>
    <row r="604" spans="1:3" x14ac:dyDescent="0.25">
      <c r="A604">
        <v>227</v>
      </c>
      <c r="B604">
        <v>41047000400</v>
      </c>
      <c r="C604">
        <v>1.9919E-4</v>
      </c>
    </row>
    <row r="605" spans="1:3" x14ac:dyDescent="0.25">
      <c r="A605">
        <v>368</v>
      </c>
      <c r="B605">
        <v>41047002001</v>
      </c>
      <c r="C605">
        <v>1.8984999999999998E-4</v>
      </c>
    </row>
    <row r="606" spans="1:3" x14ac:dyDescent="0.25">
      <c r="A606">
        <v>435</v>
      </c>
      <c r="B606">
        <v>41053005302</v>
      </c>
      <c r="C606">
        <v>1.8835999999999999E-4</v>
      </c>
    </row>
    <row r="607" spans="1:3" x14ac:dyDescent="0.25">
      <c r="A607">
        <v>427</v>
      </c>
      <c r="B607">
        <v>41047002301</v>
      </c>
      <c r="C607">
        <v>1.7198000000000002E-4</v>
      </c>
    </row>
    <row r="608" spans="1:3" x14ac:dyDescent="0.25">
      <c r="A608">
        <v>259</v>
      </c>
      <c r="B608">
        <v>41047001200</v>
      </c>
      <c r="C608">
        <v>1.5782E-4</v>
      </c>
    </row>
    <row r="609" spans="1:3" x14ac:dyDescent="0.25">
      <c r="A609">
        <v>43</v>
      </c>
      <c r="B609">
        <v>41047000400</v>
      </c>
      <c r="C609">
        <v>1.5765000000000001E-4</v>
      </c>
    </row>
    <row r="610" spans="1:3" x14ac:dyDescent="0.25">
      <c r="A610">
        <v>51</v>
      </c>
      <c r="B610">
        <v>41053005206</v>
      </c>
      <c r="C610">
        <v>1.4913E-4</v>
      </c>
    </row>
    <row r="611" spans="1:3" x14ac:dyDescent="0.25">
      <c r="A611">
        <v>138</v>
      </c>
      <c r="B611">
        <v>41047001603</v>
      </c>
      <c r="C611">
        <v>1.4530000000000001E-4</v>
      </c>
    </row>
    <row r="612" spans="1:3" x14ac:dyDescent="0.25">
      <c r="A612">
        <v>395</v>
      </c>
      <c r="B612">
        <v>41047001802</v>
      </c>
      <c r="C612">
        <v>1.4281999999999999E-4</v>
      </c>
    </row>
    <row r="613" spans="1:3" x14ac:dyDescent="0.25">
      <c r="A613">
        <v>395</v>
      </c>
      <c r="B613">
        <v>41047002702</v>
      </c>
      <c r="C613">
        <v>1.3642E-4</v>
      </c>
    </row>
    <row r="614" spans="1:3" x14ac:dyDescent="0.25">
      <c r="A614">
        <v>428</v>
      </c>
      <c r="B614">
        <v>41047002304</v>
      </c>
      <c r="C614">
        <v>1.2722000000000002E-4</v>
      </c>
    </row>
    <row r="615" spans="1:3" x14ac:dyDescent="0.25">
      <c r="A615">
        <v>336</v>
      </c>
      <c r="B615">
        <v>41047001300</v>
      </c>
      <c r="C615">
        <v>1.2595E-4</v>
      </c>
    </row>
    <row r="616" spans="1:3" x14ac:dyDescent="0.25">
      <c r="A616">
        <v>156</v>
      </c>
      <c r="B616">
        <v>41047001606</v>
      </c>
      <c r="C616">
        <v>1.2589E-4</v>
      </c>
    </row>
    <row r="617" spans="1:3" x14ac:dyDescent="0.25">
      <c r="A617">
        <v>141</v>
      </c>
      <c r="B617">
        <v>41047001606</v>
      </c>
      <c r="C617">
        <v>1.2043999999999999E-4</v>
      </c>
    </row>
    <row r="618" spans="1:3" x14ac:dyDescent="0.25">
      <c r="A618">
        <v>365</v>
      </c>
      <c r="B618">
        <v>41047002102</v>
      </c>
      <c r="C618">
        <v>1.1643000000000001E-4</v>
      </c>
    </row>
    <row r="619" spans="1:3" x14ac:dyDescent="0.25">
      <c r="A619">
        <v>354</v>
      </c>
      <c r="B619">
        <v>41047002002</v>
      </c>
      <c r="C619">
        <v>1.1135000000000001E-4</v>
      </c>
    </row>
    <row r="620" spans="1:3" x14ac:dyDescent="0.25">
      <c r="A620">
        <v>395</v>
      </c>
      <c r="B620">
        <v>41047001000</v>
      </c>
      <c r="C620">
        <v>7.3029999999999997E-5</v>
      </c>
    </row>
    <row r="621" spans="1:3" x14ac:dyDescent="0.25">
      <c r="A621">
        <v>45</v>
      </c>
      <c r="B621">
        <v>41053005205</v>
      </c>
      <c r="C621">
        <v>6.3650000000000002E-5</v>
      </c>
    </row>
    <row r="622" spans="1:3" x14ac:dyDescent="0.25">
      <c r="A622">
        <v>302</v>
      </c>
      <c r="B622">
        <v>41047000702</v>
      </c>
      <c r="C622">
        <v>6.1699999999999995E-5</v>
      </c>
    </row>
    <row r="623" spans="1:3" x14ac:dyDescent="0.25">
      <c r="A623">
        <v>423</v>
      </c>
      <c r="B623">
        <v>41047002301</v>
      </c>
      <c r="C623">
        <v>6.0530000000000005E-5</v>
      </c>
    </row>
    <row r="624" spans="1:3" x14ac:dyDescent="0.25">
      <c r="A624">
        <v>80</v>
      </c>
      <c r="B624">
        <v>41047001401</v>
      </c>
      <c r="C624">
        <v>4.9950000000000001E-5</v>
      </c>
    </row>
    <row r="625" spans="1:3" x14ac:dyDescent="0.25">
      <c r="A625">
        <v>114</v>
      </c>
      <c r="B625">
        <v>41047001401</v>
      </c>
      <c r="C625">
        <v>4.5609999999999999E-5</v>
      </c>
    </row>
    <row r="626" spans="1:3" x14ac:dyDescent="0.25">
      <c r="A626">
        <v>207</v>
      </c>
      <c r="B626">
        <v>41047001802</v>
      </c>
      <c r="C626">
        <v>4.4860000000000001E-5</v>
      </c>
    </row>
    <row r="627" spans="1:3" x14ac:dyDescent="0.25">
      <c r="A627">
        <v>137</v>
      </c>
      <c r="B627">
        <v>41047001601</v>
      </c>
      <c r="C627">
        <v>4.3099999999999997E-5</v>
      </c>
    </row>
    <row r="628" spans="1:3" x14ac:dyDescent="0.25">
      <c r="A628">
        <v>419</v>
      </c>
      <c r="B628">
        <v>41047001803</v>
      </c>
      <c r="C628">
        <v>3.7160000000000003E-5</v>
      </c>
    </row>
    <row r="629" spans="1:3" x14ac:dyDescent="0.25">
      <c r="A629">
        <v>61</v>
      </c>
      <c r="B629">
        <v>41053005203</v>
      </c>
      <c r="C629">
        <v>3.4819999999999995E-5</v>
      </c>
    </row>
    <row r="630" spans="1:3" x14ac:dyDescent="0.25">
      <c r="A630">
        <v>304</v>
      </c>
      <c r="B630">
        <v>41047001803</v>
      </c>
      <c r="C630">
        <v>3.3609999999999998E-5</v>
      </c>
    </row>
    <row r="631" spans="1:3" x14ac:dyDescent="0.25">
      <c r="A631">
        <v>80</v>
      </c>
      <c r="B631">
        <v>41047002503</v>
      </c>
      <c r="C631">
        <v>2.374E-5</v>
      </c>
    </row>
    <row r="632" spans="1:3" x14ac:dyDescent="0.25">
      <c r="A632">
        <v>389</v>
      </c>
      <c r="B632">
        <v>41047002001</v>
      </c>
      <c r="C632">
        <v>2.3280000000000001E-5</v>
      </c>
    </row>
    <row r="633" spans="1:3" x14ac:dyDescent="0.25">
      <c r="A633">
        <v>38</v>
      </c>
      <c r="B633">
        <v>41053005301</v>
      </c>
      <c r="C633">
        <v>2.2560000000000001E-5</v>
      </c>
    </row>
    <row r="634" spans="1:3" x14ac:dyDescent="0.25">
      <c r="A634">
        <v>61</v>
      </c>
      <c r="B634">
        <v>41053005205</v>
      </c>
      <c r="C634">
        <v>2.0630000000000001E-5</v>
      </c>
    </row>
    <row r="635" spans="1:3" x14ac:dyDescent="0.25">
      <c r="A635">
        <v>144</v>
      </c>
      <c r="B635">
        <v>41047000400</v>
      </c>
      <c r="C635">
        <v>1.9230000000000001E-5</v>
      </c>
    </row>
    <row r="636" spans="1:3" x14ac:dyDescent="0.25">
      <c r="A636">
        <v>298</v>
      </c>
      <c r="B636">
        <v>41047000600</v>
      </c>
      <c r="C636">
        <v>1.827E-5</v>
      </c>
    </row>
    <row r="637" spans="1:3" x14ac:dyDescent="0.25">
      <c r="A637">
        <v>304</v>
      </c>
      <c r="B637">
        <v>41047000900</v>
      </c>
      <c r="C637">
        <v>1.827E-5</v>
      </c>
    </row>
    <row r="638" spans="1:3" x14ac:dyDescent="0.25">
      <c r="A638">
        <v>284</v>
      </c>
      <c r="B638">
        <v>41047001605</v>
      </c>
      <c r="C638">
        <v>1.6030000000000001E-5</v>
      </c>
    </row>
    <row r="639" spans="1:3" x14ac:dyDescent="0.25">
      <c r="A639">
        <v>207</v>
      </c>
      <c r="B639">
        <v>41047001803</v>
      </c>
      <c r="C639">
        <v>1.5109999999999999E-5</v>
      </c>
    </row>
    <row r="640" spans="1:3" x14ac:dyDescent="0.25">
      <c r="A640">
        <v>373</v>
      </c>
      <c r="B640">
        <v>41047002701</v>
      </c>
      <c r="C640">
        <v>1.221E-5</v>
      </c>
    </row>
    <row r="641" spans="1:3" x14ac:dyDescent="0.25">
      <c r="A641">
        <v>81</v>
      </c>
      <c r="B641">
        <v>41047001402</v>
      </c>
      <c r="C641">
        <v>9.129999999999999E-6</v>
      </c>
    </row>
    <row r="642" spans="1:3" x14ac:dyDescent="0.25">
      <c r="A642">
        <v>286</v>
      </c>
      <c r="B642">
        <v>41047001607</v>
      </c>
      <c r="C642">
        <v>5.7599999999999999E-6</v>
      </c>
    </row>
    <row r="643" spans="1:3" x14ac:dyDescent="0.25">
      <c r="A643">
        <v>420</v>
      </c>
      <c r="B643">
        <v>41047002800</v>
      </c>
      <c r="C643">
        <v>3.7000000000000002E-6</v>
      </c>
    </row>
    <row r="644" spans="1:3" x14ac:dyDescent="0.25">
      <c r="A644">
        <v>80</v>
      </c>
      <c r="B644">
        <v>41047002504</v>
      </c>
      <c r="C644">
        <v>3.41E-6</v>
      </c>
    </row>
    <row r="645" spans="1:3" x14ac:dyDescent="0.25">
      <c r="A645">
        <v>53</v>
      </c>
      <c r="B645">
        <v>41053005205</v>
      </c>
      <c r="C645">
        <v>2.6800000000000002E-6</v>
      </c>
    </row>
    <row r="646" spans="1:3" x14ac:dyDescent="0.25">
      <c r="A646">
        <v>206</v>
      </c>
      <c r="B646">
        <v>41047002600</v>
      </c>
      <c r="C646">
        <v>1.73E-6</v>
      </c>
    </row>
    <row r="647" spans="1:3" x14ac:dyDescent="0.25">
      <c r="A647">
        <v>299</v>
      </c>
      <c r="B647">
        <v>41047000600</v>
      </c>
      <c r="C647">
        <v>9.7000000000000003E-7</v>
      </c>
    </row>
    <row r="648" spans="1:3" x14ac:dyDescent="0.25">
      <c r="A648">
        <v>193</v>
      </c>
      <c r="B648">
        <v>41047002702</v>
      </c>
      <c r="C648">
        <v>1.9000000000000001E-7</v>
      </c>
    </row>
    <row r="649" spans="1:3" x14ac:dyDescent="0.25">
      <c r="A649">
        <v>365</v>
      </c>
      <c r="B649">
        <v>41047002303</v>
      </c>
      <c r="C649">
        <v>1.2000000000000002E-7</v>
      </c>
    </row>
    <row r="650" spans="1:3" x14ac:dyDescent="0.25">
      <c r="A650">
        <v>335</v>
      </c>
      <c r="B650">
        <v>41047001300</v>
      </c>
      <c r="C650">
        <v>0</v>
      </c>
    </row>
  </sheetData>
  <autoFilter ref="A1:C650" xr:uid="{822F33B2-6352-4FD6-AAA9-538E412661EB}">
    <sortState xmlns:xlrd2="http://schemas.microsoft.com/office/spreadsheetml/2017/richdata2" ref="A2:C650">
      <sortCondition descending="1" ref="C1:C65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6705-44A0-4087-B3A5-EA68DD6769EE}">
  <dimension ref="A1:C602"/>
  <sheetViews>
    <sheetView workbookViewId="0">
      <selection activeCell="G10" sqref="G10"/>
    </sheetView>
  </sheetViews>
  <sheetFormatPr defaultRowHeight="15" x14ac:dyDescent="0.25"/>
  <sheetData>
    <row r="1" spans="1:3" x14ac:dyDescent="0.25">
      <c r="A1" t="s">
        <v>11</v>
      </c>
      <c r="B1" t="s">
        <v>0</v>
      </c>
      <c r="C1" t="s">
        <v>17</v>
      </c>
    </row>
    <row r="2" spans="1:3" x14ac:dyDescent="0.25">
      <c r="A2">
        <v>31</v>
      </c>
      <c r="B2">
        <v>41053005300</v>
      </c>
      <c r="C2">
        <v>1</v>
      </c>
    </row>
    <row r="3" spans="1:3" x14ac:dyDescent="0.25">
      <c r="A3">
        <v>32</v>
      </c>
      <c r="B3">
        <v>41053005300</v>
      </c>
      <c r="C3">
        <v>1</v>
      </c>
    </row>
    <row r="4" spans="1:3" x14ac:dyDescent="0.25">
      <c r="A4">
        <v>33</v>
      </c>
      <c r="B4">
        <v>41053005300</v>
      </c>
      <c r="C4">
        <v>1</v>
      </c>
    </row>
    <row r="5" spans="1:3" x14ac:dyDescent="0.25">
      <c r="A5">
        <v>34</v>
      </c>
      <c r="B5">
        <v>41053005300</v>
      </c>
      <c r="C5">
        <v>1</v>
      </c>
    </row>
    <row r="6" spans="1:3" x14ac:dyDescent="0.25">
      <c r="A6">
        <v>35</v>
      </c>
      <c r="B6">
        <v>41053005300</v>
      </c>
      <c r="C6">
        <v>1</v>
      </c>
    </row>
    <row r="7" spans="1:3" x14ac:dyDescent="0.25">
      <c r="A7">
        <v>36</v>
      </c>
      <c r="B7">
        <v>41053005300</v>
      </c>
      <c r="C7">
        <v>1</v>
      </c>
    </row>
    <row r="8" spans="1:3" x14ac:dyDescent="0.25">
      <c r="A8">
        <v>37</v>
      </c>
      <c r="B8">
        <v>41047002400</v>
      </c>
      <c r="C8">
        <v>1.407368E-2</v>
      </c>
    </row>
    <row r="9" spans="1:3" x14ac:dyDescent="0.25">
      <c r="A9">
        <v>37</v>
      </c>
      <c r="B9">
        <v>41053005201</v>
      </c>
      <c r="C9">
        <v>1.9663379999999998E-2</v>
      </c>
    </row>
    <row r="10" spans="1:3" x14ac:dyDescent="0.25">
      <c r="A10">
        <v>37</v>
      </c>
      <c r="B10">
        <v>41053005300</v>
      </c>
      <c r="C10">
        <v>0.96626292000000003</v>
      </c>
    </row>
    <row r="11" spans="1:3" x14ac:dyDescent="0.25">
      <c r="A11">
        <v>38</v>
      </c>
      <c r="B11">
        <v>41047002400</v>
      </c>
      <c r="C11">
        <v>2.458666E-2</v>
      </c>
    </row>
    <row r="12" spans="1:3" x14ac:dyDescent="0.25">
      <c r="A12">
        <v>38</v>
      </c>
      <c r="B12">
        <v>41053005201</v>
      </c>
      <c r="C12">
        <v>0.97536316000000001</v>
      </c>
    </row>
    <row r="13" spans="1:3" x14ac:dyDescent="0.25">
      <c r="A13">
        <v>38</v>
      </c>
      <c r="B13">
        <v>41053005300</v>
      </c>
      <c r="C13">
        <v>5.02E-5</v>
      </c>
    </row>
    <row r="14" spans="1:3" x14ac:dyDescent="0.25">
      <c r="A14">
        <v>39</v>
      </c>
      <c r="B14">
        <v>41053005201</v>
      </c>
      <c r="C14">
        <v>2.6336199999999997E-3</v>
      </c>
    </row>
    <row r="15" spans="1:3" x14ac:dyDescent="0.25">
      <c r="A15">
        <v>39</v>
      </c>
      <c r="B15">
        <v>41053005300</v>
      </c>
      <c r="C15">
        <v>0.99736638999999994</v>
      </c>
    </row>
    <row r="16" spans="1:3" x14ac:dyDescent="0.25">
      <c r="A16">
        <v>40</v>
      </c>
      <c r="B16">
        <v>41053005300</v>
      </c>
      <c r="C16">
        <v>0.99999998000000001</v>
      </c>
    </row>
    <row r="17" spans="1:3" x14ac:dyDescent="0.25">
      <c r="A17">
        <v>41</v>
      </c>
      <c r="B17">
        <v>41053005300</v>
      </c>
      <c r="C17">
        <v>1</v>
      </c>
    </row>
    <row r="18" spans="1:3" x14ac:dyDescent="0.25">
      <c r="A18">
        <v>42</v>
      </c>
      <c r="B18">
        <v>41047001401</v>
      </c>
      <c r="C18">
        <v>1.3644700000000002E-3</v>
      </c>
    </row>
    <row r="19" spans="1:3" x14ac:dyDescent="0.25">
      <c r="A19">
        <v>42</v>
      </c>
      <c r="B19">
        <v>41047002502</v>
      </c>
      <c r="C19">
        <v>3.2616200000000002E-3</v>
      </c>
    </row>
    <row r="20" spans="1:3" x14ac:dyDescent="0.25">
      <c r="A20">
        <v>42</v>
      </c>
      <c r="B20">
        <v>41053005300</v>
      </c>
      <c r="C20">
        <v>0.99537390999999997</v>
      </c>
    </row>
    <row r="21" spans="1:3" x14ac:dyDescent="0.25">
      <c r="A21">
        <v>43</v>
      </c>
      <c r="B21">
        <v>41047000300</v>
      </c>
      <c r="C21">
        <v>2.6446199999999999E-3</v>
      </c>
    </row>
    <row r="22" spans="1:3" x14ac:dyDescent="0.25">
      <c r="A22">
        <v>43</v>
      </c>
      <c r="B22">
        <v>41047000400</v>
      </c>
      <c r="C22">
        <v>1.5344999999999999E-4</v>
      </c>
    </row>
    <row r="23" spans="1:3" x14ac:dyDescent="0.25">
      <c r="A23">
        <v>43</v>
      </c>
      <c r="B23">
        <v>41047001401</v>
      </c>
      <c r="C23">
        <v>3.6640000000000002E-5</v>
      </c>
    </row>
    <row r="24" spans="1:3" x14ac:dyDescent="0.25">
      <c r="A24">
        <v>43</v>
      </c>
      <c r="B24">
        <v>41047001402</v>
      </c>
      <c r="C24">
        <v>1.5598500000000002E-3</v>
      </c>
    </row>
    <row r="25" spans="1:3" x14ac:dyDescent="0.25">
      <c r="A25">
        <v>43</v>
      </c>
      <c r="B25">
        <v>41053005202</v>
      </c>
      <c r="C25">
        <v>0.36091586999999997</v>
      </c>
    </row>
    <row r="26" spans="1:3" x14ac:dyDescent="0.25">
      <c r="A26">
        <v>43</v>
      </c>
      <c r="B26">
        <v>41053005300</v>
      </c>
      <c r="C26">
        <v>0.63468955000000005</v>
      </c>
    </row>
    <row r="27" spans="1:3" x14ac:dyDescent="0.25">
      <c r="A27">
        <v>44</v>
      </c>
      <c r="B27">
        <v>41053005300</v>
      </c>
      <c r="C27">
        <v>1</v>
      </c>
    </row>
    <row r="28" spans="1:3" x14ac:dyDescent="0.25">
      <c r="A28">
        <v>45</v>
      </c>
      <c r="B28">
        <v>41053005202</v>
      </c>
      <c r="C28">
        <v>5.5789999999999999E-5</v>
      </c>
    </row>
    <row r="29" spans="1:3" x14ac:dyDescent="0.25">
      <c r="A29">
        <v>45</v>
      </c>
      <c r="B29">
        <v>41053005300</v>
      </c>
      <c r="C29">
        <v>0.9999441899999999</v>
      </c>
    </row>
    <row r="30" spans="1:3" x14ac:dyDescent="0.25">
      <c r="A30">
        <v>47</v>
      </c>
      <c r="B30">
        <v>41053005202</v>
      </c>
      <c r="C30">
        <v>1.0262150000000001E-2</v>
      </c>
    </row>
    <row r="31" spans="1:3" x14ac:dyDescent="0.25">
      <c r="A31">
        <v>47</v>
      </c>
      <c r="B31">
        <v>41053005300</v>
      </c>
      <c r="C31">
        <v>0.98973781999999999</v>
      </c>
    </row>
    <row r="32" spans="1:3" x14ac:dyDescent="0.25">
      <c r="A32">
        <v>48</v>
      </c>
      <c r="B32">
        <v>41053005202</v>
      </c>
      <c r="C32">
        <v>7.7808E-4</v>
      </c>
    </row>
    <row r="33" spans="1:3" x14ac:dyDescent="0.25">
      <c r="A33">
        <v>48</v>
      </c>
      <c r="B33">
        <v>41053005300</v>
      </c>
      <c r="C33">
        <v>0.99922081000000007</v>
      </c>
    </row>
    <row r="34" spans="1:3" x14ac:dyDescent="0.25">
      <c r="A34">
        <v>49</v>
      </c>
      <c r="B34">
        <v>41053005202</v>
      </c>
      <c r="C34">
        <v>0.98990095999999994</v>
      </c>
    </row>
    <row r="35" spans="1:3" x14ac:dyDescent="0.25">
      <c r="A35">
        <v>49</v>
      </c>
      <c r="B35">
        <v>41053005300</v>
      </c>
      <c r="C35">
        <v>1.009906E-2</v>
      </c>
    </row>
    <row r="36" spans="1:3" x14ac:dyDescent="0.25">
      <c r="A36">
        <v>50</v>
      </c>
      <c r="B36">
        <v>41053005202</v>
      </c>
      <c r="C36">
        <v>4.3293999999999997E-3</v>
      </c>
    </row>
    <row r="37" spans="1:3" x14ac:dyDescent="0.25">
      <c r="A37">
        <v>50</v>
      </c>
      <c r="B37">
        <v>41053005300</v>
      </c>
      <c r="C37">
        <v>0.99567062000000006</v>
      </c>
    </row>
    <row r="38" spans="1:3" x14ac:dyDescent="0.25">
      <c r="A38">
        <v>51</v>
      </c>
      <c r="B38">
        <v>41053005202</v>
      </c>
      <c r="C38">
        <v>0.99924094999999991</v>
      </c>
    </row>
    <row r="39" spans="1:3" x14ac:dyDescent="0.25">
      <c r="A39">
        <v>51</v>
      </c>
      <c r="B39">
        <v>41053005300</v>
      </c>
      <c r="C39">
        <v>7.5902999999999995E-4</v>
      </c>
    </row>
    <row r="40" spans="1:3" x14ac:dyDescent="0.25">
      <c r="A40">
        <v>52</v>
      </c>
      <c r="B40">
        <v>41053005201</v>
      </c>
      <c r="C40">
        <v>7.2306800000000006E-3</v>
      </c>
    </row>
    <row r="41" spans="1:3" x14ac:dyDescent="0.25">
      <c r="A41">
        <v>52</v>
      </c>
      <c r="B41">
        <v>41053005202</v>
      </c>
      <c r="C41">
        <v>0.99276931000000002</v>
      </c>
    </row>
    <row r="42" spans="1:3" x14ac:dyDescent="0.25">
      <c r="A42">
        <v>53</v>
      </c>
      <c r="B42">
        <v>41053005202</v>
      </c>
      <c r="C42">
        <v>1</v>
      </c>
    </row>
    <row r="43" spans="1:3" x14ac:dyDescent="0.25">
      <c r="A43">
        <v>54</v>
      </c>
      <c r="B43">
        <v>41053005201</v>
      </c>
      <c r="C43">
        <v>6.9449999999999998E-3</v>
      </c>
    </row>
    <row r="44" spans="1:3" x14ac:dyDescent="0.25">
      <c r="A44">
        <v>54</v>
      </c>
      <c r="B44">
        <v>41053005202</v>
      </c>
      <c r="C44">
        <v>0.99305502000000001</v>
      </c>
    </row>
    <row r="45" spans="1:3" x14ac:dyDescent="0.25">
      <c r="A45">
        <v>55</v>
      </c>
      <c r="B45">
        <v>41053005202</v>
      </c>
      <c r="C45">
        <v>6.5250699999999991E-3</v>
      </c>
    </row>
    <row r="46" spans="1:3" x14ac:dyDescent="0.25">
      <c r="A46">
        <v>55</v>
      </c>
      <c r="B46">
        <v>41053005300</v>
      </c>
      <c r="C46">
        <v>0.99347481000000004</v>
      </c>
    </row>
    <row r="47" spans="1:3" x14ac:dyDescent="0.25">
      <c r="A47">
        <v>56</v>
      </c>
      <c r="B47">
        <v>41053005201</v>
      </c>
      <c r="C47">
        <v>6.0783200000000008E-3</v>
      </c>
    </row>
    <row r="48" spans="1:3" x14ac:dyDescent="0.25">
      <c r="A48">
        <v>56</v>
      </c>
      <c r="B48">
        <v>41053005202</v>
      </c>
      <c r="C48">
        <v>2.31665E-3</v>
      </c>
    </row>
    <row r="49" spans="1:3" x14ac:dyDescent="0.25">
      <c r="A49">
        <v>56</v>
      </c>
      <c r="B49">
        <v>41053005300</v>
      </c>
      <c r="C49">
        <v>0.99160504000000005</v>
      </c>
    </row>
    <row r="50" spans="1:3" x14ac:dyDescent="0.25">
      <c r="A50">
        <v>61</v>
      </c>
      <c r="B50">
        <v>41047000200</v>
      </c>
      <c r="C50">
        <v>1.5856120000000001E-2</v>
      </c>
    </row>
    <row r="51" spans="1:3" x14ac:dyDescent="0.25">
      <c r="A51">
        <v>61</v>
      </c>
      <c r="B51">
        <v>41047000300</v>
      </c>
      <c r="C51">
        <v>6.6348000000000004E-4</v>
      </c>
    </row>
    <row r="52" spans="1:3" x14ac:dyDescent="0.25">
      <c r="A52">
        <v>61</v>
      </c>
      <c r="B52">
        <v>41047001300</v>
      </c>
      <c r="C52">
        <v>3.34717E-3</v>
      </c>
    </row>
    <row r="53" spans="1:3" x14ac:dyDescent="0.25">
      <c r="A53">
        <v>61</v>
      </c>
      <c r="B53">
        <v>41053005100</v>
      </c>
      <c r="C53">
        <v>6.765612E-2</v>
      </c>
    </row>
    <row r="54" spans="1:3" x14ac:dyDescent="0.25">
      <c r="A54">
        <v>61</v>
      </c>
      <c r="B54">
        <v>41053005201</v>
      </c>
      <c r="C54">
        <v>8.4625909999999999E-2</v>
      </c>
    </row>
    <row r="55" spans="1:3" x14ac:dyDescent="0.25">
      <c r="A55">
        <v>61</v>
      </c>
      <c r="B55">
        <v>41053005202</v>
      </c>
      <c r="C55">
        <v>0.82785120000000001</v>
      </c>
    </row>
    <row r="56" spans="1:3" x14ac:dyDescent="0.25">
      <c r="A56">
        <v>64</v>
      </c>
      <c r="B56">
        <v>41047001300</v>
      </c>
      <c r="C56">
        <v>1.478704E-2</v>
      </c>
    </row>
    <row r="57" spans="1:3" x14ac:dyDescent="0.25">
      <c r="A57">
        <v>64</v>
      </c>
      <c r="B57">
        <v>41053005100</v>
      </c>
      <c r="C57">
        <v>0.70887238999999991</v>
      </c>
    </row>
    <row r="58" spans="1:3" x14ac:dyDescent="0.25">
      <c r="A58">
        <v>64</v>
      </c>
      <c r="B58">
        <v>41053005201</v>
      </c>
      <c r="C58">
        <v>0.27169584000000002</v>
      </c>
    </row>
    <row r="59" spans="1:3" x14ac:dyDescent="0.25">
      <c r="A59">
        <v>64</v>
      </c>
      <c r="B59">
        <v>41053005202</v>
      </c>
      <c r="C59">
        <v>4.6447199999999998E-3</v>
      </c>
    </row>
    <row r="60" spans="1:3" x14ac:dyDescent="0.25">
      <c r="A60">
        <v>65</v>
      </c>
      <c r="B60">
        <v>41053005100</v>
      </c>
      <c r="C60">
        <v>6.3292999999999997E-4</v>
      </c>
    </row>
    <row r="61" spans="1:3" x14ac:dyDescent="0.25">
      <c r="A61">
        <v>65</v>
      </c>
      <c r="B61">
        <v>41053005201</v>
      </c>
      <c r="C61">
        <v>0.99936705000000003</v>
      </c>
    </row>
    <row r="62" spans="1:3" x14ac:dyDescent="0.25">
      <c r="A62">
        <v>66</v>
      </c>
      <c r="B62">
        <v>41053005201</v>
      </c>
      <c r="C62">
        <v>0.99999999000000006</v>
      </c>
    </row>
    <row r="63" spans="1:3" x14ac:dyDescent="0.25">
      <c r="A63">
        <v>67</v>
      </c>
      <c r="B63">
        <v>41053005201</v>
      </c>
      <c r="C63">
        <v>0.99528159000000005</v>
      </c>
    </row>
    <row r="64" spans="1:3" x14ac:dyDescent="0.25">
      <c r="A64">
        <v>67</v>
      </c>
      <c r="B64">
        <v>41053005202</v>
      </c>
      <c r="C64">
        <v>2.4224300000000002E-3</v>
      </c>
    </row>
    <row r="65" spans="1:3" x14ac:dyDescent="0.25">
      <c r="A65">
        <v>67</v>
      </c>
      <c r="B65">
        <v>41053005300</v>
      </c>
      <c r="C65">
        <v>2.29597E-3</v>
      </c>
    </row>
    <row r="66" spans="1:3" x14ac:dyDescent="0.25">
      <c r="A66">
        <v>70</v>
      </c>
      <c r="B66">
        <v>41053005201</v>
      </c>
      <c r="C66">
        <v>0.99999992999999998</v>
      </c>
    </row>
    <row r="67" spans="1:3" x14ac:dyDescent="0.25">
      <c r="A67">
        <v>71</v>
      </c>
      <c r="B67">
        <v>41047002400</v>
      </c>
      <c r="C67">
        <v>1.2968249999999999E-2</v>
      </c>
    </row>
    <row r="68" spans="1:3" x14ac:dyDescent="0.25">
      <c r="A68">
        <v>71</v>
      </c>
      <c r="B68">
        <v>41053005201</v>
      </c>
      <c r="C68">
        <v>0.98703174000000005</v>
      </c>
    </row>
    <row r="69" spans="1:3" x14ac:dyDescent="0.25">
      <c r="A69">
        <v>74</v>
      </c>
      <c r="B69">
        <v>41053005100</v>
      </c>
      <c r="C69">
        <v>2.4585539999999999E-2</v>
      </c>
    </row>
    <row r="70" spans="1:3" x14ac:dyDescent="0.25">
      <c r="A70">
        <v>74</v>
      </c>
      <c r="B70">
        <v>41053005201</v>
      </c>
      <c r="C70">
        <v>0.97541442</v>
      </c>
    </row>
    <row r="71" spans="1:3" x14ac:dyDescent="0.25">
      <c r="A71">
        <v>75</v>
      </c>
      <c r="B71">
        <v>41053005100</v>
      </c>
      <c r="C71">
        <v>0.99881101999999999</v>
      </c>
    </row>
    <row r="72" spans="1:3" x14ac:dyDescent="0.25">
      <c r="A72">
        <v>75</v>
      </c>
      <c r="B72">
        <v>41053005201</v>
      </c>
      <c r="C72">
        <v>1.18896E-3</v>
      </c>
    </row>
    <row r="73" spans="1:3" x14ac:dyDescent="0.25">
      <c r="A73">
        <v>76</v>
      </c>
      <c r="B73">
        <v>41047001300</v>
      </c>
      <c r="C73">
        <v>7.26993E-3</v>
      </c>
    </row>
    <row r="74" spans="1:3" x14ac:dyDescent="0.25">
      <c r="A74">
        <v>76</v>
      </c>
      <c r="B74">
        <v>41053005100</v>
      </c>
      <c r="C74">
        <v>0.21291867</v>
      </c>
    </row>
    <row r="75" spans="1:3" x14ac:dyDescent="0.25">
      <c r="A75">
        <v>76</v>
      </c>
      <c r="B75">
        <v>41053005201</v>
      </c>
      <c r="C75">
        <v>0.77981144000000002</v>
      </c>
    </row>
    <row r="76" spans="1:3" x14ac:dyDescent="0.25">
      <c r="A76">
        <v>77</v>
      </c>
      <c r="B76">
        <v>41047001300</v>
      </c>
      <c r="C76">
        <v>3.7013940000000002E-2</v>
      </c>
    </row>
    <row r="77" spans="1:3" x14ac:dyDescent="0.25">
      <c r="A77">
        <v>77</v>
      </c>
      <c r="B77">
        <v>41053005100</v>
      </c>
      <c r="C77">
        <v>0.42140967000000001</v>
      </c>
    </row>
    <row r="78" spans="1:3" x14ac:dyDescent="0.25">
      <c r="A78">
        <v>77</v>
      </c>
      <c r="B78">
        <v>41053005201</v>
      </c>
      <c r="C78">
        <v>0.54157630000000001</v>
      </c>
    </row>
    <row r="79" spans="1:3" x14ac:dyDescent="0.25">
      <c r="A79">
        <v>78</v>
      </c>
      <c r="B79">
        <v>41053005100</v>
      </c>
      <c r="C79">
        <v>0.75007999000000003</v>
      </c>
    </row>
    <row r="80" spans="1:3" x14ac:dyDescent="0.25">
      <c r="A80">
        <v>78</v>
      </c>
      <c r="B80">
        <v>41053005201</v>
      </c>
      <c r="C80">
        <v>0.24992008999999998</v>
      </c>
    </row>
    <row r="81" spans="1:3" x14ac:dyDescent="0.25">
      <c r="A81">
        <v>80</v>
      </c>
      <c r="B81">
        <v>41047001401</v>
      </c>
      <c r="C81">
        <v>2.5300000000000002E-5</v>
      </c>
    </row>
    <row r="82" spans="1:3" x14ac:dyDescent="0.25">
      <c r="A82">
        <v>80</v>
      </c>
      <c r="B82">
        <v>41047002501</v>
      </c>
      <c r="C82">
        <v>1.6390000000000001E-5</v>
      </c>
    </row>
    <row r="83" spans="1:3" x14ac:dyDescent="0.25">
      <c r="A83">
        <v>80</v>
      </c>
      <c r="B83">
        <v>41047002502</v>
      </c>
      <c r="C83">
        <v>0.99995829999999997</v>
      </c>
    </row>
    <row r="84" spans="1:3" x14ac:dyDescent="0.25">
      <c r="A84">
        <v>81</v>
      </c>
      <c r="B84">
        <v>41047001401</v>
      </c>
      <c r="C84">
        <v>0.97183319999999995</v>
      </c>
    </row>
    <row r="85" spans="1:3" x14ac:dyDescent="0.25">
      <c r="A85">
        <v>81</v>
      </c>
      <c r="B85">
        <v>41047001402</v>
      </c>
      <c r="C85">
        <v>4.4599999999999996E-6</v>
      </c>
    </row>
    <row r="86" spans="1:3" x14ac:dyDescent="0.25">
      <c r="A86">
        <v>81</v>
      </c>
      <c r="B86">
        <v>41047002502</v>
      </c>
      <c r="C86">
        <v>7.1804999999999994E-3</v>
      </c>
    </row>
    <row r="87" spans="1:3" x14ac:dyDescent="0.25">
      <c r="A87">
        <v>81</v>
      </c>
      <c r="B87">
        <v>41053005300</v>
      </c>
      <c r="C87">
        <v>2.098185E-2</v>
      </c>
    </row>
    <row r="88" spans="1:3" x14ac:dyDescent="0.25">
      <c r="A88">
        <v>82</v>
      </c>
      <c r="B88">
        <v>41047001401</v>
      </c>
      <c r="C88">
        <v>0.95074727999999997</v>
      </c>
    </row>
    <row r="89" spans="1:3" x14ac:dyDescent="0.25">
      <c r="A89">
        <v>82</v>
      </c>
      <c r="B89">
        <v>41047001501</v>
      </c>
      <c r="C89">
        <v>1.82398E-3</v>
      </c>
    </row>
    <row r="90" spans="1:3" x14ac:dyDescent="0.25">
      <c r="A90">
        <v>82</v>
      </c>
      <c r="B90">
        <v>41047002501</v>
      </c>
      <c r="C90">
        <v>8.8717199999999996E-3</v>
      </c>
    </row>
    <row r="91" spans="1:3" x14ac:dyDescent="0.25">
      <c r="A91">
        <v>82</v>
      </c>
      <c r="B91">
        <v>41047002502</v>
      </c>
      <c r="C91">
        <v>3.8556989999999999E-2</v>
      </c>
    </row>
    <row r="92" spans="1:3" x14ac:dyDescent="0.25">
      <c r="A92">
        <v>83</v>
      </c>
      <c r="B92">
        <v>41047002502</v>
      </c>
      <c r="C92">
        <v>0.99999998000000001</v>
      </c>
    </row>
    <row r="93" spans="1:3" x14ac:dyDescent="0.25">
      <c r="A93">
        <v>84</v>
      </c>
      <c r="B93">
        <v>41047002502</v>
      </c>
      <c r="C93">
        <v>1</v>
      </c>
    </row>
    <row r="94" spans="1:3" x14ac:dyDescent="0.25">
      <c r="A94">
        <v>85</v>
      </c>
      <c r="B94">
        <v>41047002501</v>
      </c>
      <c r="C94">
        <v>0.31790652999999996</v>
      </c>
    </row>
    <row r="95" spans="1:3" x14ac:dyDescent="0.25">
      <c r="A95">
        <v>85</v>
      </c>
      <c r="B95">
        <v>41047002502</v>
      </c>
      <c r="C95">
        <v>0.68209346999999998</v>
      </c>
    </row>
    <row r="96" spans="1:3" x14ac:dyDescent="0.25">
      <c r="A96">
        <v>86</v>
      </c>
      <c r="B96">
        <v>41047002501</v>
      </c>
      <c r="C96">
        <v>0.40195118000000002</v>
      </c>
    </row>
    <row r="97" spans="1:3" x14ac:dyDescent="0.25">
      <c r="A97">
        <v>86</v>
      </c>
      <c r="B97">
        <v>41047002502</v>
      </c>
      <c r="C97">
        <v>0.59804882999999998</v>
      </c>
    </row>
    <row r="98" spans="1:3" x14ac:dyDescent="0.25">
      <c r="A98">
        <v>87</v>
      </c>
      <c r="B98">
        <v>41047002501</v>
      </c>
      <c r="C98">
        <v>0.99479883000000002</v>
      </c>
    </row>
    <row r="99" spans="1:3" x14ac:dyDescent="0.25">
      <c r="A99">
        <v>87</v>
      </c>
      <c r="B99">
        <v>41047002502</v>
      </c>
      <c r="C99">
        <v>5.2011899999999996E-3</v>
      </c>
    </row>
    <row r="100" spans="1:3" x14ac:dyDescent="0.25">
      <c r="A100">
        <v>88</v>
      </c>
      <c r="B100">
        <v>41047001401</v>
      </c>
      <c r="C100">
        <v>2.8179700000000004E-3</v>
      </c>
    </row>
    <row r="101" spans="1:3" x14ac:dyDescent="0.25">
      <c r="A101">
        <v>88</v>
      </c>
      <c r="B101">
        <v>41047002501</v>
      </c>
      <c r="C101">
        <v>0.63450501999999998</v>
      </c>
    </row>
    <row r="102" spans="1:3" x14ac:dyDescent="0.25">
      <c r="A102">
        <v>88</v>
      </c>
      <c r="B102">
        <v>41047002502</v>
      </c>
      <c r="C102">
        <v>0.36267701000000002</v>
      </c>
    </row>
    <row r="103" spans="1:3" x14ac:dyDescent="0.25">
      <c r="A103">
        <v>89</v>
      </c>
      <c r="B103">
        <v>41047002501</v>
      </c>
      <c r="C103">
        <v>1</v>
      </c>
    </row>
    <row r="104" spans="1:3" x14ac:dyDescent="0.25">
      <c r="A104">
        <v>90</v>
      </c>
      <c r="B104">
        <v>41047001401</v>
      </c>
      <c r="C104">
        <v>4.2224000000000003E-3</v>
      </c>
    </row>
    <row r="105" spans="1:3" x14ac:dyDescent="0.25">
      <c r="A105">
        <v>90</v>
      </c>
      <c r="B105">
        <v>41047001501</v>
      </c>
      <c r="C105">
        <v>1.9558000000000002E-3</v>
      </c>
    </row>
    <row r="106" spans="1:3" x14ac:dyDescent="0.25">
      <c r="A106">
        <v>90</v>
      </c>
      <c r="B106">
        <v>41047002501</v>
      </c>
      <c r="C106">
        <v>0.99382178999999993</v>
      </c>
    </row>
    <row r="107" spans="1:3" x14ac:dyDescent="0.25">
      <c r="A107">
        <v>91</v>
      </c>
      <c r="B107">
        <v>41047001501</v>
      </c>
      <c r="C107">
        <v>3.1010460000000004E-2</v>
      </c>
    </row>
    <row r="108" spans="1:3" x14ac:dyDescent="0.25">
      <c r="A108">
        <v>91</v>
      </c>
      <c r="B108">
        <v>41047002501</v>
      </c>
      <c r="C108">
        <v>0.96898956999999997</v>
      </c>
    </row>
    <row r="109" spans="1:3" x14ac:dyDescent="0.25">
      <c r="A109">
        <v>92</v>
      </c>
      <c r="B109">
        <v>41047001501</v>
      </c>
      <c r="C109">
        <v>0.97243679000000005</v>
      </c>
    </row>
    <row r="110" spans="1:3" x14ac:dyDescent="0.25">
      <c r="A110">
        <v>92</v>
      </c>
      <c r="B110">
        <v>41047001502</v>
      </c>
      <c r="C110">
        <v>2.2953000000000001E-4</v>
      </c>
    </row>
    <row r="111" spans="1:3" x14ac:dyDescent="0.25">
      <c r="A111">
        <v>92</v>
      </c>
      <c r="B111">
        <v>41047002501</v>
      </c>
      <c r="C111">
        <v>3.0169200000000002E-3</v>
      </c>
    </row>
    <row r="112" spans="1:3" x14ac:dyDescent="0.25">
      <c r="A112">
        <v>92</v>
      </c>
      <c r="B112">
        <v>41047002502</v>
      </c>
      <c r="C112">
        <v>2.4316749999999998E-2</v>
      </c>
    </row>
    <row r="113" spans="1:3" x14ac:dyDescent="0.25">
      <c r="A113">
        <v>94</v>
      </c>
      <c r="B113">
        <v>41047001501</v>
      </c>
      <c r="C113">
        <v>0.97725772000000011</v>
      </c>
    </row>
    <row r="114" spans="1:3" x14ac:dyDescent="0.25">
      <c r="A114">
        <v>94</v>
      </c>
      <c r="B114">
        <v>41047001502</v>
      </c>
      <c r="C114">
        <v>8.6143999999999999E-4</v>
      </c>
    </row>
    <row r="115" spans="1:3" x14ac:dyDescent="0.25">
      <c r="A115">
        <v>94</v>
      </c>
      <c r="B115">
        <v>41047002501</v>
      </c>
      <c r="C115">
        <v>2.1880920000000002E-2</v>
      </c>
    </row>
    <row r="116" spans="1:3" x14ac:dyDescent="0.25">
      <c r="A116">
        <v>95</v>
      </c>
      <c r="B116">
        <v>41047001401</v>
      </c>
      <c r="C116">
        <v>5.8219000000000001E-4</v>
      </c>
    </row>
    <row r="117" spans="1:3" x14ac:dyDescent="0.25">
      <c r="A117">
        <v>95</v>
      </c>
      <c r="B117">
        <v>41047001501</v>
      </c>
      <c r="C117">
        <v>0.99590738999999995</v>
      </c>
    </row>
    <row r="118" spans="1:3" x14ac:dyDescent="0.25">
      <c r="A118">
        <v>95</v>
      </c>
      <c r="B118">
        <v>41047001502</v>
      </c>
      <c r="C118">
        <v>3.5343000000000001E-4</v>
      </c>
    </row>
    <row r="119" spans="1:3" x14ac:dyDescent="0.25">
      <c r="A119">
        <v>95</v>
      </c>
      <c r="B119">
        <v>41047002501</v>
      </c>
      <c r="C119">
        <v>3.1569900000000001E-3</v>
      </c>
    </row>
    <row r="120" spans="1:3" x14ac:dyDescent="0.25">
      <c r="A120">
        <v>100</v>
      </c>
      <c r="B120">
        <v>41047001501</v>
      </c>
      <c r="C120">
        <v>9.4047699999999998E-3</v>
      </c>
    </row>
    <row r="121" spans="1:3" x14ac:dyDescent="0.25">
      <c r="A121">
        <v>100</v>
      </c>
      <c r="B121">
        <v>41047001502</v>
      </c>
      <c r="C121">
        <v>0.98637902999999993</v>
      </c>
    </row>
    <row r="122" spans="1:3" x14ac:dyDescent="0.25">
      <c r="A122">
        <v>100</v>
      </c>
      <c r="B122">
        <v>41047002502</v>
      </c>
      <c r="C122">
        <v>4.21616E-3</v>
      </c>
    </row>
    <row r="123" spans="1:3" x14ac:dyDescent="0.25">
      <c r="A123">
        <v>103</v>
      </c>
      <c r="B123">
        <v>41047001501</v>
      </c>
      <c r="C123">
        <v>0.25570691000000001</v>
      </c>
    </row>
    <row r="124" spans="1:3" x14ac:dyDescent="0.25">
      <c r="A124">
        <v>103</v>
      </c>
      <c r="B124">
        <v>41047001502</v>
      </c>
      <c r="C124">
        <v>0.74429304000000007</v>
      </c>
    </row>
    <row r="125" spans="1:3" x14ac:dyDescent="0.25">
      <c r="A125">
        <v>104</v>
      </c>
      <c r="B125">
        <v>41047001401</v>
      </c>
      <c r="C125">
        <v>1.3074969999999998E-2</v>
      </c>
    </row>
    <row r="126" spans="1:3" x14ac:dyDescent="0.25">
      <c r="A126">
        <v>104</v>
      </c>
      <c r="B126">
        <v>41047001501</v>
      </c>
      <c r="C126">
        <v>0.55301827000000003</v>
      </c>
    </row>
    <row r="127" spans="1:3" x14ac:dyDescent="0.25">
      <c r="A127">
        <v>104</v>
      </c>
      <c r="B127">
        <v>41047001502</v>
      </c>
      <c r="C127">
        <v>0.43390673000000002</v>
      </c>
    </row>
    <row r="128" spans="1:3" x14ac:dyDescent="0.25">
      <c r="A128">
        <v>107</v>
      </c>
      <c r="B128">
        <v>41047001401</v>
      </c>
      <c r="C128">
        <v>0.99853078999999989</v>
      </c>
    </row>
    <row r="129" spans="1:3" x14ac:dyDescent="0.25">
      <c r="A129">
        <v>107</v>
      </c>
      <c r="B129">
        <v>41047001402</v>
      </c>
      <c r="C129">
        <v>3.5740000000000001E-4</v>
      </c>
    </row>
    <row r="130" spans="1:3" x14ac:dyDescent="0.25">
      <c r="A130">
        <v>107</v>
      </c>
      <c r="B130">
        <v>41047001501</v>
      </c>
      <c r="C130">
        <v>1.1118300000000001E-3</v>
      </c>
    </row>
    <row r="131" spans="1:3" x14ac:dyDescent="0.25">
      <c r="A131">
        <v>110</v>
      </c>
      <c r="B131">
        <v>41047001401</v>
      </c>
      <c r="C131">
        <v>0.99624093999999996</v>
      </c>
    </row>
    <row r="132" spans="1:3" x14ac:dyDescent="0.25">
      <c r="A132">
        <v>110</v>
      </c>
      <c r="B132">
        <v>41047001402</v>
      </c>
      <c r="C132">
        <v>3.7589899999999998E-3</v>
      </c>
    </row>
    <row r="133" spans="1:3" x14ac:dyDescent="0.25">
      <c r="A133">
        <v>111</v>
      </c>
      <c r="B133">
        <v>41047001401</v>
      </c>
      <c r="C133">
        <v>8.7540999999999994E-2</v>
      </c>
    </row>
    <row r="134" spans="1:3" x14ac:dyDescent="0.25">
      <c r="A134">
        <v>111</v>
      </c>
      <c r="B134">
        <v>41047001402</v>
      </c>
      <c r="C134">
        <v>0.91026808999999997</v>
      </c>
    </row>
    <row r="135" spans="1:3" x14ac:dyDescent="0.25">
      <c r="A135">
        <v>111</v>
      </c>
      <c r="B135">
        <v>41053005300</v>
      </c>
      <c r="C135">
        <v>2.1909400000000002E-3</v>
      </c>
    </row>
    <row r="136" spans="1:3" x14ac:dyDescent="0.25">
      <c r="A136">
        <v>112</v>
      </c>
      <c r="B136">
        <v>41047001401</v>
      </c>
      <c r="C136">
        <v>2.5262600000000002E-3</v>
      </c>
    </row>
    <row r="137" spans="1:3" x14ac:dyDescent="0.25">
      <c r="A137">
        <v>112</v>
      </c>
      <c r="B137">
        <v>41047001402</v>
      </c>
      <c r="C137">
        <v>0.99747370999999996</v>
      </c>
    </row>
    <row r="138" spans="1:3" x14ac:dyDescent="0.25">
      <c r="A138">
        <v>114</v>
      </c>
      <c r="B138">
        <v>41047001401</v>
      </c>
      <c r="C138">
        <v>5.4830000000000002E-5</v>
      </c>
    </row>
    <row r="139" spans="1:3" x14ac:dyDescent="0.25">
      <c r="A139">
        <v>114</v>
      </c>
      <c r="B139">
        <v>41047001402</v>
      </c>
      <c r="C139">
        <v>6.0561699999999996E-3</v>
      </c>
    </row>
    <row r="140" spans="1:3" x14ac:dyDescent="0.25">
      <c r="A140">
        <v>114</v>
      </c>
      <c r="B140">
        <v>41047001501</v>
      </c>
      <c r="C140">
        <v>6.5129000000000012E-4</v>
      </c>
    </row>
    <row r="141" spans="1:3" x14ac:dyDescent="0.25">
      <c r="A141">
        <v>114</v>
      </c>
      <c r="B141">
        <v>41047001502</v>
      </c>
      <c r="C141">
        <v>0.53220383999999998</v>
      </c>
    </row>
    <row r="142" spans="1:3" x14ac:dyDescent="0.25">
      <c r="A142">
        <v>114</v>
      </c>
      <c r="B142">
        <v>41047001503</v>
      </c>
      <c r="C142">
        <v>0.4610339</v>
      </c>
    </row>
    <row r="143" spans="1:3" x14ac:dyDescent="0.25">
      <c r="A143">
        <v>116</v>
      </c>
      <c r="B143">
        <v>41047001501</v>
      </c>
      <c r="C143">
        <v>2.6577000000000003E-4</v>
      </c>
    </row>
    <row r="144" spans="1:3" x14ac:dyDescent="0.25">
      <c r="A144">
        <v>116</v>
      </c>
      <c r="B144">
        <v>41047001502</v>
      </c>
      <c r="C144">
        <v>0.79865622999999997</v>
      </c>
    </row>
    <row r="145" spans="1:3" x14ac:dyDescent="0.25">
      <c r="A145">
        <v>116</v>
      </c>
      <c r="B145">
        <v>41047001503</v>
      </c>
      <c r="C145">
        <v>0.20107800000000001</v>
      </c>
    </row>
    <row r="146" spans="1:3" x14ac:dyDescent="0.25">
      <c r="A146">
        <v>117</v>
      </c>
      <c r="B146">
        <v>41047001503</v>
      </c>
      <c r="C146">
        <v>1</v>
      </c>
    </row>
    <row r="147" spans="1:3" x14ac:dyDescent="0.25">
      <c r="A147">
        <v>118</v>
      </c>
      <c r="B147">
        <v>41047000400</v>
      </c>
      <c r="C147">
        <v>9.7836999999999989E-4</v>
      </c>
    </row>
    <row r="148" spans="1:3" x14ac:dyDescent="0.25">
      <c r="A148">
        <v>118</v>
      </c>
      <c r="B148">
        <v>41047001402</v>
      </c>
      <c r="C148">
        <v>1.6175759999999997E-2</v>
      </c>
    </row>
    <row r="149" spans="1:3" x14ac:dyDescent="0.25">
      <c r="A149">
        <v>118</v>
      </c>
      <c r="B149">
        <v>41047001503</v>
      </c>
      <c r="C149">
        <v>0.98284583000000003</v>
      </c>
    </row>
    <row r="150" spans="1:3" x14ac:dyDescent="0.25">
      <c r="A150">
        <v>120</v>
      </c>
      <c r="B150">
        <v>41047000400</v>
      </c>
      <c r="C150">
        <v>1.8429330000000001E-2</v>
      </c>
    </row>
    <row r="151" spans="1:3" x14ac:dyDescent="0.25">
      <c r="A151">
        <v>120</v>
      </c>
      <c r="B151">
        <v>41047001402</v>
      </c>
      <c r="C151">
        <v>0.97639028999999988</v>
      </c>
    </row>
    <row r="152" spans="1:3" x14ac:dyDescent="0.25">
      <c r="A152">
        <v>120</v>
      </c>
      <c r="B152">
        <v>41053005202</v>
      </c>
      <c r="C152">
        <v>1.6837E-3</v>
      </c>
    </row>
    <row r="153" spans="1:3" x14ac:dyDescent="0.25">
      <c r="A153">
        <v>120</v>
      </c>
      <c r="B153">
        <v>41053005300</v>
      </c>
      <c r="C153">
        <v>3.49673E-3</v>
      </c>
    </row>
    <row r="154" spans="1:3" x14ac:dyDescent="0.25">
      <c r="A154">
        <v>124</v>
      </c>
      <c r="B154">
        <v>41047000400</v>
      </c>
      <c r="C154">
        <v>0.98376209000000003</v>
      </c>
    </row>
    <row r="155" spans="1:3" x14ac:dyDescent="0.25">
      <c r="A155">
        <v>124</v>
      </c>
      <c r="B155">
        <v>41047001402</v>
      </c>
      <c r="C155">
        <v>7.3577000000000007E-4</v>
      </c>
    </row>
    <row r="156" spans="1:3" x14ac:dyDescent="0.25">
      <c r="A156">
        <v>124</v>
      </c>
      <c r="B156">
        <v>41053005202</v>
      </c>
      <c r="C156">
        <v>1.5502149999999999E-2</v>
      </c>
    </row>
    <row r="157" spans="1:3" x14ac:dyDescent="0.25">
      <c r="A157">
        <v>125</v>
      </c>
      <c r="B157">
        <v>41047000400</v>
      </c>
      <c r="C157">
        <v>0.99228806000000003</v>
      </c>
    </row>
    <row r="158" spans="1:3" x14ac:dyDescent="0.25">
      <c r="A158">
        <v>125</v>
      </c>
      <c r="B158">
        <v>41047001503</v>
      </c>
      <c r="C158">
        <v>7.7118600000000001E-3</v>
      </c>
    </row>
    <row r="159" spans="1:3" x14ac:dyDescent="0.25">
      <c r="A159">
        <v>126</v>
      </c>
      <c r="B159">
        <v>41047000400</v>
      </c>
      <c r="C159">
        <v>0.98012058999999996</v>
      </c>
    </row>
    <row r="160" spans="1:3" x14ac:dyDescent="0.25">
      <c r="A160">
        <v>126</v>
      </c>
      <c r="B160">
        <v>41047001503</v>
      </c>
      <c r="C160">
        <v>1.987935E-2</v>
      </c>
    </row>
    <row r="161" spans="1:3" x14ac:dyDescent="0.25">
      <c r="A161">
        <v>128</v>
      </c>
      <c r="B161">
        <v>41047000400</v>
      </c>
      <c r="C161">
        <v>7.4250499999999999E-3</v>
      </c>
    </row>
    <row r="162" spans="1:3" x14ac:dyDescent="0.25">
      <c r="A162">
        <v>128</v>
      </c>
      <c r="B162">
        <v>41047001503</v>
      </c>
      <c r="C162">
        <v>0.99257499999999999</v>
      </c>
    </row>
    <row r="163" spans="1:3" x14ac:dyDescent="0.25">
      <c r="A163">
        <v>129</v>
      </c>
      <c r="B163">
        <v>41047002502</v>
      </c>
      <c r="C163">
        <v>0.99999999000000006</v>
      </c>
    </row>
    <row r="164" spans="1:3" x14ac:dyDescent="0.25">
      <c r="A164">
        <v>130</v>
      </c>
      <c r="B164">
        <v>41047002502</v>
      </c>
      <c r="C164">
        <v>1</v>
      </c>
    </row>
    <row r="165" spans="1:3" x14ac:dyDescent="0.25">
      <c r="A165">
        <v>131</v>
      </c>
      <c r="B165">
        <v>41047002502</v>
      </c>
      <c r="C165">
        <v>1</v>
      </c>
    </row>
    <row r="166" spans="1:3" x14ac:dyDescent="0.25">
      <c r="A166">
        <v>132</v>
      </c>
      <c r="B166">
        <v>41047002502</v>
      </c>
      <c r="C166">
        <v>1</v>
      </c>
    </row>
    <row r="167" spans="1:3" x14ac:dyDescent="0.25">
      <c r="A167">
        <v>133</v>
      </c>
      <c r="B167">
        <v>41047002502</v>
      </c>
      <c r="C167">
        <v>0.99888217999999995</v>
      </c>
    </row>
    <row r="168" spans="1:3" x14ac:dyDescent="0.25">
      <c r="A168">
        <v>133</v>
      </c>
      <c r="B168">
        <v>41047002600</v>
      </c>
      <c r="C168">
        <v>1.1178200000000001E-3</v>
      </c>
    </row>
    <row r="169" spans="1:3" x14ac:dyDescent="0.25">
      <c r="A169">
        <v>134</v>
      </c>
      <c r="B169">
        <v>41047002502</v>
      </c>
      <c r="C169">
        <v>0.99999996999999996</v>
      </c>
    </row>
    <row r="170" spans="1:3" x14ac:dyDescent="0.25">
      <c r="A170">
        <v>135</v>
      </c>
      <c r="B170">
        <v>41047001601</v>
      </c>
      <c r="C170">
        <v>9.5958199999999997E-3</v>
      </c>
    </row>
    <row r="171" spans="1:3" x14ac:dyDescent="0.25">
      <c r="A171">
        <v>135</v>
      </c>
      <c r="B171">
        <v>41047002502</v>
      </c>
      <c r="C171">
        <v>0.9904042099999999</v>
      </c>
    </row>
    <row r="172" spans="1:3" x14ac:dyDescent="0.25">
      <c r="A172">
        <v>136</v>
      </c>
      <c r="B172">
        <v>41047001601</v>
      </c>
      <c r="C172">
        <v>3.9203199999999997E-3</v>
      </c>
    </row>
    <row r="173" spans="1:3" x14ac:dyDescent="0.25">
      <c r="A173">
        <v>136</v>
      </c>
      <c r="B173">
        <v>41047002502</v>
      </c>
      <c r="C173">
        <v>0.99607978000000008</v>
      </c>
    </row>
    <row r="174" spans="1:3" x14ac:dyDescent="0.25">
      <c r="A174">
        <v>137</v>
      </c>
      <c r="B174">
        <v>41047001601</v>
      </c>
      <c r="C174">
        <v>1.0999999999999999E-7</v>
      </c>
    </row>
    <row r="175" spans="1:3" x14ac:dyDescent="0.25">
      <c r="A175">
        <v>137</v>
      </c>
      <c r="B175">
        <v>41047001603</v>
      </c>
      <c r="C175">
        <v>3.8096600000000003E-3</v>
      </c>
    </row>
    <row r="176" spans="1:3" x14ac:dyDescent="0.25">
      <c r="A176">
        <v>137</v>
      </c>
      <c r="B176">
        <v>41047002502</v>
      </c>
      <c r="C176">
        <v>0.99619017999999993</v>
      </c>
    </row>
    <row r="177" spans="1:3" x14ac:dyDescent="0.25">
      <c r="A177">
        <v>138</v>
      </c>
      <c r="B177">
        <v>41047001603</v>
      </c>
      <c r="C177">
        <v>6.4800000000000003E-5</v>
      </c>
    </row>
    <row r="178" spans="1:3" x14ac:dyDescent="0.25">
      <c r="A178">
        <v>138</v>
      </c>
      <c r="B178">
        <v>41047002502</v>
      </c>
      <c r="C178">
        <v>0.98271816000000001</v>
      </c>
    </row>
    <row r="179" spans="1:3" x14ac:dyDescent="0.25">
      <c r="A179">
        <v>138</v>
      </c>
      <c r="B179">
        <v>41047002600</v>
      </c>
      <c r="C179">
        <v>1.7217050000000001E-2</v>
      </c>
    </row>
    <row r="180" spans="1:3" x14ac:dyDescent="0.25">
      <c r="A180">
        <v>139</v>
      </c>
      <c r="B180">
        <v>41047001603</v>
      </c>
      <c r="C180">
        <v>0.99729000999999995</v>
      </c>
    </row>
    <row r="181" spans="1:3" x14ac:dyDescent="0.25">
      <c r="A181">
        <v>139</v>
      </c>
      <c r="B181">
        <v>41047002502</v>
      </c>
      <c r="C181">
        <v>1.2803200000000002E-3</v>
      </c>
    </row>
    <row r="182" spans="1:3" x14ac:dyDescent="0.25">
      <c r="A182">
        <v>139</v>
      </c>
      <c r="B182">
        <v>41047002600</v>
      </c>
      <c r="C182">
        <v>1.4296600000000001E-3</v>
      </c>
    </row>
    <row r="183" spans="1:3" x14ac:dyDescent="0.25">
      <c r="A183">
        <v>140</v>
      </c>
      <c r="B183">
        <v>41047001601</v>
      </c>
      <c r="C183">
        <v>0.75481144999999994</v>
      </c>
    </row>
    <row r="184" spans="1:3" x14ac:dyDescent="0.25">
      <c r="A184">
        <v>140</v>
      </c>
      <c r="B184">
        <v>41047001603</v>
      </c>
      <c r="C184">
        <v>0.24406011</v>
      </c>
    </row>
    <row r="185" spans="1:3" x14ac:dyDescent="0.25">
      <c r="A185">
        <v>140</v>
      </c>
      <c r="B185">
        <v>41047002502</v>
      </c>
      <c r="C185">
        <v>1.12845E-3</v>
      </c>
    </row>
    <row r="186" spans="1:3" x14ac:dyDescent="0.25">
      <c r="A186">
        <v>141</v>
      </c>
      <c r="B186">
        <v>41047001601</v>
      </c>
      <c r="C186">
        <v>0.92722066999999997</v>
      </c>
    </row>
    <row r="187" spans="1:3" x14ac:dyDescent="0.25">
      <c r="A187">
        <v>141</v>
      </c>
      <c r="B187">
        <v>41047001602</v>
      </c>
      <c r="C187">
        <v>7.2779330000000003E-2</v>
      </c>
    </row>
    <row r="188" spans="1:3" x14ac:dyDescent="0.25">
      <c r="A188">
        <v>143</v>
      </c>
      <c r="B188">
        <v>41047001601</v>
      </c>
      <c r="C188">
        <v>0.95684026</v>
      </c>
    </row>
    <row r="189" spans="1:3" x14ac:dyDescent="0.25">
      <c r="A189">
        <v>143</v>
      </c>
      <c r="B189">
        <v>41047002502</v>
      </c>
      <c r="C189">
        <v>4.3159700000000002E-2</v>
      </c>
    </row>
    <row r="190" spans="1:3" x14ac:dyDescent="0.25">
      <c r="A190">
        <v>144</v>
      </c>
      <c r="B190">
        <v>41047000400</v>
      </c>
      <c r="C190">
        <v>2.7309999999999998E-5</v>
      </c>
    </row>
    <row r="191" spans="1:3" x14ac:dyDescent="0.25">
      <c r="A191">
        <v>144</v>
      </c>
      <c r="B191">
        <v>41047001601</v>
      </c>
      <c r="C191">
        <v>0.95345284000000008</v>
      </c>
    </row>
    <row r="192" spans="1:3" x14ac:dyDescent="0.25">
      <c r="A192">
        <v>144</v>
      </c>
      <c r="B192">
        <v>41047001602</v>
      </c>
      <c r="C192">
        <v>4.6519979999999996E-2</v>
      </c>
    </row>
    <row r="193" spans="1:3" x14ac:dyDescent="0.25">
      <c r="A193">
        <v>146</v>
      </c>
      <c r="B193">
        <v>41047001601</v>
      </c>
      <c r="C193">
        <v>0.90770353999999998</v>
      </c>
    </row>
    <row r="194" spans="1:3" x14ac:dyDescent="0.25">
      <c r="A194">
        <v>146</v>
      </c>
      <c r="B194">
        <v>41047001602</v>
      </c>
      <c r="C194">
        <v>8.9655079999999998E-2</v>
      </c>
    </row>
    <row r="195" spans="1:3" x14ac:dyDescent="0.25">
      <c r="A195">
        <v>146</v>
      </c>
      <c r="B195">
        <v>41047001603</v>
      </c>
      <c r="C195">
        <v>2.6413599999999997E-3</v>
      </c>
    </row>
    <row r="196" spans="1:3" x14ac:dyDescent="0.25">
      <c r="A196">
        <v>147</v>
      </c>
      <c r="B196">
        <v>41047001601</v>
      </c>
      <c r="C196">
        <v>7.5348020000000002E-2</v>
      </c>
    </row>
    <row r="197" spans="1:3" x14ac:dyDescent="0.25">
      <c r="A197">
        <v>147</v>
      </c>
      <c r="B197">
        <v>41047001602</v>
      </c>
      <c r="C197">
        <v>0.22803965999999998</v>
      </c>
    </row>
    <row r="198" spans="1:3" x14ac:dyDescent="0.25">
      <c r="A198">
        <v>147</v>
      </c>
      <c r="B198">
        <v>41047001603</v>
      </c>
      <c r="C198">
        <v>0.69661233</v>
      </c>
    </row>
    <row r="199" spans="1:3" x14ac:dyDescent="0.25">
      <c r="A199">
        <v>148</v>
      </c>
      <c r="B199">
        <v>41047001602</v>
      </c>
      <c r="C199">
        <v>0.36852524000000003</v>
      </c>
    </row>
    <row r="200" spans="1:3" x14ac:dyDescent="0.25">
      <c r="A200">
        <v>148</v>
      </c>
      <c r="B200">
        <v>41047001603</v>
      </c>
      <c r="C200">
        <v>0.63147474000000003</v>
      </c>
    </row>
    <row r="201" spans="1:3" x14ac:dyDescent="0.25">
      <c r="A201">
        <v>149</v>
      </c>
      <c r="B201">
        <v>41047001602</v>
      </c>
      <c r="C201">
        <v>0.99988328999999998</v>
      </c>
    </row>
    <row r="202" spans="1:3" x14ac:dyDescent="0.25">
      <c r="A202">
        <v>149</v>
      </c>
      <c r="B202">
        <v>41047001604</v>
      </c>
      <c r="C202">
        <v>1.1674E-4</v>
      </c>
    </row>
    <row r="203" spans="1:3" x14ac:dyDescent="0.25">
      <c r="A203">
        <v>150</v>
      </c>
      <c r="B203">
        <v>41047001602</v>
      </c>
      <c r="C203">
        <v>0.99999994999999997</v>
      </c>
    </row>
    <row r="204" spans="1:3" x14ac:dyDescent="0.25">
      <c r="A204">
        <v>151</v>
      </c>
      <c r="B204">
        <v>41047001602</v>
      </c>
      <c r="C204">
        <v>0.99850354999999991</v>
      </c>
    </row>
    <row r="205" spans="1:3" x14ac:dyDescent="0.25">
      <c r="A205">
        <v>151</v>
      </c>
      <c r="B205">
        <v>41047001604</v>
      </c>
      <c r="C205">
        <v>1.4965899999999999E-3</v>
      </c>
    </row>
    <row r="206" spans="1:3" x14ac:dyDescent="0.25">
      <c r="A206">
        <v>152</v>
      </c>
      <c r="B206">
        <v>41047001603</v>
      </c>
      <c r="C206">
        <v>0.99596793000000006</v>
      </c>
    </row>
    <row r="207" spans="1:3" x14ac:dyDescent="0.25">
      <c r="A207">
        <v>152</v>
      </c>
      <c r="B207">
        <v>41047002600</v>
      </c>
      <c r="C207">
        <v>4.0320800000000004E-3</v>
      </c>
    </row>
    <row r="208" spans="1:3" x14ac:dyDescent="0.25">
      <c r="A208">
        <v>153</v>
      </c>
      <c r="B208">
        <v>41047001603</v>
      </c>
      <c r="C208">
        <v>0.99648804000000002</v>
      </c>
    </row>
    <row r="209" spans="1:3" x14ac:dyDescent="0.25">
      <c r="A209">
        <v>153</v>
      </c>
      <c r="B209">
        <v>41047001703</v>
      </c>
      <c r="C209">
        <v>4.1685000000000002E-4</v>
      </c>
    </row>
    <row r="210" spans="1:3" x14ac:dyDescent="0.25">
      <c r="A210">
        <v>153</v>
      </c>
      <c r="B210">
        <v>41047002600</v>
      </c>
      <c r="C210">
        <v>3.0951099999999999E-3</v>
      </c>
    </row>
    <row r="211" spans="1:3" x14ac:dyDescent="0.25">
      <c r="A211">
        <v>154</v>
      </c>
      <c r="B211">
        <v>41047001602</v>
      </c>
      <c r="C211">
        <v>3.8464E-4</v>
      </c>
    </row>
    <row r="212" spans="1:3" x14ac:dyDescent="0.25">
      <c r="A212">
        <v>154</v>
      </c>
      <c r="B212">
        <v>41047001603</v>
      </c>
      <c r="C212">
        <v>0.50061526999999995</v>
      </c>
    </row>
    <row r="213" spans="1:3" x14ac:dyDescent="0.25">
      <c r="A213">
        <v>154</v>
      </c>
      <c r="B213">
        <v>41047001604</v>
      </c>
      <c r="C213">
        <v>0.49804209999999999</v>
      </c>
    </row>
    <row r="214" spans="1:3" x14ac:dyDescent="0.25">
      <c r="A214">
        <v>154</v>
      </c>
      <c r="B214">
        <v>41047001702</v>
      </c>
      <c r="C214">
        <v>9.5801000000000002E-4</v>
      </c>
    </row>
    <row r="215" spans="1:3" x14ac:dyDescent="0.25">
      <c r="A215">
        <v>155</v>
      </c>
      <c r="B215">
        <v>41047001602</v>
      </c>
      <c r="C215">
        <v>2.7910499999999998E-3</v>
      </c>
    </row>
    <row r="216" spans="1:3" x14ac:dyDescent="0.25">
      <c r="A216">
        <v>155</v>
      </c>
      <c r="B216">
        <v>41047001604</v>
      </c>
      <c r="C216">
        <v>0.99545022000000005</v>
      </c>
    </row>
    <row r="217" spans="1:3" x14ac:dyDescent="0.25">
      <c r="A217">
        <v>155</v>
      </c>
      <c r="B217">
        <v>41047001701</v>
      </c>
      <c r="C217">
        <v>2.6361000000000001E-4</v>
      </c>
    </row>
    <row r="218" spans="1:3" x14ac:dyDescent="0.25">
      <c r="A218">
        <v>155</v>
      </c>
      <c r="B218">
        <v>41047001702</v>
      </c>
      <c r="C218">
        <v>1.4951000000000001E-3</v>
      </c>
    </row>
    <row r="219" spans="1:3" x14ac:dyDescent="0.25">
      <c r="A219">
        <v>156</v>
      </c>
      <c r="B219">
        <v>41047001602</v>
      </c>
      <c r="C219">
        <v>3.8677000000000004E-4</v>
      </c>
    </row>
    <row r="220" spans="1:3" x14ac:dyDescent="0.25">
      <c r="A220">
        <v>156</v>
      </c>
      <c r="B220">
        <v>41047001604</v>
      </c>
      <c r="C220">
        <v>0.99961321000000003</v>
      </c>
    </row>
    <row r="221" spans="1:3" x14ac:dyDescent="0.25">
      <c r="A221">
        <v>158</v>
      </c>
      <c r="B221">
        <v>41047001602</v>
      </c>
      <c r="C221">
        <v>9.4617999999999992E-4</v>
      </c>
    </row>
    <row r="222" spans="1:3" x14ac:dyDescent="0.25">
      <c r="A222">
        <v>158</v>
      </c>
      <c r="B222">
        <v>41047001604</v>
      </c>
      <c r="C222">
        <v>0.99905381999999998</v>
      </c>
    </row>
    <row r="223" spans="1:3" x14ac:dyDescent="0.25">
      <c r="A223">
        <v>162</v>
      </c>
      <c r="B223">
        <v>41047001604</v>
      </c>
      <c r="C223">
        <v>0.99983399000000006</v>
      </c>
    </row>
    <row r="224" spans="1:3" x14ac:dyDescent="0.25">
      <c r="A224">
        <v>162</v>
      </c>
      <c r="B224">
        <v>41047001701</v>
      </c>
      <c r="C224">
        <v>1.6608999999999998E-4</v>
      </c>
    </row>
    <row r="225" spans="1:3" x14ac:dyDescent="0.25">
      <c r="A225">
        <v>164</v>
      </c>
      <c r="B225">
        <v>41047001604</v>
      </c>
      <c r="C225">
        <v>4.1421100000000001E-3</v>
      </c>
    </row>
    <row r="226" spans="1:3" x14ac:dyDescent="0.25">
      <c r="A226">
        <v>164</v>
      </c>
      <c r="B226">
        <v>41047001701</v>
      </c>
      <c r="C226">
        <v>0.99014028999999992</v>
      </c>
    </row>
    <row r="227" spans="1:3" x14ac:dyDescent="0.25">
      <c r="A227">
        <v>164</v>
      </c>
      <c r="B227">
        <v>41047001702</v>
      </c>
      <c r="C227">
        <v>5.7175500000000001E-3</v>
      </c>
    </row>
    <row r="228" spans="1:3" x14ac:dyDescent="0.25">
      <c r="A228">
        <v>168</v>
      </c>
      <c r="B228">
        <v>41047001603</v>
      </c>
      <c r="C228">
        <v>5.5435700000000003E-3</v>
      </c>
    </row>
    <row r="229" spans="1:3" x14ac:dyDescent="0.25">
      <c r="A229">
        <v>168</v>
      </c>
      <c r="B229">
        <v>41047001604</v>
      </c>
      <c r="C229">
        <v>8.4378999999999997E-4</v>
      </c>
    </row>
    <row r="230" spans="1:3" x14ac:dyDescent="0.25">
      <c r="A230">
        <v>168</v>
      </c>
      <c r="B230">
        <v>41047001702</v>
      </c>
      <c r="C230">
        <v>0.98733609999999994</v>
      </c>
    </row>
    <row r="231" spans="1:3" x14ac:dyDescent="0.25">
      <c r="A231">
        <v>168</v>
      </c>
      <c r="B231">
        <v>41047001703</v>
      </c>
      <c r="C231">
        <v>6.2765499999999997E-3</v>
      </c>
    </row>
    <row r="232" spans="1:3" x14ac:dyDescent="0.25">
      <c r="A232">
        <v>169</v>
      </c>
      <c r="B232">
        <v>41047001603</v>
      </c>
      <c r="C232">
        <v>4.8780500000000001E-3</v>
      </c>
    </row>
    <row r="233" spans="1:3" x14ac:dyDescent="0.25">
      <c r="A233">
        <v>169</v>
      </c>
      <c r="B233">
        <v>41047001703</v>
      </c>
      <c r="C233">
        <v>0.99512195000000003</v>
      </c>
    </row>
    <row r="234" spans="1:3" x14ac:dyDescent="0.25">
      <c r="A234">
        <v>170</v>
      </c>
      <c r="B234">
        <v>41047001603</v>
      </c>
      <c r="C234">
        <v>2.8279999999999999E-4</v>
      </c>
    </row>
    <row r="235" spans="1:3" x14ac:dyDescent="0.25">
      <c r="A235">
        <v>170</v>
      </c>
      <c r="B235">
        <v>41047001703</v>
      </c>
      <c r="C235">
        <v>0.99866151999999997</v>
      </c>
    </row>
    <row r="236" spans="1:3" x14ac:dyDescent="0.25">
      <c r="A236">
        <v>170</v>
      </c>
      <c r="B236">
        <v>41047002600</v>
      </c>
      <c r="C236">
        <v>1.05568E-3</v>
      </c>
    </row>
    <row r="237" spans="1:3" x14ac:dyDescent="0.25">
      <c r="A237">
        <v>171</v>
      </c>
      <c r="B237">
        <v>41047001703</v>
      </c>
      <c r="C237">
        <v>1</v>
      </c>
    </row>
    <row r="238" spans="1:3" x14ac:dyDescent="0.25">
      <c r="A238">
        <v>172</v>
      </c>
      <c r="B238">
        <v>41047001702</v>
      </c>
      <c r="C238">
        <v>0.44623981000000001</v>
      </c>
    </row>
    <row r="239" spans="1:3" x14ac:dyDescent="0.25">
      <c r="A239">
        <v>172</v>
      </c>
      <c r="B239">
        <v>41047001703</v>
      </c>
      <c r="C239">
        <v>0.55376015999999995</v>
      </c>
    </row>
    <row r="240" spans="1:3" x14ac:dyDescent="0.25">
      <c r="A240">
        <v>173</v>
      </c>
      <c r="B240">
        <v>41047001701</v>
      </c>
      <c r="C240">
        <v>0.53730198000000007</v>
      </c>
    </row>
    <row r="241" spans="1:3" x14ac:dyDescent="0.25">
      <c r="A241">
        <v>173</v>
      </c>
      <c r="B241">
        <v>41047001702</v>
      </c>
      <c r="C241">
        <v>0.46143892000000003</v>
      </c>
    </row>
    <row r="242" spans="1:3" x14ac:dyDescent="0.25">
      <c r="A242">
        <v>173</v>
      </c>
      <c r="B242">
        <v>41047001703</v>
      </c>
      <c r="C242">
        <v>1.25913E-3</v>
      </c>
    </row>
    <row r="243" spans="1:3" x14ac:dyDescent="0.25">
      <c r="A243">
        <v>180</v>
      </c>
      <c r="B243">
        <v>41047001701</v>
      </c>
      <c r="C243">
        <v>0.59547726000000001</v>
      </c>
    </row>
    <row r="244" spans="1:3" x14ac:dyDescent="0.25">
      <c r="A244">
        <v>180</v>
      </c>
      <c r="B244">
        <v>41047001703</v>
      </c>
      <c r="C244">
        <v>0.39816927000000002</v>
      </c>
    </row>
    <row r="245" spans="1:3" x14ac:dyDescent="0.25">
      <c r="A245">
        <v>180</v>
      </c>
      <c r="B245">
        <v>41047001801</v>
      </c>
      <c r="C245">
        <v>6.3534500000000001E-3</v>
      </c>
    </row>
    <row r="246" spans="1:3" x14ac:dyDescent="0.25">
      <c r="A246">
        <v>185</v>
      </c>
      <c r="B246">
        <v>41047001703</v>
      </c>
      <c r="C246">
        <v>0.99975656000000002</v>
      </c>
    </row>
    <row r="247" spans="1:3" x14ac:dyDescent="0.25">
      <c r="A247">
        <v>185</v>
      </c>
      <c r="B247">
        <v>41047002600</v>
      </c>
      <c r="C247">
        <v>2.4344000000000001E-4</v>
      </c>
    </row>
    <row r="248" spans="1:3" x14ac:dyDescent="0.25">
      <c r="A248">
        <v>186</v>
      </c>
      <c r="B248">
        <v>41047001703</v>
      </c>
      <c r="C248">
        <v>0.99999995999999991</v>
      </c>
    </row>
    <row r="249" spans="1:3" x14ac:dyDescent="0.25">
      <c r="A249">
        <v>189</v>
      </c>
      <c r="B249">
        <v>41047001701</v>
      </c>
      <c r="C249">
        <v>3.1305999999999999E-4</v>
      </c>
    </row>
    <row r="250" spans="1:3" x14ac:dyDescent="0.25">
      <c r="A250">
        <v>189</v>
      </c>
      <c r="B250">
        <v>41047001703</v>
      </c>
      <c r="C250">
        <v>7.8018100000000002E-3</v>
      </c>
    </row>
    <row r="251" spans="1:3" x14ac:dyDescent="0.25">
      <c r="A251">
        <v>189</v>
      </c>
      <c r="B251">
        <v>41047001801</v>
      </c>
      <c r="C251">
        <v>0.98714788999999992</v>
      </c>
    </row>
    <row r="252" spans="1:3" x14ac:dyDescent="0.25">
      <c r="A252">
        <v>189</v>
      </c>
      <c r="B252">
        <v>41047001802</v>
      </c>
      <c r="C252">
        <v>4.7373099999999998E-3</v>
      </c>
    </row>
    <row r="253" spans="1:3" x14ac:dyDescent="0.25">
      <c r="A253">
        <v>193</v>
      </c>
      <c r="B253">
        <v>41047001703</v>
      </c>
      <c r="C253">
        <v>7.5112659999999998E-2</v>
      </c>
    </row>
    <row r="254" spans="1:3" x14ac:dyDescent="0.25">
      <c r="A254">
        <v>193</v>
      </c>
      <c r="B254">
        <v>41047001802</v>
      </c>
      <c r="C254">
        <v>0.92397229999999997</v>
      </c>
    </row>
    <row r="255" spans="1:3" x14ac:dyDescent="0.25">
      <c r="A255">
        <v>193</v>
      </c>
      <c r="B255">
        <v>41047002600</v>
      </c>
      <c r="C255">
        <v>9.1498999999999997E-4</v>
      </c>
    </row>
    <row r="256" spans="1:3" x14ac:dyDescent="0.25">
      <c r="A256">
        <v>194</v>
      </c>
      <c r="B256">
        <v>41047001801</v>
      </c>
      <c r="C256">
        <v>0.99167806000000003</v>
      </c>
    </row>
    <row r="257" spans="1:3" x14ac:dyDescent="0.25">
      <c r="A257">
        <v>194</v>
      </c>
      <c r="B257">
        <v>41047001802</v>
      </c>
      <c r="C257">
        <v>2.5857900000000001E-3</v>
      </c>
    </row>
    <row r="258" spans="1:3" x14ac:dyDescent="0.25">
      <c r="A258">
        <v>194</v>
      </c>
      <c r="B258">
        <v>41047001803</v>
      </c>
      <c r="C258">
        <v>5.7361600000000006E-3</v>
      </c>
    </row>
    <row r="259" spans="1:3" x14ac:dyDescent="0.25">
      <c r="A259">
        <v>196</v>
      </c>
      <c r="B259">
        <v>41047001801</v>
      </c>
      <c r="C259">
        <v>0.37386136999999997</v>
      </c>
    </row>
    <row r="260" spans="1:3" x14ac:dyDescent="0.25">
      <c r="A260">
        <v>196</v>
      </c>
      <c r="B260">
        <v>41047001802</v>
      </c>
      <c r="C260">
        <v>0.62471263999999993</v>
      </c>
    </row>
    <row r="261" spans="1:3" x14ac:dyDescent="0.25">
      <c r="A261">
        <v>196</v>
      </c>
      <c r="B261">
        <v>41047001803</v>
      </c>
      <c r="C261">
        <v>1.4259800000000001E-3</v>
      </c>
    </row>
    <row r="262" spans="1:3" x14ac:dyDescent="0.25">
      <c r="A262">
        <v>200</v>
      </c>
      <c r="B262">
        <v>41047001801</v>
      </c>
      <c r="C262">
        <v>3.8599000000000001E-4</v>
      </c>
    </row>
    <row r="263" spans="1:3" x14ac:dyDescent="0.25">
      <c r="A263">
        <v>200</v>
      </c>
      <c r="B263">
        <v>41047001802</v>
      </c>
      <c r="C263">
        <v>0.98598950000000007</v>
      </c>
    </row>
    <row r="264" spans="1:3" x14ac:dyDescent="0.25">
      <c r="A264">
        <v>200</v>
      </c>
      <c r="B264">
        <v>41047001803</v>
      </c>
      <c r="C264">
        <v>1.3624480000000001E-2</v>
      </c>
    </row>
    <row r="265" spans="1:3" x14ac:dyDescent="0.25">
      <c r="A265">
        <v>204</v>
      </c>
      <c r="B265">
        <v>41047001802</v>
      </c>
      <c r="C265">
        <v>0.96974886999999999</v>
      </c>
    </row>
    <row r="266" spans="1:3" x14ac:dyDescent="0.25">
      <c r="A266">
        <v>204</v>
      </c>
      <c r="B266">
        <v>41047001803</v>
      </c>
      <c r="C266">
        <v>2.7860879999999998E-2</v>
      </c>
    </row>
    <row r="267" spans="1:3" x14ac:dyDescent="0.25">
      <c r="A267">
        <v>204</v>
      </c>
      <c r="B267">
        <v>41047002700</v>
      </c>
      <c r="C267">
        <v>2.3902999999999997E-3</v>
      </c>
    </row>
    <row r="268" spans="1:3" x14ac:dyDescent="0.25">
      <c r="A268">
        <v>205</v>
      </c>
      <c r="B268">
        <v>41047001802</v>
      </c>
      <c r="C268">
        <v>0.99689368</v>
      </c>
    </row>
    <row r="269" spans="1:3" x14ac:dyDescent="0.25">
      <c r="A269">
        <v>205</v>
      </c>
      <c r="B269">
        <v>41047002700</v>
      </c>
      <c r="C269">
        <v>3.1063200000000001E-3</v>
      </c>
    </row>
    <row r="270" spans="1:3" x14ac:dyDescent="0.25">
      <c r="A270">
        <v>206</v>
      </c>
      <c r="B270">
        <v>41047001802</v>
      </c>
      <c r="C270">
        <v>0.99973009000000002</v>
      </c>
    </row>
    <row r="271" spans="1:3" x14ac:dyDescent="0.25">
      <c r="A271">
        <v>206</v>
      </c>
      <c r="B271">
        <v>41047002600</v>
      </c>
      <c r="C271">
        <v>2.5000000000000002E-6</v>
      </c>
    </row>
    <row r="272" spans="1:3" x14ac:dyDescent="0.25">
      <c r="A272">
        <v>206</v>
      </c>
      <c r="B272">
        <v>41047002700</v>
      </c>
      <c r="C272">
        <v>2.6740999999999999E-4</v>
      </c>
    </row>
    <row r="273" spans="1:3" x14ac:dyDescent="0.25">
      <c r="A273">
        <v>207</v>
      </c>
      <c r="B273">
        <v>41047001802</v>
      </c>
      <c r="C273">
        <v>6.5500000000000006E-5</v>
      </c>
    </row>
    <row r="274" spans="1:3" x14ac:dyDescent="0.25">
      <c r="A274">
        <v>207</v>
      </c>
      <c r="B274">
        <v>41047001803</v>
      </c>
      <c r="C274">
        <v>8.975E-5</v>
      </c>
    </row>
    <row r="275" spans="1:3" x14ac:dyDescent="0.25">
      <c r="A275">
        <v>207</v>
      </c>
      <c r="B275">
        <v>41047002600</v>
      </c>
      <c r="C275">
        <v>4.0999999999999999E-7</v>
      </c>
    </row>
    <row r="276" spans="1:3" x14ac:dyDescent="0.25">
      <c r="A276">
        <v>207</v>
      </c>
      <c r="B276">
        <v>41047002700</v>
      </c>
      <c r="C276">
        <v>0.99984435000000005</v>
      </c>
    </row>
    <row r="277" spans="1:3" x14ac:dyDescent="0.25">
      <c r="A277">
        <v>211</v>
      </c>
      <c r="B277">
        <v>41047000400</v>
      </c>
      <c r="C277">
        <v>0.58538509999999999</v>
      </c>
    </row>
    <row r="278" spans="1:3" x14ac:dyDescent="0.25">
      <c r="A278">
        <v>211</v>
      </c>
      <c r="B278">
        <v>41047001502</v>
      </c>
      <c r="C278">
        <v>0.38455908999999999</v>
      </c>
    </row>
    <row r="279" spans="1:3" x14ac:dyDescent="0.25">
      <c r="A279">
        <v>211</v>
      </c>
      <c r="B279">
        <v>41047001503</v>
      </c>
      <c r="C279">
        <v>3.0918999999999999E-4</v>
      </c>
    </row>
    <row r="280" spans="1:3" x14ac:dyDescent="0.25">
      <c r="A280">
        <v>211</v>
      </c>
      <c r="B280">
        <v>41047001601</v>
      </c>
      <c r="C280">
        <v>1.9410130000000001E-2</v>
      </c>
    </row>
    <row r="281" spans="1:3" x14ac:dyDescent="0.25">
      <c r="A281">
        <v>211</v>
      </c>
      <c r="B281">
        <v>41047002502</v>
      </c>
      <c r="C281">
        <v>1.03365E-2</v>
      </c>
    </row>
    <row r="282" spans="1:3" x14ac:dyDescent="0.25">
      <c r="A282">
        <v>212</v>
      </c>
      <c r="B282">
        <v>41047000400</v>
      </c>
      <c r="C282">
        <v>0.96797379000000006</v>
      </c>
    </row>
    <row r="283" spans="1:3" x14ac:dyDescent="0.25">
      <c r="A283">
        <v>212</v>
      </c>
      <c r="B283">
        <v>41047000502</v>
      </c>
      <c r="C283">
        <v>1.382095E-2</v>
      </c>
    </row>
    <row r="284" spans="1:3" x14ac:dyDescent="0.25">
      <c r="A284">
        <v>212</v>
      </c>
      <c r="B284">
        <v>41047001601</v>
      </c>
      <c r="C284">
        <v>1.820519E-2</v>
      </c>
    </row>
    <row r="285" spans="1:3" x14ac:dyDescent="0.25">
      <c r="A285">
        <v>213</v>
      </c>
      <c r="B285">
        <v>41047000400</v>
      </c>
      <c r="C285">
        <v>1.0860590000000002E-2</v>
      </c>
    </row>
    <row r="286" spans="1:3" x14ac:dyDescent="0.25">
      <c r="A286">
        <v>213</v>
      </c>
      <c r="B286">
        <v>41047000502</v>
      </c>
      <c r="C286">
        <v>0.97135099999999996</v>
      </c>
    </row>
    <row r="287" spans="1:3" x14ac:dyDescent="0.25">
      <c r="A287">
        <v>213</v>
      </c>
      <c r="B287">
        <v>41047001601</v>
      </c>
      <c r="C287">
        <v>1.2423900000000001E-3</v>
      </c>
    </row>
    <row r="288" spans="1:3" x14ac:dyDescent="0.25">
      <c r="A288">
        <v>213</v>
      </c>
      <c r="B288">
        <v>41047001602</v>
      </c>
      <c r="C288">
        <v>1.6546000000000002E-2</v>
      </c>
    </row>
    <row r="289" spans="1:3" x14ac:dyDescent="0.25">
      <c r="A289">
        <v>214</v>
      </c>
      <c r="B289">
        <v>41047000501</v>
      </c>
      <c r="C289">
        <v>7.1411000000000001E-4</v>
      </c>
    </row>
    <row r="290" spans="1:3" x14ac:dyDescent="0.25">
      <c r="A290">
        <v>214</v>
      </c>
      <c r="B290">
        <v>41047000502</v>
      </c>
      <c r="C290">
        <v>0.99608463000000003</v>
      </c>
    </row>
    <row r="291" spans="1:3" x14ac:dyDescent="0.25">
      <c r="A291">
        <v>214</v>
      </c>
      <c r="B291">
        <v>41047001602</v>
      </c>
      <c r="C291">
        <v>3.2013000000000002E-3</v>
      </c>
    </row>
    <row r="292" spans="1:3" x14ac:dyDescent="0.25">
      <c r="A292">
        <v>220</v>
      </c>
      <c r="B292">
        <v>41047000300</v>
      </c>
      <c r="C292">
        <v>1.31258E-3</v>
      </c>
    </row>
    <row r="293" spans="1:3" x14ac:dyDescent="0.25">
      <c r="A293">
        <v>220</v>
      </c>
      <c r="B293">
        <v>41047000400</v>
      </c>
      <c r="C293">
        <v>0.96390034000000002</v>
      </c>
    </row>
    <row r="294" spans="1:3" x14ac:dyDescent="0.25">
      <c r="A294">
        <v>220</v>
      </c>
      <c r="B294">
        <v>41047000502</v>
      </c>
      <c r="C294">
        <v>3.478701E-2</v>
      </c>
    </row>
    <row r="295" spans="1:3" x14ac:dyDescent="0.25">
      <c r="A295">
        <v>221</v>
      </c>
      <c r="B295">
        <v>41047000400</v>
      </c>
      <c r="C295">
        <v>0.99799103</v>
      </c>
    </row>
    <row r="296" spans="1:3" x14ac:dyDescent="0.25">
      <c r="A296">
        <v>221</v>
      </c>
      <c r="B296">
        <v>41047001503</v>
      </c>
      <c r="C296">
        <v>2.0090199999999998E-3</v>
      </c>
    </row>
    <row r="297" spans="1:3" x14ac:dyDescent="0.25">
      <c r="A297">
        <v>222</v>
      </c>
      <c r="B297">
        <v>41047000400</v>
      </c>
      <c r="C297">
        <v>0.72929303000000001</v>
      </c>
    </row>
    <row r="298" spans="1:3" x14ac:dyDescent="0.25">
      <c r="A298">
        <v>222</v>
      </c>
      <c r="B298">
        <v>41047001502</v>
      </c>
      <c r="C298">
        <v>5.6487799999999999E-3</v>
      </c>
    </row>
    <row r="299" spans="1:3" x14ac:dyDescent="0.25">
      <c r="A299">
        <v>222</v>
      </c>
      <c r="B299">
        <v>41047001503</v>
      </c>
      <c r="C299">
        <v>0.26505812000000001</v>
      </c>
    </row>
    <row r="300" spans="1:3" x14ac:dyDescent="0.25">
      <c r="A300">
        <v>223</v>
      </c>
      <c r="B300">
        <v>41047000400</v>
      </c>
      <c r="C300">
        <v>0.99999996999999996</v>
      </c>
    </row>
    <row r="301" spans="1:3" x14ac:dyDescent="0.25">
      <c r="A301">
        <v>224</v>
      </c>
      <c r="B301">
        <v>41047000400</v>
      </c>
      <c r="C301">
        <v>1</v>
      </c>
    </row>
    <row r="302" spans="1:3" x14ac:dyDescent="0.25">
      <c r="A302">
        <v>225</v>
      </c>
      <c r="B302">
        <v>41047000400</v>
      </c>
      <c r="C302">
        <v>1</v>
      </c>
    </row>
    <row r="303" spans="1:3" x14ac:dyDescent="0.25">
      <c r="A303">
        <v>226</v>
      </c>
      <c r="B303">
        <v>41047000300</v>
      </c>
      <c r="C303">
        <v>0.10037491</v>
      </c>
    </row>
    <row r="304" spans="1:3" x14ac:dyDescent="0.25">
      <c r="A304">
        <v>226</v>
      </c>
      <c r="B304">
        <v>41047000400</v>
      </c>
      <c r="C304">
        <v>0.8766940700000001</v>
      </c>
    </row>
    <row r="305" spans="1:3" x14ac:dyDescent="0.25">
      <c r="A305">
        <v>226</v>
      </c>
      <c r="B305">
        <v>41053005202</v>
      </c>
      <c r="C305">
        <v>2.293104E-2</v>
      </c>
    </row>
    <row r="306" spans="1:3" x14ac:dyDescent="0.25">
      <c r="A306">
        <v>227</v>
      </c>
      <c r="B306">
        <v>41047000200</v>
      </c>
      <c r="C306">
        <v>2.7910400000000003E-3</v>
      </c>
    </row>
    <row r="307" spans="1:3" x14ac:dyDescent="0.25">
      <c r="A307">
        <v>227</v>
      </c>
      <c r="B307">
        <v>41047000300</v>
      </c>
      <c r="C307">
        <v>0.92879461000000008</v>
      </c>
    </row>
    <row r="308" spans="1:3" x14ac:dyDescent="0.25">
      <c r="A308">
        <v>227</v>
      </c>
      <c r="B308">
        <v>41047000400</v>
      </c>
      <c r="C308">
        <v>2.7074E-4</v>
      </c>
    </row>
    <row r="309" spans="1:3" x14ac:dyDescent="0.25">
      <c r="A309">
        <v>227</v>
      </c>
      <c r="B309">
        <v>41053005202</v>
      </c>
      <c r="C309">
        <v>6.8143549999999997E-2</v>
      </c>
    </row>
    <row r="310" spans="1:3" x14ac:dyDescent="0.25">
      <c r="A310">
        <v>229</v>
      </c>
      <c r="B310">
        <v>41047000300</v>
      </c>
      <c r="C310">
        <v>1.41876E-3</v>
      </c>
    </row>
    <row r="311" spans="1:3" x14ac:dyDescent="0.25">
      <c r="A311">
        <v>229</v>
      </c>
      <c r="B311">
        <v>41047000400</v>
      </c>
      <c r="C311">
        <v>0.99858115999999997</v>
      </c>
    </row>
    <row r="312" spans="1:3" x14ac:dyDescent="0.25">
      <c r="A312">
        <v>230</v>
      </c>
      <c r="B312">
        <v>41047000300</v>
      </c>
      <c r="C312">
        <v>2.3030999999999998E-4</v>
      </c>
    </row>
    <row r="313" spans="1:3" x14ac:dyDescent="0.25">
      <c r="A313">
        <v>230</v>
      </c>
      <c r="B313">
        <v>41047000400</v>
      </c>
      <c r="C313">
        <v>0.99976977</v>
      </c>
    </row>
    <row r="314" spans="1:3" x14ac:dyDescent="0.25">
      <c r="A314">
        <v>231</v>
      </c>
      <c r="B314">
        <v>41047000300</v>
      </c>
      <c r="C314">
        <v>0.99877347999999999</v>
      </c>
    </row>
    <row r="315" spans="1:3" x14ac:dyDescent="0.25">
      <c r="A315">
        <v>231</v>
      </c>
      <c r="B315">
        <v>41047000400</v>
      </c>
      <c r="C315">
        <v>1.22649E-3</v>
      </c>
    </row>
    <row r="316" spans="1:3" x14ac:dyDescent="0.25">
      <c r="A316">
        <v>232</v>
      </c>
      <c r="B316">
        <v>41047000200</v>
      </c>
      <c r="C316">
        <v>2.6220200000000001E-3</v>
      </c>
    </row>
    <row r="317" spans="1:3" x14ac:dyDescent="0.25">
      <c r="A317">
        <v>232</v>
      </c>
      <c r="B317">
        <v>41047000300</v>
      </c>
      <c r="C317">
        <v>0.99737801000000004</v>
      </c>
    </row>
    <row r="318" spans="1:3" x14ac:dyDescent="0.25">
      <c r="A318">
        <v>233</v>
      </c>
      <c r="B318">
        <v>41047000300</v>
      </c>
      <c r="C318">
        <v>1</v>
      </c>
    </row>
    <row r="319" spans="1:3" x14ac:dyDescent="0.25">
      <c r="A319">
        <v>234</v>
      </c>
      <c r="B319">
        <v>41047000300</v>
      </c>
      <c r="C319">
        <v>0.99484385000000009</v>
      </c>
    </row>
    <row r="320" spans="1:3" x14ac:dyDescent="0.25">
      <c r="A320">
        <v>234</v>
      </c>
      <c r="B320">
        <v>41047000400</v>
      </c>
      <c r="C320">
        <v>5.1560199999999999E-3</v>
      </c>
    </row>
    <row r="321" spans="1:3" x14ac:dyDescent="0.25">
      <c r="A321">
        <v>235</v>
      </c>
      <c r="B321">
        <v>41047000300</v>
      </c>
      <c r="C321">
        <v>4.6719600000000002E-3</v>
      </c>
    </row>
    <row r="322" spans="1:3" x14ac:dyDescent="0.25">
      <c r="A322">
        <v>235</v>
      </c>
      <c r="B322">
        <v>41047000400</v>
      </c>
      <c r="C322">
        <v>0.99532804999999991</v>
      </c>
    </row>
    <row r="323" spans="1:3" x14ac:dyDescent="0.25">
      <c r="A323">
        <v>236</v>
      </c>
      <c r="B323">
        <v>41047000300</v>
      </c>
      <c r="C323">
        <v>3.5243440000000001E-2</v>
      </c>
    </row>
    <row r="324" spans="1:3" x14ac:dyDescent="0.25">
      <c r="A324">
        <v>236</v>
      </c>
      <c r="B324">
        <v>41047000501</v>
      </c>
      <c r="C324">
        <v>9.99098E-3</v>
      </c>
    </row>
    <row r="325" spans="1:3" x14ac:dyDescent="0.25">
      <c r="A325">
        <v>236</v>
      </c>
      <c r="B325">
        <v>41047000502</v>
      </c>
      <c r="C325">
        <v>0.95476564999999991</v>
      </c>
    </row>
    <row r="326" spans="1:3" x14ac:dyDescent="0.25">
      <c r="A326">
        <v>237</v>
      </c>
      <c r="B326">
        <v>41047000501</v>
      </c>
      <c r="C326">
        <v>2.29035E-3</v>
      </c>
    </row>
    <row r="327" spans="1:3" x14ac:dyDescent="0.25">
      <c r="A327">
        <v>237</v>
      </c>
      <c r="B327">
        <v>41047000502</v>
      </c>
      <c r="C327">
        <v>0.99770951999999991</v>
      </c>
    </row>
    <row r="328" spans="1:3" x14ac:dyDescent="0.25">
      <c r="A328">
        <v>238</v>
      </c>
      <c r="B328">
        <v>41047000200</v>
      </c>
      <c r="C328">
        <v>0.89900086999999995</v>
      </c>
    </row>
    <row r="329" spans="1:3" x14ac:dyDescent="0.25">
      <c r="A329">
        <v>238</v>
      </c>
      <c r="B329">
        <v>41047000300</v>
      </c>
      <c r="C329">
        <v>4.7127920000000004E-2</v>
      </c>
    </row>
    <row r="330" spans="1:3" x14ac:dyDescent="0.25">
      <c r="A330">
        <v>238</v>
      </c>
      <c r="B330">
        <v>41053005202</v>
      </c>
      <c r="C330">
        <v>5.3871209999999996E-2</v>
      </c>
    </row>
    <row r="331" spans="1:3" x14ac:dyDescent="0.25">
      <c r="A331">
        <v>242</v>
      </c>
      <c r="B331">
        <v>41047000200</v>
      </c>
      <c r="C331">
        <v>2.3939899999999999E-3</v>
      </c>
    </row>
    <row r="332" spans="1:3" x14ac:dyDescent="0.25">
      <c r="A332">
        <v>242</v>
      </c>
      <c r="B332">
        <v>41047000300</v>
      </c>
      <c r="C332">
        <v>0.99664574000000006</v>
      </c>
    </row>
    <row r="333" spans="1:3" x14ac:dyDescent="0.25">
      <c r="A333">
        <v>242</v>
      </c>
      <c r="B333">
        <v>41047000600</v>
      </c>
      <c r="C333">
        <v>9.6027000000000005E-4</v>
      </c>
    </row>
    <row r="334" spans="1:3" x14ac:dyDescent="0.25">
      <c r="A334">
        <v>243</v>
      </c>
      <c r="B334">
        <v>41047000300</v>
      </c>
      <c r="C334">
        <v>3.5548389999999999E-2</v>
      </c>
    </row>
    <row r="335" spans="1:3" x14ac:dyDescent="0.25">
      <c r="A335">
        <v>243</v>
      </c>
      <c r="B335">
        <v>41047000501</v>
      </c>
      <c r="C335">
        <v>0.95830623000000004</v>
      </c>
    </row>
    <row r="336" spans="1:3" x14ac:dyDescent="0.25">
      <c r="A336">
        <v>243</v>
      </c>
      <c r="B336">
        <v>41047000502</v>
      </c>
      <c r="C336">
        <v>2.8691400000000001E-3</v>
      </c>
    </row>
    <row r="337" spans="1:3" x14ac:dyDescent="0.25">
      <c r="A337">
        <v>243</v>
      </c>
      <c r="B337">
        <v>41047000600</v>
      </c>
      <c r="C337">
        <v>3.2762200000000003E-3</v>
      </c>
    </row>
    <row r="338" spans="1:3" x14ac:dyDescent="0.25">
      <c r="A338">
        <v>244</v>
      </c>
      <c r="B338">
        <v>41047000300</v>
      </c>
      <c r="C338">
        <v>6.9940599999999999E-3</v>
      </c>
    </row>
    <row r="339" spans="1:3" x14ac:dyDescent="0.25">
      <c r="A339">
        <v>244</v>
      </c>
      <c r="B339">
        <v>41047000501</v>
      </c>
      <c r="C339">
        <v>7.7221600000000005E-3</v>
      </c>
    </row>
    <row r="340" spans="1:3" x14ac:dyDescent="0.25">
      <c r="A340">
        <v>244</v>
      </c>
      <c r="B340">
        <v>41047000600</v>
      </c>
      <c r="C340">
        <v>0.98528380999999998</v>
      </c>
    </row>
    <row r="341" spans="1:3" x14ac:dyDescent="0.25">
      <c r="A341">
        <v>245</v>
      </c>
      <c r="B341">
        <v>41047000200</v>
      </c>
      <c r="C341">
        <v>4.93035E-3</v>
      </c>
    </row>
    <row r="342" spans="1:3" x14ac:dyDescent="0.25">
      <c r="A342">
        <v>245</v>
      </c>
      <c r="B342">
        <v>41047000600</v>
      </c>
      <c r="C342">
        <v>0.99506963999999998</v>
      </c>
    </row>
    <row r="343" spans="1:3" x14ac:dyDescent="0.25">
      <c r="A343">
        <v>246</v>
      </c>
      <c r="B343">
        <v>41047000200</v>
      </c>
      <c r="C343">
        <v>0.99760439000000001</v>
      </c>
    </row>
    <row r="344" spans="1:3" x14ac:dyDescent="0.25">
      <c r="A344">
        <v>246</v>
      </c>
      <c r="B344">
        <v>41047000600</v>
      </c>
      <c r="C344">
        <v>2.3955999999999999E-3</v>
      </c>
    </row>
    <row r="345" spans="1:3" x14ac:dyDescent="0.25">
      <c r="A345">
        <v>249</v>
      </c>
      <c r="B345">
        <v>41047000200</v>
      </c>
      <c r="C345">
        <v>0.99536345999999998</v>
      </c>
    </row>
    <row r="346" spans="1:3" x14ac:dyDescent="0.25">
      <c r="A346">
        <v>249</v>
      </c>
      <c r="B346">
        <v>41047001300</v>
      </c>
      <c r="C346">
        <v>4.6365299999999998E-3</v>
      </c>
    </row>
    <row r="347" spans="1:3" x14ac:dyDescent="0.25">
      <c r="A347">
        <v>254</v>
      </c>
      <c r="B347">
        <v>41047000200</v>
      </c>
      <c r="C347">
        <v>8.0074599999999992E-3</v>
      </c>
    </row>
    <row r="348" spans="1:3" x14ac:dyDescent="0.25">
      <c r="A348">
        <v>254</v>
      </c>
      <c r="B348">
        <v>41047000600</v>
      </c>
      <c r="C348">
        <v>0.94144600999999994</v>
      </c>
    </row>
    <row r="349" spans="1:3" x14ac:dyDescent="0.25">
      <c r="A349">
        <v>254</v>
      </c>
      <c r="B349">
        <v>41047000701</v>
      </c>
      <c r="C349">
        <v>4.4204470000000003E-2</v>
      </c>
    </row>
    <row r="350" spans="1:3" x14ac:dyDescent="0.25">
      <c r="A350">
        <v>254</v>
      </c>
      <c r="B350">
        <v>41047000900</v>
      </c>
      <c r="C350">
        <v>6.34207E-3</v>
      </c>
    </row>
    <row r="351" spans="1:3" x14ac:dyDescent="0.25">
      <c r="A351">
        <v>256</v>
      </c>
      <c r="B351">
        <v>41047000200</v>
      </c>
      <c r="C351">
        <v>6.8234099999999994E-3</v>
      </c>
    </row>
    <row r="352" spans="1:3" x14ac:dyDescent="0.25">
      <c r="A352">
        <v>256</v>
      </c>
      <c r="B352">
        <v>41047000600</v>
      </c>
      <c r="C352">
        <v>4.22478E-3</v>
      </c>
    </row>
    <row r="353" spans="1:3" x14ac:dyDescent="0.25">
      <c r="A353">
        <v>256</v>
      </c>
      <c r="B353">
        <v>41047000900</v>
      </c>
      <c r="C353">
        <v>0.98895189000000006</v>
      </c>
    </row>
    <row r="354" spans="1:3" x14ac:dyDescent="0.25">
      <c r="A354">
        <v>257</v>
      </c>
      <c r="B354">
        <v>41047000900</v>
      </c>
      <c r="C354">
        <v>0.99999984999999991</v>
      </c>
    </row>
    <row r="355" spans="1:3" x14ac:dyDescent="0.25">
      <c r="A355">
        <v>258</v>
      </c>
      <c r="B355">
        <v>41047000900</v>
      </c>
      <c r="C355">
        <v>0.91684736</v>
      </c>
    </row>
    <row r="356" spans="1:3" x14ac:dyDescent="0.25">
      <c r="A356">
        <v>258</v>
      </c>
      <c r="B356">
        <v>41047001000</v>
      </c>
      <c r="C356">
        <v>8.3152740000000003E-2</v>
      </c>
    </row>
    <row r="357" spans="1:3" x14ac:dyDescent="0.25">
      <c r="A357">
        <v>259</v>
      </c>
      <c r="B357">
        <v>41047000200</v>
      </c>
      <c r="C357">
        <v>3.0760990000000002E-2</v>
      </c>
    </row>
    <row r="358" spans="1:3" x14ac:dyDescent="0.25">
      <c r="A358">
        <v>259</v>
      </c>
      <c r="B358">
        <v>41047000900</v>
      </c>
      <c r="C358">
        <v>0.94840950000000002</v>
      </c>
    </row>
    <row r="359" spans="1:3" x14ac:dyDescent="0.25">
      <c r="A359">
        <v>259</v>
      </c>
      <c r="B359">
        <v>41047001000</v>
      </c>
      <c r="C359">
        <v>2.0636169999999999E-2</v>
      </c>
    </row>
    <row r="360" spans="1:3" x14ac:dyDescent="0.25">
      <c r="A360">
        <v>259</v>
      </c>
      <c r="B360">
        <v>41047001200</v>
      </c>
      <c r="C360">
        <v>1.9345000000000001E-4</v>
      </c>
    </row>
    <row r="361" spans="1:3" x14ac:dyDescent="0.25">
      <c r="A361">
        <v>260</v>
      </c>
      <c r="B361">
        <v>41047000200</v>
      </c>
      <c r="C361">
        <v>0.99729997999999997</v>
      </c>
    </row>
    <row r="362" spans="1:3" x14ac:dyDescent="0.25">
      <c r="A362">
        <v>260</v>
      </c>
      <c r="B362">
        <v>41047001200</v>
      </c>
      <c r="C362">
        <v>2.6999699999999999E-3</v>
      </c>
    </row>
    <row r="363" spans="1:3" x14ac:dyDescent="0.25">
      <c r="A363">
        <v>261</v>
      </c>
      <c r="B363">
        <v>41047000200</v>
      </c>
      <c r="C363">
        <v>0.99978266000000005</v>
      </c>
    </row>
    <row r="364" spans="1:3" x14ac:dyDescent="0.25">
      <c r="A364">
        <v>261</v>
      </c>
      <c r="B364">
        <v>41047001200</v>
      </c>
      <c r="C364">
        <v>2.1740999999999999E-4</v>
      </c>
    </row>
    <row r="365" spans="1:3" x14ac:dyDescent="0.25">
      <c r="A365">
        <v>279</v>
      </c>
      <c r="B365">
        <v>41047000200</v>
      </c>
      <c r="C365">
        <v>1</v>
      </c>
    </row>
    <row r="366" spans="1:3" x14ac:dyDescent="0.25">
      <c r="A366">
        <v>280</v>
      </c>
      <c r="B366">
        <v>41047000200</v>
      </c>
      <c r="C366">
        <v>1</v>
      </c>
    </row>
    <row r="367" spans="1:3" x14ac:dyDescent="0.25">
      <c r="A367">
        <v>281</v>
      </c>
      <c r="B367">
        <v>41047000200</v>
      </c>
      <c r="C367">
        <v>0.99800241000000001</v>
      </c>
    </row>
    <row r="368" spans="1:3" x14ac:dyDescent="0.25">
      <c r="A368">
        <v>281</v>
      </c>
      <c r="B368">
        <v>41047001300</v>
      </c>
      <c r="C368">
        <v>1.9975399999999999E-3</v>
      </c>
    </row>
    <row r="369" spans="1:3" x14ac:dyDescent="0.25">
      <c r="A369">
        <v>282</v>
      </c>
      <c r="B369">
        <v>41047000501</v>
      </c>
      <c r="C369">
        <v>0.88893559999999994</v>
      </c>
    </row>
    <row r="370" spans="1:3" x14ac:dyDescent="0.25">
      <c r="A370">
        <v>282</v>
      </c>
      <c r="B370">
        <v>41047000502</v>
      </c>
      <c r="C370">
        <v>8.2554999999999998E-4</v>
      </c>
    </row>
    <row r="371" spans="1:3" x14ac:dyDescent="0.25">
      <c r="A371">
        <v>282</v>
      </c>
      <c r="B371">
        <v>41047000600</v>
      </c>
      <c r="C371">
        <v>0.11023885</v>
      </c>
    </row>
    <row r="372" spans="1:3" x14ac:dyDescent="0.25">
      <c r="A372">
        <v>283</v>
      </c>
      <c r="B372">
        <v>41047000501</v>
      </c>
      <c r="C372">
        <v>0.99957821999999996</v>
      </c>
    </row>
    <row r="373" spans="1:3" x14ac:dyDescent="0.25">
      <c r="A373">
        <v>283</v>
      </c>
      <c r="B373">
        <v>41047000502</v>
      </c>
      <c r="C373">
        <v>4.2175999999999997E-4</v>
      </c>
    </row>
    <row r="374" spans="1:3" x14ac:dyDescent="0.25">
      <c r="A374">
        <v>284</v>
      </c>
      <c r="B374">
        <v>41047000501</v>
      </c>
      <c r="C374">
        <v>0.98869709000000006</v>
      </c>
    </row>
    <row r="375" spans="1:3" x14ac:dyDescent="0.25">
      <c r="A375">
        <v>284</v>
      </c>
      <c r="B375">
        <v>41047000502</v>
      </c>
      <c r="C375">
        <v>2.76736E-3</v>
      </c>
    </row>
    <row r="376" spans="1:3" x14ac:dyDescent="0.25">
      <c r="A376">
        <v>284</v>
      </c>
      <c r="B376">
        <v>41047001602</v>
      </c>
      <c r="C376">
        <v>1.7229999999999999E-5</v>
      </c>
    </row>
    <row r="377" spans="1:3" x14ac:dyDescent="0.25">
      <c r="A377">
        <v>284</v>
      </c>
      <c r="B377">
        <v>41047001604</v>
      </c>
      <c r="C377">
        <v>8.5182999999999995E-3</v>
      </c>
    </row>
    <row r="378" spans="1:3" x14ac:dyDescent="0.25">
      <c r="A378">
        <v>285</v>
      </c>
      <c r="B378">
        <v>41047000600</v>
      </c>
      <c r="C378">
        <v>0.99376659000000001</v>
      </c>
    </row>
    <row r="379" spans="1:3" x14ac:dyDescent="0.25">
      <c r="A379">
        <v>285</v>
      </c>
      <c r="B379">
        <v>41047000701</v>
      </c>
      <c r="C379">
        <v>6.23341E-3</v>
      </c>
    </row>
    <row r="380" spans="1:3" x14ac:dyDescent="0.25">
      <c r="A380">
        <v>286</v>
      </c>
      <c r="B380">
        <v>41047000501</v>
      </c>
      <c r="C380">
        <v>3.5221499999999999E-3</v>
      </c>
    </row>
    <row r="381" spans="1:3" x14ac:dyDescent="0.25">
      <c r="A381">
        <v>286</v>
      </c>
      <c r="B381">
        <v>41047000600</v>
      </c>
      <c r="C381">
        <v>5.8983319999999999E-2</v>
      </c>
    </row>
    <row r="382" spans="1:3" x14ac:dyDescent="0.25">
      <c r="A382">
        <v>286</v>
      </c>
      <c r="B382">
        <v>41047000701</v>
      </c>
      <c r="C382">
        <v>0.92668622</v>
      </c>
    </row>
    <row r="383" spans="1:3" x14ac:dyDescent="0.25">
      <c r="A383">
        <v>286</v>
      </c>
      <c r="B383">
        <v>41047001604</v>
      </c>
      <c r="C383">
        <v>7.2800000000000006E-6</v>
      </c>
    </row>
    <row r="384" spans="1:3" x14ac:dyDescent="0.25">
      <c r="A384">
        <v>286</v>
      </c>
      <c r="B384">
        <v>41047001701</v>
      </c>
      <c r="C384">
        <v>1.0801089999999999E-2</v>
      </c>
    </row>
    <row r="385" spans="1:3" x14ac:dyDescent="0.25">
      <c r="A385">
        <v>289</v>
      </c>
      <c r="B385">
        <v>41047000600</v>
      </c>
      <c r="C385">
        <v>0.98795856999999998</v>
      </c>
    </row>
    <row r="386" spans="1:3" x14ac:dyDescent="0.25">
      <c r="A386">
        <v>289</v>
      </c>
      <c r="B386">
        <v>41047000701</v>
      </c>
      <c r="C386">
        <v>1.2041400000000001E-2</v>
      </c>
    </row>
    <row r="387" spans="1:3" x14ac:dyDescent="0.25">
      <c r="A387">
        <v>290</v>
      </c>
      <c r="B387">
        <v>41047000600</v>
      </c>
      <c r="C387">
        <v>4.1427E-4</v>
      </c>
    </row>
    <row r="388" spans="1:3" x14ac:dyDescent="0.25">
      <c r="A388">
        <v>290</v>
      </c>
      <c r="B388">
        <v>41047000701</v>
      </c>
      <c r="C388">
        <v>0.99958566000000004</v>
      </c>
    </row>
    <row r="389" spans="1:3" x14ac:dyDescent="0.25">
      <c r="A389">
        <v>294</v>
      </c>
      <c r="B389">
        <v>41047000701</v>
      </c>
      <c r="C389">
        <v>0.99999994000000003</v>
      </c>
    </row>
    <row r="390" spans="1:3" x14ac:dyDescent="0.25">
      <c r="A390">
        <v>295</v>
      </c>
      <c r="B390">
        <v>41047000701</v>
      </c>
      <c r="C390">
        <v>0.99999989999999994</v>
      </c>
    </row>
    <row r="391" spans="1:3" x14ac:dyDescent="0.25">
      <c r="A391">
        <v>296</v>
      </c>
      <c r="B391">
        <v>41047000701</v>
      </c>
      <c r="C391">
        <v>0.86910357000000005</v>
      </c>
    </row>
    <row r="392" spans="1:3" x14ac:dyDescent="0.25">
      <c r="A392">
        <v>296</v>
      </c>
      <c r="B392">
        <v>41047001701</v>
      </c>
      <c r="C392">
        <v>0.13089612</v>
      </c>
    </row>
    <row r="393" spans="1:3" x14ac:dyDescent="0.25">
      <c r="A393">
        <v>298</v>
      </c>
      <c r="B393">
        <v>41047000600</v>
      </c>
      <c r="C393">
        <v>3.6440000000000003E-5</v>
      </c>
    </row>
    <row r="394" spans="1:3" x14ac:dyDescent="0.25">
      <c r="A394">
        <v>298</v>
      </c>
      <c r="B394">
        <v>41047000701</v>
      </c>
      <c r="C394">
        <v>0.28343716000000002</v>
      </c>
    </row>
    <row r="395" spans="1:3" x14ac:dyDescent="0.25">
      <c r="A395">
        <v>298</v>
      </c>
      <c r="B395">
        <v>41047000900</v>
      </c>
      <c r="C395">
        <v>0.71630495999999999</v>
      </c>
    </row>
    <row r="396" spans="1:3" x14ac:dyDescent="0.25">
      <c r="A396">
        <v>298</v>
      </c>
      <c r="B396">
        <v>41047001000</v>
      </c>
      <c r="C396">
        <v>2.2137E-4</v>
      </c>
    </row>
    <row r="397" spans="1:3" x14ac:dyDescent="0.25">
      <c r="A397">
        <v>299</v>
      </c>
      <c r="B397">
        <v>41047000600</v>
      </c>
      <c r="C397">
        <v>2.4479999999999999E-5</v>
      </c>
    </row>
    <row r="398" spans="1:3" x14ac:dyDescent="0.25">
      <c r="A398">
        <v>299</v>
      </c>
      <c r="B398">
        <v>41047000701</v>
      </c>
      <c r="C398">
        <v>0.99784538999999994</v>
      </c>
    </row>
    <row r="399" spans="1:3" x14ac:dyDescent="0.25">
      <c r="A399">
        <v>299</v>
      </c>
      <c r="B399">
        <v>41047001000</v>
      </c>
      <c r="C399">
        <v>2.1301499999999999E-3</v>
      </c>
    </row>
    <row r="400" spans="1:3" x14ac:dyDescent="0.25">
      <c r="A400">
        <v>300</v>
      </c>
      <c r="B400">
        <v>41047000701</v>
      </c>
      <c r="C400">
        <v>0.96435993999999992</v>
      </c>
    </row>
    <row r="401" spans="1:3" x14ac:dyDescent="0.25">
      <c r="A401">
        <v>300</v>
      </c>
      <c r="B401">
        <v>41047001701</v>
      </c>
      <c r="C401">
        <v>2.520387E-2</v>
      </c>
    </row>
    <row r="402" spans="1:3" x14ac:dyDescent="0.25">
      <c r="A402">
        <v>300</v>
      </c>
      <c r="B402">
        <v>41047001801</v>
      </c>
      <c r="C402">
        <v>1.043615E-2</v>
      </c>
    </row>
    <row r="403" spans="1:3" x14ac:dyDescent="0.25">
      <c r="A403">
        <v>301</v>
      </c>
      <c r="B403">
        <v>41047000900</v>
      </c>
      <c r="C403">
        <v>0.99999999000000006</v>
      </c>
    </row>
    <row r="404" spans="1:3" x14ac:dyDescent="0.25">
      <c r="A404">
        <v>302</v>
      </c>
      <c r="B404">
        <v>41047000701</v>
      </c>
      <c r="C404">
        <v>1.4034E-4</v>
      </c>
    </row>
    <row r="405" spans="1:3" x14ac:dyDescent="0.25">
      <c r="A405">
        <v>302</v>
      </c>
      <c r="B405">
        <v>41047000900</v>
      </c>
      <c r="C405">
        <v>0.81434650000000008</v>
      </c>
    </row>
    <row r="406" spans="1:3" x14ac:dyDescent="0.25">
      <c r="A406">
        <v>302</v>
      </c>
      <c r="B406">
        <v>41047001000</v>
      </c>
      <c r="C406">
        <v>0.18551321000000001</v>
      </c>
    </row>
    <row r="407" spans="1:3" x14ac:dyDescent="0.25">
      <c r="A407">
        <v>303</v>
      </c>
      <c r="B407">
        <v>41047000900</v>
      </c>
      <c r="C407">
        <v>0.81620433000000003</v>
      </c>
    </row>
    <row r="408" spans="1:3" x14ac:dyDescent="0.25">
      <c r="A408">
        <v>303</v>
      </c>
      <c r="B408">
        <v>41047001000</v>
      </c>
      <c r="C408">
        <v>0.18379567999999999</v>
      </c>
    </row>
    <row r="409" spans="1:3" x14ac:dyDescent="0.25">
      <c r="A409">
        <v>304</v>
      </c>
      <c r="B409">
        <v>41047000701</v>
      </c>
      <c r="C409">
        <v>2.11582E-3</v>
      </c>
    </row>
    <row r="410" spans="1:3" x14ac:dyDescent="0.25">
      <c r="A410">
        <v>304</v>
      </c>
      <c r="B410">
        <v>41047000900</v>
      </c>
      <c r="C410">
        <v>3.4539999999999998E-5</v>
      </c>
    </row>
    <row r="411" spans="1:3" x14ac:dyDescent="0.25">
      <c r="A411">
        <v>304</v>
      </c>
      <c r="B411">
        <v>41047001000</v>
      </c>
      <c r="C411">
        <v>0.99051389999999995</v>
      </c>
    </row>
    <row r="412" spans="1:3" x14ac:dyDescent="0.25">
      <c r="A412">
        <v>304</v>
      </c>
      <c r="B412">
        <v>41047001801</v>
      </c>
      <c r="C412">
        <v>7.3050700000000003E-3</v>
      </c>
    </row>
    <row r="413" spans="1:3" x14ac:dyDescent="0.25">
      <c r="A413">
        <v>304</v>
      </c>
      <c r="B413">
        <v>41047001803</v>
      </c>
      <c r="C413">
        <v>3.0639999999999998E-5</v>
      </c>
    </row>
    <row r="414" spans="1:3" x14ac:dyDescent="0.25">
      <c r="A414">
        <v>309</v>
      </c>
      <c r="B414">
        <v>41047000200</v>
      </c>
      <c r="C414">
        <v>1.6135750000000001E-2</v>
      </c>
    </row>
    <row r="415" spans="1:3" x14ac:dyDescent="0.25">
      <c r="A415">
        <v>309</v>
      </c>
      <c r="B415">
        <v>41047001200</v>
      </c>
      <c r="C415">
        <v>2.13357E-3</v>
      </c>
    </row>
    <row r="416" spans="1:3" x14ac:dyDescent="0.25">
      <c r="A416">
        <v>309</v>
      </c>
      <c r="B416">
        <v>41047001300</v>
      </c>
      <c r="C416">
        <v>0.98173074000000005</v>
      </c>
    </row>
    <row r="417" spans="1:3" x14ac:dyDescent="0.25">
      <c r="A417">
        <v>310</v>
      </c>
      <c r="B417">
        <v>41047000200</v>
      </c>
      <c r="C417">
        <v>3.1513299999999999E-3</v>
      </c>
    </row>
    <row r="418" spans="1:3" x14ac:dyDescent="0.25">
      <c r="A418">
        <v>310</v>
      </c>
      <c r="B418">
        <v>41047001200</v>
      </c>
      <c r="C418">
        <v>0.99590869999999998</v>
      </c>
    </row>
    <row r="419" spans="1:3" x14ac:dyDescent="0.25">
      <c r="A419">
        <v>310</v>
      </c>
      <c r="B419">
        <v>41047001300</v>
      </c>
      <c r="C419">
        <v>9.3993999999999989E-4</v>
      </c>
    </row>
    <row r="420" spans="1:3" x14ac:dyDescent="0.25">
      <c r="A420">
        <v>312</v>
      </c>
      <c r="B420">
        <v>41047001000</v>
      </c>
      <c r="C420">
        <v>0.96399495999999996</v>
      </c>
    </row>
    <row r="421" spans="1:3" x14ac:dyDescent="0.25">
      <c r="A421">
        <v>312</v>
      </c>
      <c r="B421">
        <v>41047001200</v>
      </c>
      <c r="C421">
        <v>3.600503E-2</v>
      </c>
    </row>
    <row r="422" spans="1:3" x14ac:dyDescent="0.25">
      <c r="A422">
        <v>313</v>
      </c>
      <c r="B422">
        <v>41047000900</v>
      </c>
      <c r="C422">
        <v>5.6982100000000004E-3</v>
      </c>
    </row>
    <row r="423" spans="1:3" x14ac:dyDescent="0.25">
      <c r="A423">
        <v>313</v>
      </c>
      <c r="B423">
        <v>41047001000</v>
      </c>
      <c r="C423">
        <v>0.99430178999999996</v>
      </c>
    </row>
    <row r="424" spans="1:3" x14ac:dyDescent="0.25">
      <c r="A424">
        <v>314</v>
      </c>
      <c r="B424">
        <v>41047001200</v>
      </c>
      <c r="C424">
        <v>1.3867999999999999E-4</v>
      </c>
    </row>
    <row r="425" spans="1:3" x14ac:dyDescent="0.25">
      <c r="A425">
        <v>314</v>
      </c>
      <c r="B425">
        <v>41047001300</v>
      </c>
      <c r="C425">
        <v>0.99986134000000004</v>
      </c>
    </row>
    <row r="426" spans="1:3" x14ac:dyDescent="0.25">
      <c r="A426">
        <v>322</v>
      </c>
      <c r="B426">
        <v>41047001300</v>
      </c>
      <c r="C426">
        <v>0.99240692999999991</v>
      </c>
    </row>
    <row r="427" spans="1:3" x14ac:dyDescent="0.25">
      <c r="A427">
        <v>322</v>
      </c>
      <c r="B427">
        <v>41047002201</v>
      </c>
      <c r="C427">
        <v>7.5931099999999993E-3</v>
      </c>
    </row>
    <row r="428" spans="1:3" x14ac:dyDescent="0.25">
      <c r="A428">
        <v>323</v>
      </c>
      <c r="B428">
        <v>41047001300</v>
      </c>
      <c r="C428">
        <v>0.99372461999999995</v>
      </c>
    </row>
    <row r="429" spans="1:3" x14ac:dyDescent="0.25">
      <c r="A429">
        <v>323</v>
      </c>
      <c r="B429">
        <v>41047002101</v>
      </c>
      <c r="C429">
        <v>2.1925400000000002E-3</v>
      </c>
    </row>
    <row r="430" spans="1:3" x14ac:dyDescent="0.25">
      <c r="A430">
        <v>323</v>
      </c>
      <c r="B430">
        <v>41047002201</v>
      </c>
      <c r="C430">
        <v>4.0827099999999998E-3</v>
      </c>
    </row>
    <row r="431" spans="1:3" x14ac:dyDescent="0.25">
      <c r="A431">
        <v>324</v>
      </c>
      <c r="B431">
        <v>41047001100</v>
      </c>
      <c r="C431">
        <v>1.5654599999999999E-3</v>
      </c>
    </row>
    <row r="432" spans="1:3" x14ac:dyDescent="0.25">
      <c r="A432">
        <v>324</v>
      </c>
      <c r="B432">
        <v>41047001200</v>
      </c>
      <c r="C432">
        <v>0.99461714000000001</v>
      </c>
    </row>
    <row r="433" spans="1:3" x14ac:dyDescent="0.25">
      <c r="A433">
        <v>324</v>
      </c>
      <c r="B433">
        <v>41047001300</v>
      </c>
      <c r="C433">
        <v>3.8174000000000003E-3</v>
      </c>
    </row>
    <row r="434" spans="1:3" x14ac:dyDescent="0.25">
      <c r="A434">
        <v>330</v>
      </c>
      <c r="B434">
        <v>41047001000</v>
      </c>
      <c r="C434">
        <v>0.99205319000000003</v>
      </c>
    </row>
    <row r="435" spans="1:3" x14ac:dyDescent="0.25">
      <c r="A435">
        <v>330</v>
      </c>
      <c r="B435">
        <v>41047001100</v>
      </c>
      <c r="C435">
        <v>7.9467800000000005E-3</v>
      </c>
    </row>
    <row r="436" spans="1:3" x14ac:dyDescent="0.25">
      <c r="A436">
        <v>332</v>
      </c>
      <c r="B436">
        <v>41047001300</v>
      </c>
      <c r="C436">
        <v>0.98780018000000003</v>
      </c>
    </row>
    <row r="437" spans="1:3" x14ac:dyDescent="0.25">
      <c r="A437">
        <v>332</v>
      </c>
      <c r="B437">
        <v>41047002201</v>
      </c>
      <c r="C437">
        <v>1.219983E-2</v>
      </c>
    </row>
    <row r="438" spans="1:3" x14ac:dyDescent="0.25">
      <c r="A438">
        <v>333</v>
      </c>
      <c r="B438">
        <v>41047001300</v>
      </c>
      <c r="C438">
        <v>6.7582200000000005E-3</v>
      </c>
    </row>
    <row r="439" spans="1:3" x14ac:dyDescent="0.25">
      <c r="A439">
        <v>333</v>
      </c>
      <c r="B439">
        <v>41047002201</v>
      </c>
      <c r="C439">
        <v>0.96566580000000002</v>
      </c>
    </row>
    <row r="440" spans="1:3" x14ac:dyDescent="0.25">
      <c r="A440">
        <v>333</v>
      </c>
      <c r="B440">
        <v>41047002202</v>
      </c>
      <c r="C440">
        <v>6.93065E-3</v>
      </c>
    </row>
    <row r="441" spans="1:3" x14ac:dyDescent="0.25">
      <c r="A441">
        <v>333</v>
      </c>
      <c r="B441">
        <v>41047002400</v>
      </c>
      <c r="C441">
        <v>2.0645349999999996E-2</v>
      </c>
    </row>
    <row r="442" spans="1:3" x14ac:dyDescent="0.25">
      <c r="A442">
        <v>334</v>
      </c>
      <c r="B442">
        <v>41047001300</v>
      </c>
      <c r="C442">
        <v>7.1246000000000005E-4</v>
      </c>
    </row>
    <row r="443" spans="1:3" x14ac:dyDescent="0.25">
      <c r="A443">
        <v>334</v>
      </c>
      <c r="B443">
        <v>41047002101</v>
      </c>
      <c r="C443">
        <v>1.7718999999999998E-4</v>
      </c>
    </row>
    <row r="444" spans="1:3" x14ac:dyDescent="0.25">
      <c r="A444">
        <v>334</v>
      </c>
      <c r="B444">
        <v>41047002201</v>
      </c>
      <c r="C444">
        <v>0.99258050999999992</v>
      </c>
    </row>
    <row r="445" spans="1:3" x14ac:dyDescent="0.25">
      <c r="A445">
        <v>334</v>
      </c>
      <c r="B445">
        <v>41047002202</v>
      </c>
      <c r="C445">
        <v>6.5298100000000005E-3</v>
      </c>
    </row>
    <row r="446" spans="1:3" x14ac:dyDescent="0.25">
      <c r="A446">
        <v>335</v>
      </c>
      <c r="B446">
        <v>41047001300</v>
      </c>
      <c r="C446">
        <v>1.8900000000000001E-6</v>
      </c>
    </row>
    <row r="447" spans="1:3" x14ac:dyDescent="0.25">
      <c r="A447">
        <v>335</v>
      </c>
      <c r="B447">
        <v>41047002101</v>
      </c>
      <c r="C447">
        <v>0.97404247999999993</v>
      </c>
    </row>
    <row r="448" spans="1:3" x14ac:dyDescent="0.25">
      <c r="A448">
        <v>335</v>
      </c>
      <c r="B448">
        <v>41047002102</v>
      </c>
      <c r="C448">
        <v>1.233473E-2</v>
      </c>
    </row>
    <row r="449" spans="1:3" x14ac:dyDescent="0.25">
      <c r="A449">
        <v>335</v>
      </c>
      <c r="B449">
        <v>41047002201</v>
      </c>
      <c r="C449">
        <v>5.9099100000000009E-3</v>
      </c>
    </row>
    <row r="450" spans="1:3" x14ac:dyDescent="0.25">
      <c r="A450">
        <v>335</v>
      </c>
      <c r="B450">
        <v>41047002202</v>
      </c>
      <c r="C450">
        <v>7.7110100000000008E-3</v>
      </c>
    </row>
    <row r="451" spans="1:3" x14ac:dyDescent="0.25">
      <c r="A451">
        <v>336</v>
      </c>
      <c r="B451">
        <v>41047001100</v>
      </c>
      <c r="C451">
        <v>0.98919027000000004</v>
      </c>
    </row>
    <row r="452" spans="1:3" x14ac:dyDescent="0.25">
      <c r="A452">
        <v>336</v>
      </c>
      <c r="B452">
        <v>41047001200</v>
      </c>
      <c r="C452">
        <v>1.42351E-3</v>
      </c>
    </row>
    <row r="453" spans="1:3" x14ac:dyDescent="0.25">
      <c r="A453">
        <v>336</v>
      </c>
      <c r="B453">
        <v>41047001300</v>
      </c>
      <c r="C453">
        <v>1.4989000000000002E-4</v>
      </c>
    </row>
    <row r="454" spans="1:3" x14ac:dyDescent="0.25">
      <c r="A454">
        <v>336</v>
      </c>
      <c r="B454">
        <v>41047002101</v>
      </c>
      <c r="C454">
        <v>9.2363499999999991E-3</v>
      </c>
    </row>
    <row r="455" spans="1:3" x14ac:dyDescent="0.25">
      <c r="A455">
        <v>338</v>
      </c>
      <c r="B455">
        <v>41047001000</v>
      </c>
      <c r="C455">
        <v>0.14594665000000001</v>
      </c>
    </row>
    <row r="456" spans="1:3" x14ac:dyDescent="0.25">
      <c r="A456">
        <v>338</v>
      </c>
      <c r="B456">
        <v>41047001100</v>
      </c>
      <c r="C456">
        <v>0.84990993000000004</v>
      </c>
    </row>
    <row r="457" spans="1:3" x14ac:dyDescent="0.25">
      <c r="A457">
        <v>338</v>
      </c>
      <c r="B457">
        <v>41047001200</v>
      </c>
      <c r="C457">
        <v>4.1434499999999999E-3</v>
      </c>
    </row>
    <row r="458" spans="1:3" x14ac:dyDescent="0.25">
      <c r="A458">
        <v>345</v>
      </c>
      <c r="B458">
        <v>41047002400</v>
      </c>
      <c r="C458">
        <v>1</v>
      </c>
    </row>
    <row r="459" spans="1:3" x14ac:dyDescent="0.25">
      <c r="A459">
        <v>346</v>
      </c>
      <c r="B459">
        <v>41047002202</v>
      </c>
      <c r="C459">
        <v>0.95815872000000002</v>
      </c>
    </row>
    <row r="460" spans="1:3" x14ac:dyDescent="0.25">
      <c r="A460">
        <v>346</v>
      </c>
      <c r="B460">
        <v>41047002400</v>
      </c>
      <c r="C460">
        <v>4.1841320000000001E-2</v>
      </c>
    </row>
    <row r="461" spans="1:3" x14ac:dyDescent="0.25">
      <c r="A461">
        <v>347</v>
      </c>
      <c r="B461">
        <v>41047002201</v>
      </c>
      <c r="C461">
        <v>4.3983499999999997E-3</v>
      </c>
    </row>
    <row r="462" spans="1:3" x14ac:dyDescent="0.25">
      <c r="A462">
        <v>347</v>
      </c>
      <c r="B462">
        <v>41047002202</v>
      </c>
      <c r="C462">
        <v>0.99560162000000008</v>
      </c>
    </row>
    <row r="463" spans="1:3" x14ac:dyDescent="0.25">
      <c r="A463">
        <v>350</v>
      </c>
      <c r="B463">
        <v>41047001000</v>
      </c>
      <c r="C463">
        <v>6.8469309999999992E-2</v>
      </c>
    </row>
    <row r="464" spans="1:3" x14ac:dyDescent="0.25">
      <c r="A464">
        <v>350</v>
      </c>
      <c r="B464">
        <v>41047001100</v>
      </c>
      <c r="C464">
        <v>0.91889478999999996</v>
      </c>
    </row>
    <row r="465" spans="1:3" x14ac:dyDescent="0.25">
      <c r="A465">
        <v>350</v>
      </c>
      <c r="B465">
        <v>41047002000</v>
      </c>
      <c r="C465">
        <v>1.5051999999999999E-3</v>
      </c>
    </row>
    <row r="466" spans="1:3" x14ac:dyDescent="0.25">
      <c r="A466">
        <v>350</v>
      </c>
      <c r="B466">
        <v>41047002101</v>
      </c>
      <c r="C466">
        <v>6.6037599999999993E-3</v>
      </c>
    </row>
    <row r="467" spans="1:3" x14ac:dyDescent="0.25">
      <c r="A467">
        <v>350</v>
      </c>
      <c r="B467">
        <v>41047002102</v>
      </c>
      <c r="C467">
        <v>4.5268599999999997E-3</v>
      </c>
    </row>
    <row r="468" spans="1:3" x14ac:dyDescent="0.25">
      <c r="A468">
        <v>354</v>
      </c>
      <c r="B468">
        <v>41047001000</v>
      </c>
      <c r="C468">
        <v>0.99138530999999996</v>
      </c>
    </row>
    <row r="469" spans="1:3" x14ac:dyDescent="0.25">
      <c r="A469">
        <v>354</v>
      </c>
      <c r="B469">
        <v>41047001100</v>
      </c>
      <c r="C469">
        <v>4.8773999999999996E-4</v>
      </c>
    </row>
    <row r="470" spans="1:3" x14ac:dyDescent="0.25">
      <c r="A470">
        <v>354</v>
      </c>
      <c r="B470">
        <v>41047001803</v>
      </c>
      <c r="C470">
        <v>4.26013E-3</v>
      </c>
    </row>
    <row r="471" spans="1:3" x14ac:dyDescent="0.25">
      <c r="A471">
        <v>354</v>
      </c>
      <c r="B471">
        <v>41047002000</v>
      </c>
      <c r="C471">
        <v>3.8668299999999999E-3</v>
      </c>
    </row>
    <row r="472" spans="1:3" x14ac:dyDescent="0.25">
      <c r="A472">
        <v>357</v>
      </c>
      <c r="B472">
        <v>41047001100</v>
      </c>
      <c r="C472">
        <v>3.1157899999999998E-3</v>
      </c>
    </row>
    <row r="473" spans="1:3" x14ac:dyDescent="0.25">
      <c r="A473">
        <v>357</v>
      </c>
      <c r="B473">
        <v>41047002000</v>
      </c>
      <c r="C473">
        <v>0.99527328999999998</v>
      </c>
    </row>
    <row r="474" spans="1:3" x14ac:dyDescent="0.25">
      <c r="A474">
        <v>357</v>
      </c>
      <c r="B474">
        <v>41047002102</v>
      </c>
      <c r="C474">
        <v>1.6108800000000001E-3</v>
      </c>
    </row>
    <row r="475" spans="1:3" x14ac:dyDescent="0.25">
      <c r="A475">
        <v>358</v>
      </c>
      <c r="B475">
        <v>41047002102</v>
      </c>
      <c r="C475">
        <v>1</v>
      </c>
    </row>
    <row r="476" spans="1:3" x14ac:dyDescent="0.25">
      <c r="A476">
        <v>359</v>
      </c>
      <c r="B476">
        <v>41047002102</v>
      </c>
      <c r="C476">
        <v>0.99016937999999999</v>
      </c>
    </row>
    <row r="477" spans="1:3" x14ac:dyDescent="0.25">
      <c r="A477">
        <v>359</v>
      </c>
      <c r="B477">
        <v>41047002202</v>
      </c>
      <c r="C477">
        <v>9.8305800000000002E-3</v>
      </c>
    </row>
    <row r="478" spans="1:3" x14ac:dyDescent="0.25">
      <c r="A478">
        <v>360</v>
      </c>
      <c r="B478">
        <v>41047002202</v>
      </c>
      <c r="C478">
        <v>1</v>
      </c>
    </row>
    <row r="479" spans="1:3" x14ac:dyDescent="0.25">
      <c r="A479">
        <v>361</v>
      </c>
      <c r="B479">
        <v>41047002202</v>
      </c>
      <c r="C479">
        <v>0.95510974999999998</v>
      </c>
    </row>
    <row r="480" spans="1:3" x14ac:dyDescent="0.25">
      <c r="A480">
        <v>361</v>
      </c>
      <c r="B480">
        <v>41047002400</v>
      </c>
      <c r="C480">
        <v>4.489021E-2</v>
      </c>
    </row>
    <row r="481" spans="1:3" x14ac:dyDescent="0.25">
      <c r="A481">
        <v>362</v>
      </c>
      <c r="B481">
        <v>41047002202</v>
      </c>
      <c r="C481">
        <v>0.94193261000000006</v>
      </c>
    </row>
    <row r="482" spans="1:3" x14ac:dyDescent="0.25">
      <c r="A482">
        <v>362</v>
      </c>
      <c r="B482">
        <v>41047002400</v>
      </c>
      <c r="C482">
        <v>5.8067430000000003E-2</v>
      </c>
    </row>
    <row r="483" spans="1:3" x14ac:dyDescent="0.25">
      <c r="A483">
        <v>363</v>
      </c>
      <c r="B483">
        <v>41047002202</v>
      </c>
      <c r="C483">
        <v>0.97682011999999996</v>
      </c>
    </row>
    <row r="484" spans="1:3" x14ac:dyDescent="0.25">
      <c r="A484">
        <v>363</v>
      </c>
      <c r="B484">
        <v>41047002400</v>
      </c>
      <c r="C484">
        <v>2.31799E-2</v>
      </c>
    </row>
    <row r="485" spans="1:3" x14ac:dyDescent="0.25">
      <c r="A485">
        <v>365</v>
      </c>
      <c r="B485">
        <v>41047002102</v>
      </c>
      <c r="C485">
        <v>4.2300000000000002E-6</v>
      </c>
    </row>
    <row r="486" spans="1:3" x14ac:dyDescent="0.25">
      <c r="A486">
        <v>365</v>
      </c>
      <c r="B486">
        <v>41047002202</v>
      </c>
      <c r="C486">
        <v>0.97071333999999998</v>
      </c>
    </row>
    <row r="487" spans="1:3" x14ac:dyDescent="0.25">
      <c r="A487">
        <v>365</v>
      </c>
      <c r="B487">
        <v>41047002301</v>
      </c>
      <c r="C487">
        <v>2.9282249999999999E-2</v>
      </c>
    </row>
    <row r="488" spans="1:3" x14ac:dyDescent="0.25">
      <c r="A488">
        <v>366</v>
      </c>
      <c r="B488">
        <v>41047002102</v>
      </c>
      <c r="C488">
        <v>0.74934646000000005</v>
      </c>
    </row>
    <row r="489" spans="1:3" x14ac:dyDescent="0.25">
      <c r="A489">
        <v>366</v>
      </c>
      <c r="B489">
        <v>41047002202</v>
      </c>
      <c r="C489">
        <v>3.9768700000000004E-3</v>
      </c>
    </row>
    <row r="490" spans="1:3" x14ac:dyDescent="0.25">
      <c r="A490">
        <v>366</v>
      </c>
      <c r="B490">
        <v>41047002301</v>
      </c>
      <c r="C490">
        <v>7.4330999999999996E-4</v>
      </c>
    </row>
    <row r="491" spans="1:3" x14ac:dyDescent="0.25">
      <c r="A491">
        <v>366</v>
      </c>
      <c r="B491">
        <v>41047002303</v>
      </c>
      <c r="C491">
        <v>0.24593339</v>
      </c>
    </row>
    <row r="492" spans="1:3" x14ac:dyDescent="0.25">
      <c r="A492">
        <v>368</v>
      </c>
      <c r="B492">
        <v>41047002000</v>
      </c>
      <c r="C492">
        <v>1.864E-4</v>
      </c>
    </row>
    <row r="493" spans="1:3" x14ac:dyDescent="0.25">
      <c r="A493">
        <v>368</v>
      </c>
      <c r="B493">
        <v>41047002102</v>
      </c>
      <c r="C493">
        <v>0.78290997000000007</v>
      </c>
    </row>
    <row r="494" spans="1:3" x14ac:dyDescent="0.25">
      <c r="A494">
        <v>368</v>
      </c>
      <c r="B494">
        <v>41047002303</v>
      </c>
      <c r="C494">
        <v>0.21690365</v>
      </c>
    </row>
    <row r="495" spans="1:3" x14ac:dyDescent="0.25">
      <c r="A495">
        <v>373</v>
      </c>
      <c r="B495">
        <v>41047001000</v>
      </c>
      <c r="C495">
        <v>3.4598800000000002E-3</v>
      </c>
    </row>
    <row r="496" spans="1:3" x14ac:dyDescent="0.25">
      <c r="A496">
        <v>373</v>
      </c>
      <c r="B496">
        <v>41047001803</v>
      </c>
      <c r="C496">
        <v>6.7313599999999996E-3</v>
      </c>
    </row>
    <row r="497" spans="1:3" x14ac:dyDescent="0.25">
      <c r="A497">
        <v>373</v>
      </c>
      <c r="B497">
        <v>41047002000</v>
      </c>
      <c r="C497">
        <v>0.98979988000000008</v>
      </c>
    </row>
    <row r="498" spans="1:3" x14ac:dyDescent="0.25">
      <c r="A498">
        <v>373</v>
      </c>
      <c r="B498">
        <v>41047002700</v>
      </c>
      <c r="C498">
        <v>8.8999999999999995E-6</v>
      </c>
    </row>
    <row r="499" spans="1:3" x14ac:dyDescent="0.25">
      <c r="A499">
        <v>374</v>
      </c>
      <c r="B499">
        <v>41047002000</v>
      </c>
      <c r="C499">
        <v>0.97950963000000002</v>
      </c>
    </row>
    <row r="500" spans="1:3" x14ac:dyDescent="0.25">
      <c r="A500">
        <v>374</v>
      </c>
      <c r="B500">
        <v>41047002303</v>
      </c>
      <c r="C500">
        <v>1.5641140000000001E-2</v>
      </c>
    </row>
    <row r="501" spans="1:3" x14ac:dyDescent="0.25">
      <c r="A501">
        <v>374</v>
      </c>
      <c r="B501">
        <v>41047002304</v>
      </c>
      <c r="C501">
        <v>4.8492500000000003E-3</v>
      </c>
    </row>
    <row r="502" spans="1:3" x14ac:dyDescent="0.25">
      <c r="A502">
        <v>376</v>
      </c>
      <c r="B502">
        <v>41047002303</v>
      </c>
      <c r="C502">
        <v>1</v>
      </c>
    </row>
    <row r="503" spans="1:3" x14ac:dyDescent="0.25">
      <c r="A503">
        <v>378</v>
      </c>
      <c r="B503">
        <v>41047002303</v>
      </c>
      <c r="C503">
        <v>0.99999996999999996</v>
      </c>
    </row>
    <row r="504" spans="1:3" x14ac:dyDescent="0.25">
      <c r="A504">
        <v>379</v>
      </c>
      <c r="B504">
        <v>41047002301</v>
      </c>
      <c r="C504">
        <v>2.1425799999999998E-3</v>
      </c>
    </row>
    <row r="505" spans="1:3" x14ac:dyDescent="0.25">
      <c r="A505">
        <v>379</v>
      </c>
      <c r="B505">
        <v>41047002303</v>
      </c>
      <c r="C505">
        <v>0.9978573799999999</v>
      </c>
    </row>
    <row r="506" spans="1:3" x14ac:dyDescent="0.25">
      <c r="A506">
        <v>380</v>
      </c>
      <c r="B506">
        <v>41047002202</v>
      </c>
      <c r="C506">
        <v>2.3779999999999998E-4</v>
      </c>
    </row>
    <row r="507" spans="1:3" x14ac:dyDescent="0.25">
      <c r="A507">
        <v>380</v>
      </c>
      <c r="B507">
        <v>41047002301</v>
      </c>
      <c r="C507">
        <v>0.99764010000000003</v>
      </c>
    </row>
    <row r="508" spans="1:3" x14ac:dyDescent="0.25">
      <c r="A508">
        <v>380</v>
      </c>
      <c r="B508">
        <v>41047002303</v>
      </c>
      <c r="C508">
        <v>3.5303E-4</v>
      </c>
    </row>
    <row r="509" spans="1:3" x14ac:dyDescent="0.25">
      <c r="A509">
        <v>380</v>
      </c>
      <c r="B509">
        <v>41047002400</v>
      </c>
      <c r="C509">
        <v>1.7691899999999999E-3</v>
      </c>
    </row>
    <row r="510" spans="1:3" x14ac:dyDescent="0.25">
      <c r="A510">
        <v>381</v>
      </c>
      <c r="B510">
        <v>41047002202</v>
      </c>
      <c r="C510">
        <v>4.2153900000000003E-3</v>
      </c>
    </row>
    <row r="511" spans="1:3" x14ac:dyDescent="0.25">
      <c r="A511">
        <v>381</v>
      </c>
      <c r="B511">
        <v>41047002301</v>
      </c>
      <c r="C511">
        <v>3.7417499999999999E-3</v>
      </c>
    </row>
    <row r="512" spans="1:3" x14ac:dyDescent="0.25">
      <c r="A512">
        <v>381</v>
      </c>
      <c r="B512">
        <v>41047002400</v>
      </c>
      <c r="C512">
        <v>0.99204283000000004</v>
      </c>
    </row>
    <row r="513" spans="1:3" x14ac:dyDescent="0.25">
      <c r="A513">
        <v>382</v>
      </c>
      <c r="B513">
        <v>41047002301</v>
      </c>
      <c r="C513">
        <v>2.2624400000000001E-3</v>
      </c>
    </row>
    <row r="514" spans="1:3" x14ac:dyDescent="0.25">
      <c r="A514">
        <v>382</v>
      </c>
      <c r="B514">
        <v>41047002303</v>
      </c>
      <c r="C514">
        <v>0.37621481000000001</v>
      </c>
    </row>
    <row r="515" spans="1:3" x14ac:dyDescent="0.25">
      <c r="A515">
        <v>382</v>
      </c>
      <c r="B515">
        <v>41047002304</v>
      </c>
      <c r="C515">
        <v>0.62152280999999998</v>
      </c>
    </row>
    <row r="516" spans="1:3" x14ac:dyDescent="0.25">
      <c r="A516">
        <v>383</v>
      </c>
      <c r="B516">
        <v>41047002303</v>
      </c>
      <c r="C516">
        <v>0.32015619000000001</v>
      </c>
    </row>
    <row r="517" spans="1:3" x14ac:dyDescent="0.25">
      <c r="A517">
        <v>383</v>
      </c>
      <c r="B517">
        <v>41047002304</v>
      </c>
      <c r="C517">
        <v>0.67984382999999993</v>
      </c>
    </row>
    <row r="518" spans="1:3" x14ac:dyDescent="0.25">
      <c r="A518">
        <v>384</v>
      </c>
      <c r="B518">
        <v>41047002303</v>
      </c>
      <c r="C518">
        <v>0.49500256999999998</v>
      </c>
    </row>
    <row r="519" spans="1:3" x14ac:dyDescent="0.25">
      <c r="A519">
        <v>384</v>
      </c>
      <c r="B519">
        <v>41047002304</v>
      </c>
      <c r="C519">
        <v>0.50499746999999995</v>
      </c>
    </row>
    <row r="520" spans="1:3" x14ac:dyDescent="0.25">
      <c r="A520">
        <v>388</v>
      </c>
      <c r="B520">
        <v>41047002000</v>
      </c>
      <c r="C520">
        <v>0.99907427999999998</v>
      </c>
    </row>
    <row r="521" spans="1:3" x14ac:dyDescent="0.25">
      <c r="A521">
        <v>388</v>
      </c>
      <c r="B521">
        <v>41047002700</v>
      </c>
      <c r="C521">
        <v>9.2568000000000001E-4</v>
      </c>
    </row>
    <row r="522" spans="1:3" x14ac:dyDescent="0.25">
      <c r="A522">
        <v>389</v>
      </c>
      <c r="B522">
        <v>41047002000</v>
      </c>
      <c r="C522">
        <v>0.89995607000000011</v>
      </c>
    </row>
    <row r="523" spans="1:3" x14ac:dyDescent="0.25">
      <c r="A523">
        <v>389</v>
      </c>
      <c r="B523">
        <v>41047002304</v>
      </c>
      <c r="C523">
        <v>1.107384E-2</v>
      </c>
    </row>
    <row r="524" spans="1:3" x14ac:dyDescent="0.25">
      <c r="A524">
        <v>389</v>
      </c>
      <c r="B524">
        <v>41047002700</v>
      </c>
      <c r="C524">
        <v>2.637631E-2</v>
      </c>
    </row>
    <row r="525" spans="1:3" x14ac:dyDescent="0.25">
      <c r="A525">
        <v>389</v>
      </c>
      <c r="B525">
        <v>41047002800</v>
      </c>
      <c r="C525">
        <v>6.2593780000000002E-2</v>
      </c>
    </row>
    <row r="526" spans="1:3" x14ac:dyDescent="0.25">
      <c r="A526">
        <v>390</v>
      </c>
      <c r="B526">
        <v>41047002304</v>
      </c>
      <c r="C526">
        <v>0.93511000999999994</v>
      </c>
    </row>
    <row r="527" spans="1:3" x14ac:dyDescent="0.25">
      <c r="A527">
        <v>390</v>
      </c>
      <c r="B527">
        <v>41047002800</v>
      </c>
      <c r="C527">
        <v>6.4889989999999995E-2</v>
      </c>
    </row>
    <row r="528" spans="1:3" x14ac:dyDescent="0.25">
      <c r="A528">
        <v>395</v>
      </c>
      <c r="B528">
        <v>41047001000</v>
      </c>
      <c r="C528">
        <v>7.7720000000000008E-5</v>
      </c>
    </row>
    <row r="529" spans="1:3" x14ac:dyDescent="0.25">
      <c r="A529">
        <v>395</v>
      </c>
      <c r="B529">
        <v>41047001801</v>
      </c>
      <c r="C529">
        <v>6.0836000000000006E-4</v>
      </c>
    </row>
    <row r="530" spans="1:3" x14ac:dyDescent="0.25">
      <c r="A530">
        <v>395</v>
      </c>
      <c r="B530">
        <v>41047001802</v>
      </c>
      <c r="C530">
        <v>7.5300000000000001E-5</v>
      </c>
    </row>
    <row r="531" spans="1:3" x14ac:dyDescent="0.25">
      <c r="A531">
        <v>395</v>
      </c>
      <c r="B531">
        <v>41047001803</v>
      </c>
      <c r="C531">
        <v>0.95810691000000003</v>
      </c>
    </row>
    <row r="532" spans="1:3" x14ac:dyDescent="0.25">
      <c r="A532">
        <v>395</v>
      </c>
      <c r="B532">
        <v>41047002700</v>
      </c>
      <c r="C532">
        <v>4.11317E-2</v>
      </c>
    </row>
    <row r="533" spans="1:3" x14ac:dyDescent="0.25">
      <c r="A533">
        <v>396</v>
      </c>
      <c r="B533">
        <v>41047001803</v>
      </c>
      <c r="C533">
        <v>1</v>
      </c>
    </row>
    <row r="534" spans="1:3" x14ac:dyDescent="0.25">
      <c r="A534">
        <v>411</v>
      </c>
      <c r="B534">
        <v>41047001803</v>
      </c>
      <c r="C534">
        <v>0.61016326999999992</v>
      </c>
    </row>
    <row r="535" spans="1:3" x14ac:dyDescent="0.25">
      <c r="A535">
        <v>411</v>
      </c>
      <c r="B535">
        <v>41047002700</v>
      </c>
      <c r="C535">
        <v>0.38983671000000003</v>
      </c>
    </row>
    <row r="536" spans="1:3" x14ac:dyDescent="0.25">
      <c r="A536">
        <v>414</v>
      </c>
      <c r="B536">
        <v>41047001803</v>
      </c>
      <c r="C536">
        <v>7.0968870000000003E-2</v>
      </c>
    </row>
    <row r="537" spans="1:3" x14ac:dyDescent="0.25">
      <c r="A537">
        <v>414</v>
      </c>
      <c r="B537">
        <v>41047002700</v>
      </c>
      <c r="C537">
        <v>0.9290311</v>
      </c>
    </row>
    <row r="538" spans="1:3" x14ac:dyDescent="0.25">
      <c r="A538">
        <v>415</v>
      </c>
      <c r="B538">
        <v>41047001803</v>
      </c>
      <c r="C538">
        <v>3.464159E-2</v>
      </c>
    </row>
    <row r="539" spans="1:3" x14ac:dyDescent="0.25">
      <c r="A539">
        <v>415</v>
      </c>
      <c r="B539">
        <v>41047002700</v>
      </c>
      <c r="C539">
        <v>0.96535842000000005</v>
      </c>
    </row>
    <row r="540" spans="1:3" x14ac:dyDescent="0.25">
      <c r="A540">
        <v>416</v>
      </c>
      <c r="B540">
        <v>41047002700</v>
      </c>
      <c r="C540">
        <v>1</v>
      </c>
    </row>
    <row r="541" spans="1:3" x14ac:dyDescent="0.25">
      <c r="A541">
        <v>417</v>
      </c>
      <c r="B541">
        <v>41047002700</v>
      </c>
      <c r="C541">
        <v>1</v>
      </c>
    </row>
    <row r="542" spans="1:3" x14ac:dyDescent="0.25">
      <c r="A542">
        <v>418</v>
      </c>
      <c r="B542">
        <v>41047002700</v>
      </c>
      <c r="C542">
        <v>0.99999996999999996</v>
      </c>
    </row>
    <row r="543" spans="1:3" x14ac:dyDescent="0.25">
      <c r="A543">
        <v>419</v>
      </c>
      <c r="B543">
        <v>41047001803</v>
      </c>
      <c r="C543">
        <v>4.053E-5</v>
      </c>
    </row>
    <row r="544" spans="1:3" x14ac:dyDescent="0.25">
      <c r="A544">
        <v>419</v>
      </c>
      <c r="B544">
        <v>41047002700</v>
      </c>
      <c r="C544">
        <v>0.99995946000000002</v>
      </c>
    </row>
    <row r="545" spans="1:3" x14ac:dyDescent="0.25">
      <c r="A545">
        <v>420</v>
      </c>
      <c r="B545">
        <v>41047001803</v>
      </c>
      <c r="C545">
        <v>4.0294999999999996E-4</v>
      </c>
    </row>
    <row r="546" spans="1:3" x14ac:dyDescent="0.25">
      <c r="A546">
        <v>420</v>
      </c>
      <c r="B546">
        <v>41047002000</v>
      </c>
      <c r="C546">
        <v>1.46E-6</v>
      </c>
    </row>
    <row r="547" spans="1:3" x14ac:dyDescent="0.25">
      <c r="A547">
        <v>420</v>
      </c>
      <c r="B547">
        <v>41047002700</v>
      </c>
      <c r="C547">
        <v>0.9995868</v>
      </c>
    </row>
    <row r="548" spans="1:3" x14ac:dyDescent="0.25">
      <c r="A548">
        <v>420</v>
      </c>
      <c r="B548">
        <v>41047002800</v>
      </c>
      <c r="C548">
        <v>8.7900000000000005E-6</v>
      </c>
    </row>
    <row r="549" spans="1:3" x14ac:dyDescent="0.25">
      <c r="A549">
        <v>421</v>
      </c>
      <c r="B549">
        <v>41047002304</v>
      </c>
      <c r="C549">
        <v>8.6709999999999999E-4</v>
      </c>
    </row>
    <row r="550" spans="1:3" x14ac:dyDescent="0.25">
      <c r="A550">
        <v>421</v>
      </c>
      <c r="B550">
        <v>41047002700</v>
      </c>
      <c r="C550">
        <v>4.81074E-3</v>
      </c>
    </row>
    <row r="551" spans="1:3" x14ac:dyDescent="0.25">
      <c r="A551">
        <v>421</v>
      </c>
      <c r="B551">
        <v>41047002800</v>
      </c>
      <c r="C551">
        <v>0.99432225000000007</v>
      </c>
    </row>
    <row r="552" spans="1:3" x14ac:dyDescent="0.25">
      <c r="A552">
        <v>422</v>
      </c>
      <c r="B552">
        <v>41047002304</v>
      </c>
      <c r="C552">
        <v>1.2702799999999999E-3</v>
      </c>
    </row>
    <row r="553" spans="1:3" x14ac:dyDescent="0.25">
      <c r="A553">
        <v>422</v>
      </c>
      <c r="B553">
        <v>41047002800</v>
      </c>
      <c r="C553">
        <v>0.99872963000000003</v>
      </c>
    </row>
    <row r="554" spans="1:3" x14ac:dyDescent="0.25">
      <c r="A554">
        <v>423</v>
      </c>
      <c r="B554">
        <v>41047002301</v>
      </c>
      <c r="C554">
        <v>1.0581000000000001E-4</v>
      </c>
    </row>
    <row r="555" spans="1:3" x14ac:dyDescent="0.25">
      <c r="A555">
        <v>423</v>
      </c>
      <c r="B555">
        <v>41047002304</v>
      </c>
      <c r="C555">
        <v>3.8531000000000004E-4</v>
      </c>
    </row>
    <row r="556" spans="1:3" x14ac:dyDescent="0.25">
      <c r="A556">
        <v>423</v>
      </c>
      <c r="B556">
        <v>41047002800</v>
      </c>
      <c r="C556">
        <v>0.99950888000000004</v>
      </c>
    </row>
    <row r="557" spans="1:3" x14ac:dyDescent="0.25">
      <c r="A557">
        <v>424</v>
      </c>
      <c r="B557">
        <v>41047002800</v>
      </c>
      <c r="C557">
        <v>0.99831925999999993</v>
      </c>
    </row>
    <row r="558" spans="1:3" x14ac:dyDescent="0.25">
      <c r="A558">
        <v>424</v>
      </c>
      <c r="B558">
        <v>41047010802</v>
      </c>
      <c r="C558">
        <v>1.68074E-3</v>
      </c>
    </row>
    <row r="559" spans="1:3" x14ac:dyDescent="0.25">
      <c r="A559">
        <v>426</v>
      </c>
      <c r="B559">
        <v>41047002304</v>
      </c>
      <c r="C559">
        <v>0.91332908999999995</v>
      </c>
    </row>
    <row r="560" spans="1:3" x14ac:dyDescent="0.25">
      <c r="A560">
        <v>426</v>
      </c>
      <c r="B560">
        <v>41047002800</v>
      </c>
      <c r="C560">
        <v>8.6670830000000004E-2</v>
      </c>
    </row>
    <row r="561" spans="1:3" x14ac:dyDescent="0.25">
      <c r="A561">
        <v>427</v>
      </c>
      <c r="B561">
        <v>41047002301</v>
      </c>
      <c r="C561">
        <v>3.2060999999999998E-4</v>
      </c>
    </row>
    <row r="562" spans="1:3" x14ac:dyDescent="0.25">
      <c r="A562">
        <v>427</v>
      </c>
      <c r="B562">
        <v>41047002304</v>
      </c>
      <c r="C562">
        <v>0.99214068</v>
      </c>
    </row>
    <row r="563" spans="1:3" x14ac:dyDescent="0.25">
      <c r="A563">
        <v>427</v>
      </c>
      <c r="B563">
        <v>41047002800</v>
      </c>
      <c r="C563">
        <v>7.5387199999999996E-3</v>
      </c>
    </row>
    <row r="564" spans="1:3" x14ac:dyDescent="0.25">
      <c r="A564">
        <v>428</v>
      </c>
      <c r="B564">
        <v>41047002301</v>
      </c>
      <c r="C564">
        <v>0.97995202000000003</v>
      </c>
    </row>
    <row r="565" spans="1:3" x14ac:dyDescent="0.25">
      <c r="A565">
        <v>428</v>
      </c>
      <c r="B565">
        <v>41047002304</v>
      </c>
      <c r="C565">
        <v>6.6169999999999998E-5</v>
      </c>
    </row>
    <row r="566" spans="1:3" x14ac:dyDescent="0.25">
      <c r="A566">
        <v>428</v>
      </c>
      <c r="B566">
        <v>41047002400</v>
      </c>
      <c r="C566">
        <v>9.5746999999999998E-4</v>
      </c>
    </row>
    <row r="567" spans="1:3" x14ac:dyDescent="0.25">
      <c r="A567">
        <v>428</v>
      </c>
      <c r="B567">
        <v>41047002800</v>
      </c>
      <c r="C567">
        <v>1.9024319999999997E-2</v>
      </c>
    </row>
    <row r="568" spans="1:3" x14ac:dyDescent="0.25">
      <c r="A568">
        <v>429</v>
      </c>
      <c r="B568">
        <v>41047002301</v>
      </c>
      <c r="C568">
        <v>0.99793728999999998</v>
      </c>
    </row>
    <row r="569" spans="1:3" x14ac:dyDescent="0.25">
      <c r="A569">
        <v>429</v>
      </c>
      <c r="B569">
        <v>41047002303</v>
      </c>
      <c r="C569">
        <v>4.4651999999999995E-4</v>
      </c>
    </row>
    <row r="570" spans="1:3" x14ac:dyDescent="0.25">
      <c r="A570">
        <v>429</v>
      </c>
      <c r="B570">
        <v>41047002304</v>
      </c>
      <c r="C570">
        <v>4.7293000000000004E-4</v>
      </c>
    </row>
    <row r="571" spans="1:3" x14ac:dyDescent="0.25">
      <c r="A571">
        <v>429</v>
      </c>
      <c r="B571">
        <v>41047002400</v>
      </c>
      <c r="C571">
        <v>1.1430400000000001E-3</v>
      </c>
    </row>
    <row r="572" spans="1:3" x14ac:dyDescent="0.25">
      <c r="A572">
        <v>430</v>
      </c>
      <c r="B572">
        <v>41047002301</v>
      </c>
      <c r="C572">
        <v>5.9110999999999994E-4</v>
      </c>
    </row>
    <row r="573" spans="1:3" x14ac:dyDescent="0.25">
      <c r="A573">
        <v>430</v>
      </c>
      <c r="B573">
        <v>41047002400</v>
      </c>
      <c r="C573">
        <v>0.99660475000000004</v>
      </c>
    </row>
    <row r="574" spans="1:3" x14ac:dyDescent="0.25">
      <c r="A574">
        <v>430</v>
      </c>
      <c r="B574">
        <v>41047002800</v>
      </c>
      <c r="C574">
        <v>2.8041100000000003E-3</v>
      </c>
    </row>
    <row r="575" spans="1:3" x14ac:dyDescent="0.25">
      <c r="A575">
        <v>431</v>
      </c>
      <c r="B575">
        <v>41047002400</v>
      </c>
      <c r="C575">
        <v>0.99679158000000001</v>
      </c>
    </row>
    <row r="576" spans="1:3" x14ac:dyDescent="0.25">
      <c r="A576">
        <v>431</v>
      </c>
      <c r="B576">
        <v>41047002800</v>
      </c>
      <c r="C576">
        <v>3.20843E-3</v>
      </c>
    </row>
    <row r="577" spans="1:3" x14ac:dyDescent="0.25">
      <c r="A577">
        <v>432</v>
      </c>
      <c r="B577">
        <v>41047002400</v>
      </c>
      <c r="C577">
        <v>0.99922701000000003</v>
      </c>
    </row>
    <row r="578" spans="1:3" x14ac:dyDescent="0.25">
      <c r="A578">
        <v>432</v>
      </c>
      <c r="B578">
        <v>41047002800</v>
      </c>
      <c r="C578">
        <v>2.9738000000000003E-4</v>
      </c>
    </row>
    <row r="579" spans="1:3" x14ac:dyDescent="0.25">
      <c r="A579">
        <v>432</v>
      </c>
      <c r="B579">
        <v>41053005300</v>
      </c>
      <c r="C579">
        <v>4.7562E-4</v>
      </c>
    </row>
    <row r="580" spans="1:3" x14ac:dyDescent="0.25">
      <c r="A580">
        <v>433</v>
      </c>
      <c r="B580">
        <v>41047002400</v>
      </c>
      <c r="C580">
        <v>1</v>
      </c>
    </row>
    <row r="581" spans="1:3" x14ac:dyDescent="0.25">
      <c r="A581">
        <v>434</v>
      </c>
      <c r="B581">
        <v>41047002400</v>
      </c>
      <c r="C581">
        <v>0.99999999000000006</v>
      </c>
    </row>
    <row r="582" spans="1:3" x14ac:dyDescent="0.25">
      <c r="A582">
        <v>435</v>
      </c>
      <c r="B582">
        <v>41047001300</v>
      </c>
      <c r="C582">
        <v>7.5627520000000004E-2</v>
      </c>
    </row>
    <row r="583" spans="1:3" x14ac:dyDescent="0.25">
      <c r="A583">
        <v>435</v>
      </c>
      <c r="B583">
        <v>41047002400</v>
      </c>
      <c r="C583">
        <v>0.92334427000000008</v>
      </c>
    </row>
    <row r="584" spans="1:3" x14ac:dyDescent="0.25">
      <c r="A584">
        <v>435</v>
      </c>
      <c r="B584">
        <v>41053005201</v>
      </c>
      <c r="C584">
        <v>8.4820000000000002E-4</v>
      </c>
    </row>
    <row r="585" spans="1:3" x14ac:dyDescent="0.25">
      <c r="A585">
        <v>435</v>
      </c>
      <c r="B585">
        <v>41053005300</v>
      </c>
      <c r="C585">
        <v>1.7999999999999998E-4</v>
      </c>
    </row>
    <row r="586" spans="1:3" x14ac:dyDescent="0.25">
      <c r="A586">
        <v>436</v>
      </c>
      <c r="B586">
        <v>41047000200</v>
      </c>
      <c r="C586">
        <v>2.7170200000000001E-3</v>
      </c>
    </row>
    <row r="587" spans="1:3" x14ac:dyDescent="0.25">
      <c r="A587">
        <v>436</v>
      </c>
      <c r="B587">
        <v>41047001300</v>
      </c>
      <c r="C587">
        <v>0.98894636000000002</v>
      </c>
    </row>
    <row r="588" spans="1:3" x14ac:dyDescent="0.25">
      <c r="A588">
        <v>436</v>
      </c>
      <c r="B588">
        <v>41047002400</v>
      </c>
      <c r="C588">
        <v>2.7143699999999998E-3</v>
      </c>
    </row>
    <row r="589" spans="1:3" x14ac:dyDescent="0.25">
      <c r="A589">
        <v>436</v>
      </c>
      <c r="B589">
        <v>41053005201</v>
      </c>
      <c r="C589">
        <v>5.6222499999999996E-3</v>
      </c>
    </row>
    <row r="590" spans="1:3" x14ac:dyDescent="0.25">
      <c r="A590">
        <v>437</v>
      </c>
      <c r="B590">
        <v>41047002800</v>
      </c>
      <c r="C590">
        <v>0.99817014000000004</v>
      </c>
    </row>
    <row r="591" spans="1:3" x14ac:dyDescent="0.25">
      <c r="A591">
        <v>437</v>
      </c>
      <c r="B591">
        <v>41047010802</v>
      </c>
      <c r="C591">
        <v>1.8298700000000002E-3</v>
      </c>
    </row>
    <row r="592" spans="1:3" x14ac:dyDescent="0.25">
      <c r="A592">
        <v>439</v>
      </c>
      <c r="B592">
        <v>41047000300</v>
      </c>
      <c r="C592">
        <v>0.92127641999999998</v>
      </c>
    </row>
    <row r="593" spans="1:3" x14ac:dyDescent="0.25">
      <c r="A593">
        <v>439</v>
      </c>
      <c r="B593">
        <v>41047000400</v>
      </c>
      <c r="C593">
        <v>7.8723870000000001E-2</v>
      </c>
    </row>
    <row r="594" spans="1:3" x14ac:dyDescent="0.25">
      <c r="A594">
        <v>442</v>
      </c>
      <c r="B594">
        <v>41047001300</v>
      </c>
      <c r="C594">
        <v>0.99999992000000004</v>
      </c>
    </row>
    <row r="595" spans="1:3" x14ac:dyDescent="0.25">
      <c r="A595">
        <v>443</v>
      </c>
      <c r="B595">
        <v>41047002502</v>
      </c>
      <c r="C595">
        <v>1</v>
      </c>
    </row>
    <row r="596" spans="1:3" x14ac:dyDescent="0.25">
      <c r="A596">
        <v>444</v>
      </c>
      <c r="B596">
        <v>41047002502</v>
      </c>
      <c r="C596">
        <v>1</v>
      </c>
    </row>
    <row r="597" spans="1:3" x14ac:dyDescent="0.25">
      <c r="A597">
        <v>447</v>
      </c>
      <c r="B597">
        <v>41053005202</v>
      </c>
      <c r="C597">
        <v>0.99672777999999995</v>
      </c>
    </row>
    <row r="598" spans="1:3" x14ac:dyDescent="0.25">
      <c r="A598">
        <v>447</v>
      </c>
      <c r="B598">
        <v>41053005300</v>
      </c>
      <c r="C598">
        <v>3.2720300000000004E-3</v>
      </c>
    </row>
    <row r="599" spans="1:3" x14ac:dyDescent="0.25">
      <c r="A599">
        <v>450</v>
      </c>
      <c r="B599">
        <v>41047002700</v>
      </c>
      <c r="C599">
        <v>6.4675599999999998E-3</v>
      </c>
    </row>
    <row r="600" spans="1:3" x14ac:dyDescent="0.25">
      <c r="A600">
        <v>450</v>
      </c>
      <c r="B600">
        <v>41047002800</v>
      </c>
      <c r="C600">
        <v>0.99353245999999995</v>
      </c>
    </row>
    <row r="601" spans="1:3" x14ac:dyDescent="0.25">
      <c r="A601">
        <v>451</v>
      </c>
      <c r="B601">
        <v>41047001803</v>
      </c>
      <c r="C601">
        <v>0.46318390999999998</v>
      </c>
    </row>
    <row r="602" spans="1:3" x14ac:dyDescent="0.25">
      <c r="A602">
        <v>451</v>
      </c>
      <c r="B602">
        <v>41047002700</v>
      </c>
      <c r="C602">
        <v>0.53681604999999999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191E-F359-46C3-BDA5-8C05F461B2E6}">
  <dimension ref="A1:C651"/>
  <sheetViews>
    <sheetView workbookViewId="0">
      <selection sqref="A1:C651"/>
    </sheetView>
  </sheetViews>
  <sheetFormatPr defaultRowHeight="15" x14ac:dyDescent="0.25"/>
  <sheetData>
    <row r="1" spans="1:3" x14ac:dyDescent="0.25">
      <c r="A1" t="s">
        <v>11</v>
      </c>
      <c r="B1" t="s">
        <v>0</v>
      </c>
      <c r="C1" t="s">
        <v>16</v>
      </c>
    </row>
    <row r="2" spans="1:3" x14ac:dyDescent="0.25">
      <c r="A2">
        <v>31</v>
      </c>
      <c r="B2">
        <v>41053005301</v>
      </c>
      <c r="C2">
        <v>3.6703599999999997E-3</v>
      </c>
    </row>
    <row r="3" spans="1:3" x14ac:dyDescent="0.25">
      <c r="A3">
        <v>31</v>
      </c>
      <c r="B3">
        <v>41053005302</v>
      </c>
      <c r="C3">
        <v>0.99632964999999996</v>
      </c>
    </row>
    <row r="4" spans="1:3" x14ac:dyDescent="0.25">
      <c r="A4">
        <v>32</v>
      </c>
      <c r="B4">
        <v>41053005301</v>
      </c>
      <c r="C4">
        <v>0.57721460999999996</v>
      </c>
    </row>
    <row r="5" spans="1:3" x14ac:dyDescent="0.25">
      <c r="A5">
        <v>32</v>
      </c>
      <c r="B5">
        <v>41053005302</v>
      </c>
      <c r="C5">
        <v>0.42278539000000004</v>
      </c>
    </row>
    <row r="6" spans="1:3" x14ac:dyDescent="0.25">
      <c r="A6">
        <v>33</v>
      </c>
      <c r="B6">
        <v>41053005301</v>
      </c>
      <c r="C6">
        <v>3.5952E-4</v>
      </c>
    </row>
    <row r="7" spans="1:3" x14ac:dyDescent="0.25">
      <c r="A7">
        <v>33</v>
      </c>
      <c r="B7">
        <v>41053005302</v>
      </c>
      <c r="C7">
        <v>0.99964048000000005</v>
      </c>
    </row>
    <row r="8" spans="1:3" x14ac:dyDescent="0.25">
      <c r="A8">
        <v>34</v>
      </c>
      <c r="B8">
        <v>41053005301</v>
      </c>
      <c r="C8">
        <v>1.5524139999999999E-2</v>
      </c>
    </row>
    <row r="9" spans="1:3" x14ac:dyDescent="0.25">
      <c r="A9">
        <v>34</v>
      </c>
      <c r="B9">
        <v>41053005302</v>
      </c>
      <c r="C9">
        <v>0.98447587000000003</v>
      </c>
    </row>
    <row r="10" spans="1:3" x14ac:dyDescent="0.25">
      <c r="A10">
        <v>35</v>
      </c>
      <c r="B10">
        <v>41053005301</v>
      </c>
      <c r="C10">
        <v>4.0586299999999997E-3</v>
      </c>
    </row>
    <row r="11" spans="1:3" x14ac:dyDescent="0.25">
      <c r="A11">
        <v>35</v>
      </c>
      <c r="B11">
        <v>41053005302</v>
      </c>
      <c r="C11">
        <v>0.99594137999999999</v>
      </c>
    </row>
    <row r="12" spans="1:3" x14ac:dyDescent="0.25">
      <c r="A12">
        <v>36</v>
      </c>
      <c r="B12">
        <v>41053005301</v>
      </c>
      <c r="C12">
        <v>0.9974638400000001</v>
      </c>
    </row>
    <row r="13" spans="1:3" x14ac:dyDescent="0.25">
      <c r="A13">
        <v>36</v>
      </c>
      <c r="B13">
        <v>41053005302</v>
      </c>
      <c r="C13">
        <v>2.5361699999999999E-3</v>
      </c>
    </row>
    <row r="14" spans="1:3" x14ac:dyDescent="0.25">
      <c r="A14">
        <v>37</v>
      </c>
      <c r="B14">
        <v>41047002400</v>
      </c>
      <c r="C14">
        <v>1.407368E-2</v>
      </c>
    </row>
    <row r="15" spans="1:3" x14ac:dyDescent="0.25">
      <c r="A15">
        <v>37</v>
      </c>
      <c r="B15">
        <v>41053005204</v>
      </c>
      <c r="C15">
        <v>1.9663379999999998E-2</v>
      </c>
    </row>
    <row r="16" spans="1:3" x14ac:dyDescent="0.25">
      <c r="A16">
        <v>37</v>
      </c>
      <c r="B16">
        <v>41053005301</v>
      </c>
      <c r="C16">
        <v>0.91718104999999994</v>
      </c>
    </row>
    <row r="17" spans="1:3" x14ac:dyDescent="0.25">
      <c r="A17">
        <v>37</v>
      </c>
      <c r="B17">
        <v>41053005302</v>
      </c>
      <c r="C17">
        <v>4.908187E-2</v>
      </c>
    </row>
    <row r="18" spans="1:3" x14ac:dyDescent="0.25">
      <c r="A18">
        <v>38</v>
      </c>
      <c r="B18">
        <v>41047002400</v>
      </c>
      <c r="C18">
        <v>2.458666E-2</v>
      </c>
    </row>
    <row r="19" spans="1:3" x14ac:dyDescent="0.25">
      <c r="A19">
        <v>38</v>
      </c>
      <c r="B19">
        <v>41053005204</v>
      </c>
      <c r="C19">
        <v>0.97536316000000001</v>
      </c>
    </row>
    <row r="20" spans="1:3" x14ac:dyDescent="0.25">
      <c r="A20">
        <v>38</v>
      </c>
      <c r="B20">
        <v>41053005301</v>
      </c>
      <c r="C20">
        <v>5.02E-5</v>
      </c>
    </row>
    <row r="21" spans="1:3" x14ac:dyDescent="0.25">
      <c r="A21">
        <v>39</v>
      </c>
      <c r="B21">
        <v>41053005204</v>
      </c>
      <c r="C21">
        <v>2.6336199999999997E-3</v>
      </c>
    </row>
    <row r="22" spans="1:3" x14ac:dyDescent="0.25">
      <c r="A22">
        <v>39</v>
      </c>
      <c r="B22">
        <v>41053005301</v>
      </c>
      <c r="C22">
        <v>0.99736638999999994</v>
      </c>
    </row>
    <row r="23" spans="1:3" x14ac:dyDescent="0.25">
      <c r="A23">
        <v>40</v>
      </c>
      <c r="B23">
        <v>41053005301</v>
      </c>
      <c r="C23">
        <v>0.99679691000000004</v>
      </c>
    </row>
    <row r="24" spans="1:3" x14ac:dyDescent="0.25">
      <c r="A24">
        <v>40</v>
      </c>
      <c r="B24">
        <v>41053005302</v>
      </c>
      <c r="C24">
        <v>3.2030599999999998E-3</v>
      </c>
    </row>
    <row r="25" spans="1:3" x14ac:dyDescent="0.25">
      <c r="A25">
        <v>41</v>
      </c>
      <c r="B25">
        <v>41053005301</v>
      </c>
      <c r="C25">
        <v>0.30933900000000003</v>
      </c>
    </row>
    <row r="26" spans="1:3" x14ac:dyDescent="0.25">
      <c r="A26">
        <v>41</v>
      </c>
      <c r="B26">
        <v>41053005302</v>
      </c>
      <c r="C26">
        <v>0.69066100000000008</v>
      </c>
    </row>
    <row r="27" spans="1:3" x14ac:dyDescent="0.25">
      <c r="A27">
        <v>42</v>
      </c>
      <c r="B27">
        <v>41047001401</v>
      </c>
      <c r="C27">
        <v>1.3644700000000002E-3</v>
      </c>
    </row>
    <row r="28" spans="1:3" x14ac:dyDescent="0.25">
      <c r="A28">
        <v>42</v>
      </c>
      <c r="B28">
        <v>41047002502</v>
      </c>
      <c r="C28">
        <v>3.2616200000000002E-3</v>
      </c>
    </row>
    <row r="29" spans="1:3" x14ac:dyDescent="0.25">
      <c r="A29">
        <v>42</v>
      </c>
      <c r="B29">
        <v>41053005301</v>
      </c>
      <c r="C29">
        <v>0.97144032999999996</v>
      </c>
    </row>
    <row r="30" spans="1:3" x14ac:dyDescent="0.25">
      <c r="A30">
        <v>42</v>
      </c>
      <c r="B30">
        <v>41053005302</v>
      </c>
      <c r="C30">
        <v>2.3933579999999999E-2</v>
      </c>
    </row>
    <row r="31" spans="1:3" x14ac:dyDescent="0.25">
      <c r="A31">
        <v>43</v>
      </c>
      <c r="B31">
        <v>41047000300</v>
      </c>
      <c r="C31">
        <v>2.6446199999999999E-3</v>
      </c>
    </row>
    <row r="32" spans="1:3" x14ac:dyDescent="0.25">
      <c r="A32">
        <v>43</v>
      </c>
      <c r="B32">
        <v>41047000400</v>
      </c>
      <c r="C32">
        <v>1.5344999999999999E-4</v>
      </c>
    </row>
    <row r="33" spans="1:3" x14ac:dyDescent="0.25">
      <c r="A33">
        <v>43</v>
      </c>
      <c r="B33">
        <v>41047001401</v>
      </c>
      <c r="C33">
        <v>4.1715000000000003E-4</v>
      </c>
    </row>
    <row r="34" spans="1:3" x14ac:dyDescent="0.25">
      <c r="A34">
        <v>43</v>
      </c>
      <c r="B34">
        <v>41047001402</v>
      </c>
      <c r="C34">
        <v>1.7764299999999998E-3</v>
      </c>
    </row>
    <row r="35" spans="1:3" x14ac:dyDescent="0.25">
      <c r="A35">
        <v>43</v>
      </c>
      <c r="B35">
        <v>41053005206</v>
      </c>
      <c r="C35">
        <v>0.36091586999999997</v>
      </c>
    </row>
    <row r="36" spans="1:3" x14ac:dyDescent="0.25">
      <c r="A36">
        <v>43</v>
      </c>
      <c r="B36">
        <v>41053005301</v>
      </c>
      <c r="C36">
        <v>0.63409245000000003</v>
      </c>
    </row>
    <row r="37" spans="1:3" x14ac:dyDescent="0.25">
      <c r="A37">
        <v>44</v>
      </c>
      <c r="B37">
        <v>41053005301</v>
      </c>
      <c r="C37">
        <v>1</v>
      </c>
    </row>
    <row r="38" spans="1:3" x14ac:dyDescent="0.25">
      <c r="A38">
        <v>45</v>
      </c>
      <c r="B38">
        <v>41053005205</v>
      </c>
      <c r="C38">
        <v>5.5789999999999999E-5</v>
      </c>
    </row>
    <row r="39" spans="1:3" x14ac:dyDescent="0.25">
      <c r="A39">
        <v>45</v>
      </c>
      <c r="B39">
        <v>41053005301</v>
      </c>
      <c r="C39">
        <v>0.99150029000000006</v>
      </c>
    </row>
    <row r="40" spans="1:3" x14ac:dyDescent="0.25">
      <c r="A40">
        <v>45</v>
      </c>
      <c r="B40">
        <v>41053005302</v>
      </c>
      <c r="C40">
        <v>8.4439100000000007E-3</v>
      </c>
    </row>
    <row r="41" spans="1:3" x14ac:dyDescent="0.25">
      <c r="A41">
        <v>47</v>
      </c>
      <c r="B41">
        <v>41053005205</v>
      </c>
      <c r="C41">
        <v>1.0263260000000001E-2</v>
      </c>
    </row>
    <row r="42" spans="1:3" x14ac:dyDescent="0.25">
      <c r="A42">
        <v>47</v>
      </c>
      <c r="B42">
        <v>41053005301</v>
      </c>
      <c r="C42">
        <v>0.98973670999999996</v>
      </c>
    </row>
    <row r="43" spans="1:3" x14ac:dyDescent="0.25">
      <c r="A43">
        <v>48</v>
      </c>
      <c r="B43">
        <v>41053005206</v>
      </c>
      <c r="C43">
        <v>7.7808E-4</v>
      </c>
    </row>
    <row r="44" spans="1:3" x14ac:dyDescent="0.25">
      <c r="A44">
        <v>48</v>
      </c>
      <c r="B44">
        <v>41053005301</v>
      </c>
      <c r="C44">
        <v>0.99922081000000007</v>
      </c>
    </row>
    <row r="45" spans="1:3" x14ac:dyDescent="0.25">
      <c r="A45">
        <v>49</v>
      </c>
      <c r="B45">
        <v>41053005205</v>
      </c>
      <c r="C45">
        <v>0.98192868</v>
      </c>
    </row>
    <row r="46" spans="1:3" x14ac:dyDescent="0.25">
      <c r="A46">
        <v>49</v>
      </c>
      <c r="B46">
        <v>41053005206</v>
      </c>
      <c r="C46">
        <v>7.9722500000000002E-3</v>
      </c>
    </row>
    <row r="47" spans="1:3" x14ac:dyDescent="0.25">
      <c r="A47">
        <v>49</v>
      </c>
      <c r="B47">
        <v>41053005301</v>
      </c>
      <c r="C47">
        <v>1.009906E-2</v>
      </c>
    </row>
    <row r="48" spans="1:3" x14ac:dyDescent="0.25">
      <c r="A48">
        <v>50</v>
      </c>
      <c r="B48">
        <v>41053005205</v>
      </c>
      <c r="C48">
        <v>4.3293999999999997E-3</v>
      </c>
    </row>
    <row r="49" spans="1:3" x14ac:dyDescent="0.25">
      <c r="A49">
        <v>50</v>
      </c>
      <c r="B49">
        <v>41053005301</v>
      </c>
      <c r="C49">
        <v>0.99421161999999996</v>
      </c>
    </row>
    <row r="50" spans="1:3" x14ac:dyDescent="0.25">
      <c r="A50">
        <v>50</v>
      </c>
      <c r="B50">
        <v>41053005302</v>
      </c>
      <c r="C50">
        <v>1.4589900000000001E-3</v>
      </c>
    </row>
    <row r="51" spans="1:3" x14ac:dyDescent="0.25">
      <c r="A51">
        <v>51</v>
      </c>
      <c r="B51">
        <v>41053005205</v>
      </c>
      <c r="C51">
        <v>0.99908855000000008</v>
      </c>
    </row>
    <row r="52" spans="1:3" x14ac:dyDescent="0.25">
      <c r="A52">
        <v>51</v>
      </c>
      <c r="B52">
        <v>41053005206</v>
      </c>
      <c r="C52">
        <v>1.5240999999999999E-4</v>
      </c>
    </row>
    <row r="53" spans="1:3" x14ac:dyDescent="0.25">
      <c r="A53">
        <v>51</v>
      </c>
      <c r="B53">
        <v>41053005301</v>
      </c>
      <c r="C53">
        <v>7.5902999999999995E-4</v>
      </c>
    </row>
    <row r="54" spans="1:3" x14ac:dyDescent="0.25">
      <c r="A54">
        <v>52</v>
      </c>
      <c r="B54">
        <v>41053005203</v>
      </c>
      <c r="C54">
        <v>7.2306800000000006E-3</v>
      </c>
    </row>
    <row r="55" spans="1:3" x14ac:dyDescent="0.25">
      <c r="A55">
        <v>52</v>
      </c>
      <c r="B55">
        <v>41053005205</v>
      </c>
      <c r="C55">
        <v>0.98167292000000006</v>
      </c>
    </row>
    <row r="56" spans="1:3" x14ac:dyDescent="0.25">
      <c r="A56">
        <v>52</v>
      </c>
      <c r="B56">
        <v>41053005206</v>
      </c>
      <c r="C56">
        <v>1.1096390000000001E-2</v>
      </c>
    </row>
    <row r="57" spans="1:3" x14ac:dyDescent="0.25">
      <c r="A57">
        <v>53</v>
      </c>
      <c r="B57">
        <v>41053005205</v>
      </c>
      <c r="C57">
        <v>3.14E-6</v>
      </c>
    </row>
    <row r="58" spans="1:3" x14ac:dyDescent="0.25">
      <c r="A58">
        <v>53</v>
      </c>
      <c r="B58">
        <v>41053005206</v>
      </c>
      <c r="C58">
        <v>0.99999689999999997</v>
      </c>
    </row>
    <row r="59" spans="1:3" x14ac:dyDescent="0.25">
      <c r="A59">
        <v>54</v>
      </c>
      <c r="B59">
        <v>41053005203</v>
      </c>
      <c r="C59">
        <v>6.9449999999999998E-3</v>
      </c>
    </row>
    <row r="60" spans="1:3" x14ac:dyDescent="0.25">
      <c r="A60">
        <v>54</v>
      </c>
      <c r="B60">
        <v>41053005205</v>
      </c>
      <c r="C60">
        <v>0.99305502000000001</v>
      </c>
    </row>
    <row r="61" spans="1:3" x14ac:dyDescent="0.25">
      <c r="A61">
        <v>55</v>
      </c>
      <c r="B61">
        <v>41053005205</v>
      </c>
      <c r="C61">
        <v>6.5250699999999991E-3</v>
      </c>
    </row>
    <row r="62" spans="1:3" x14ac:dyDescent="0.25">
      <c r="A62">
        <v>55</v>
      </c>
      <c r="B62">
        <v>41053005301</v>
      </c>
      <c r="C62">
        <v>0.99347481000000004</v>
      </c>
    </row>
    <row r="63" spans="1:3" x14ac:dyDescent="0.25">
      <c r="A63">
        <v>56</v>
      </c>
      <c r="B63">
        <v>41053005203</v>
      </c>
      <c r="C63">
        <v>3.6247900000000001E-3</v>
      </c>
    </row>
    <row r="64" spans="1:3" x14ac:dyDescent="0.25">
      <c r="A64">
        <v>56</v>
      </c>
      <c r="B64">
        <v>41053005204</v>
      </c>
      <c r="C64">
        <v>2.4536900000000001E-3</v>
      </c>
    </row>
    <row r="65" spans="1:3" x14ac:dyDescent="0.25">
      <c r="A65">
        <v>56</v>
      </c>
      <c r="B65">
        <v>41053005205</v>
      </c>
      <c r="C65">
        <v>2.31665E-3</v>
      </c>
    </row>
    <row r="66" spans="1:3" x14ac:dyDescent="0.25">
      <c r="A66">
        <v>56</v>
      </c>
      <c r="B66">
        <v>41053005301</v>
      </c>
      <c r="C66">
        <v>0.99160488000000002</v>
      </c>
    </row>
    <row r="67" spans="1:3" x14ac:dyDescent="0.25">
      <c r="A67">
        <v>61</v>
      </c>
      <c r="B67">
        <v>41047000200</v>
      </c>
      <c r="C67">
        <v>1.5856120000000001E-2</v>
      </c>
    </row>
    <row r="68" spans="1:3" x14ac:dyDescent="0.25">
      <c r="A68">
        <v>61</v>
      </c>
      <c r="B68">
        <v>41047000300</v>
      </c>
      <c r="C68">
        <v>6.6348000000000004E-4</v>
      </c>
    </row>
    <row r="69" spans="1:3" x14ac:dyDescent="0.25">
      <c r="A69">
        <v>61</v>
      </c>
      <c r="B69">
        <v>41047001300</v>
      </c>
      <c r="C69">
        <v>3.34717E-3</v>
      </c>
    </row>
    <row r="70" spans="1:3" x14ac:dyDescent="0.25">
      <c r="A70">
        <v>61</v>
      </c>
      <c r="B70">
        <v>41053005100</v>
      </c>
      <c r="C70">
        <v>7.5732359999999999E-2</v>
      </c>
    </row>
    <row r="71" spans="1:3" x14ac:dyDescent="0.25">
      <c r="A71">
        <v>61</v>
      </c>
      <c r="B71">
        <v>41053005203</v>
      </c>
      <c r="C71">
        <v>4.6470000000000001E-5</v>
      </c>
    </row>
    <row r="72" spans="1:3" x14ac:dyDescent="0.25">
      <c r="A72">
        <v>61</v>
      </c>
      <c r="B72">
        <v>41053005204</v>
      </c>
      <c r="C72">
        <v>8.4579439999999992E-2</v>
      </c>
    </row>
    <row r="73" spans="1:3" x14ac:dyDescent="0.25">
      <c r="A73">
        <v>61</v>
      </c>
      <c r="B73">
        <v>41053005205</v>
      </c>
      <c r="C73">
        <v>3.2590000000000005E-5</v>
      </c>
    </row>
    <row r="74" spans="1:3" x14ac:dyDescent="0.25">
      <c r="A74">
        <v>61</v>
      </c>
      <c r="B74">
        <v>41053005206</v>
      </c>
      <c r="C74">
        <v>0.81974237000000005</v>
      </c>
    </row>
    <row r="75" spans="1:3" x14ac:dyDescent="0.25">
      <c r="A75">
        <v>64</v>
      </c>
      <c r="B75">
        <v>41047001300</v>
      </c>
      <c r="C75">
        <v>1.478704E-2</v>
      </c>
    </row>
    <row r="76" spans="1:3" x14ac:dyDescent="0.25">
      <c r="A76">
        <v>64</v>
      </c>
      <c r="B76">
        <v>41053005100</v>
      </c>
      <c r="C76">
        <v>0.70887113000000002</v>
      </c>
    </row>
    <row r="77" spans="1:3" x14ac:dyDescent="0.25">
      <c r="A77">
        <v>64</v>
      </c>
      <c r="B77">
        <v>41053005203</v>
      </c>
      <c r="C77">
        <v>8.7354260000000003E-2</v>
      </c>
    </row>
    <row r="78" spans="1:3" x14ac:dyDescent="0.25">
      <c r="A78">
        <v>64</v>
      </c>
      <c r="B78">
        <v>41053005204</v>
      </c>
      <c r="C78">
        <v>0.18434159</v>
      </c>
    </row>
    <row r="79" spans="1:3" x14ac:dyDescent="0.25">
      <c r="A79">
        <v>64</v>
      </c>
      <c r="B79">
        <v>41053005206</v>
      </c>
      <c r="C79">
        <v>4.64599E-3</v>
      </c>
    </row>
    <row r="80" spans="1:3" x14ac:dyDescent="0.25">
      <c r="A80">
        <v>65</v>
      </c>
      <c r="B80">
        <v>41053005100</v>
      </c>
      <c r="C80">
        <v>6.3292999999999997E-4</v>
      </c>
    </row>
    <row r="81" spans="1:3" x14ac:dyDescent="0.25">
      <c r="A81">
        <v>65</v>
      </c>
      <c r="B81">
        <v>41053005203</v>
      </c>
      <c r="C81">
        <v>0.99936705000000003</v>
      </c>
    </row>
    <row r="82" spans="1:3" x14ac:dyDescent="0.25">
      <c r="A82">
        <v>66</v>
      </c>
      <c r="B82">
        <v>41053005203</v>
      </c>
      <c r="C82">
        <v>0.99892675999999991</v>
      </c>
    </row>
    <row r="83" spans="1:3" x14ac:dyDescent="0.25">
      <c r="A83">
        <v>66</v>
      </c>
      <c r="B83">
        <v>41053005204</v>
      </c>
      <c r="C83">
        <v>1.0732199999999999E-3</v>
      </c>
    </row>
    <row r="84" spans="1:3" x14ac:dyDescent="0.25">
      <c r="A84">
        <v>67</v>
      </c>
      <c r="B84">
        <v>41053005203</v>
      </c>
      <c r="C84">
        <v>0.99297207999999992</v>
      </c>
    </row>
    <row r="85" spans="1:3" x14ac:dyDescent="0.25">
      <c r="A85">
        <v>67</v>
      </c>
      <c r="B85">
        <v>41053005204</v>
      </c>
      <c r="C85">
        <v>2.3095199999999998E-3</v>
      </c>
    </row>
    <row r="86" spans="1:3" x14ac:dyDescent="0.25">
      <c r="A86">
        <v>67</v>
      </c>
      <c r="B86">
        <v>41053005205</v>
      </c>
      <c r="C86">
        <v>2.4224300000000002E-3</v>
      </c>
    </row>
    <row r="87" spans="1:3" x14ac:dyDescent="0.25">
      <c r="A87">
        <v>67</v>
      </c>
      <c r="B87">
        <v>41053005301</v>
      </c>
      <c r="C87">
        <v>2.29597E-3</v>
      </c>
    </row>
    <row r="88" spans="1:3" x14ac:dyDescent="0.25">
      <c r="A88">
        <v>70</v>
      </c>
      <c r="B88">
        <v>41053005203</v>
      </c>
      <c r="C88">
        <v>3.993E-4</v>
      </c>
    </row>
    <row r="89" spans="1:3" x14ac:dyDescent="0.25">
      <c r="A89">
        <v>70</v>
      </c>
      <c r="B89">
        <v>41053005204</v>
      </c>
      <c r="C89">
        <v>0.9996006300000001</v>
      </c>
    </row>
    <row r="90" spans="1:3" x14ac:dyDescent="0.25">
      <c r="A90">
        <v>71</v>
      </c>
      <c r="B90">
        <v>41047002400</v>
      </c>
      <c r="C90">
        <v>1.2968249999999999E-2</v>
      </c>
    </row>
    <row r="91" spans="1:3" x14ac:dyDescent="0.25">
      <c r="A91">
        <v>71</v>
      </c>
      <c r="B91">
        <v>41053005203</v>
      </c>
      <c r="C91">
        <v>5.6981499999999999E-3</v>
      </c>
    </row>
    <row r="92" spans="1:3" x14ac:dyDescent="0.25">
      <c r="A92">
        <v>71</v>
      </c>
      <c r="B92">
        <v>41053005204</v>
      </c>
      <c r="C92">
        <v>0.98133358999999998</v>
      </c>
    </row>
    <row r="93" spans="1:3" x14ac:dyDescent="0.25">
      <c r="A93">
        <v>74</v>
      </c>
      <c r="B93">
        <v>41053005100</v>
      </c>
      <c r="C93">
        <v>2.4585539999999999E-2</v>
      </c>
    </row>
    <row r="94" spans="1:3" x14ac:dyDescent="0.25">
      <c r="A94">
        <v>74</v>
      </c>
      <c r="B94">
        <v>41053005203</v>
      </c>
      <c r="C94">
        <v>0.97445423000000009</v>
      </c>
    </row>
    <row r="95" spans="1:3" x14ac:dyDescent="0.25">
      <c r="A95">
        <v>74</v>
      </c>
      <c r="B95">
        <v>41053005204</v>
      </c>
      <c r="C95">
        <v>9.6018999999999998E-4</v>
      </c>
    </row>
    <row r="96" spans="1:3" x14ac:dyDescent="0.25">
      <c r="A96">
        <v>75</v>
      </c>
      <c r="B96">
        <v>41053005100</v>
      </c>
      <c r="C96">
        <v>0.99868341999999999</v>
      </c>
    </row>
    <row r="97" spans="1:3" x14ac:dyDescent="0.25">
      <c r="A97">
        <v>75</v>
      </c>
      <c r="B97">
        <v>41053005203</v>
      </c>
      <c r="C97">
        <v>1.3165499999999999E-3</v>
      </c>
    </row>
    <row r="98" spans="1:3" x14ac:dyDescent="0.25">
      <c r="A98">
        <v>76</v>
      </c>
      <c r="B98">
        <v>41047001300</v>
      </c>
      <c r="C98">
        <v>7.26993E-3</v>
      </c>
    </row>
    <row r="99" spans="1:3" x14ac:dyDescent="0.25">
      <c r="A99">
        <v>76</v>
      </c>
      <c r="B99">
        <v>41053005100</v>
      </c>
      <c r="C99">
        <v>0.21291867</v>
      </c>
    </row>
    <row r="100" spans="1:3" x14ac:dyDescent="0.25">
      <c r="A100">
        <v>76</v>
      </c>
      <c r="B100">
        <v>41053005203</v>
      </c>
      <c r="C100">
        <v>0.34246084000000004</v>
      </c>
    </row>
    <row r="101" spans="1:3" x14ac:dyDescent="0.25">
      <c r="A101">
        <v>76</v>
      </c>
      <c r="B101">
        <v>41053005204</v>
      </c>
      <c r="C101">
        <v>0.43735058999999998</v>
      </c>
    </row>
    <row r="102" spans="1:3" x14ac:dyDescent="0.25">
      <c r="A102">
        <v>77</v>
      </c>
      <c r="B102">
        <v>41047001300</v>
      </c>
      <c r="C102">
        <v>3.7013940000000002E-2</v>
      </c>
    </row>
    <row r="103" spans="1:3" x14ac:dyDescent="0.25">
      <c r="A103">
        <v>77</v>
      </c>
      <c r="B103">
        <v>41053005100</v>
      </c>
      <c r="C103">
        <v>0.42140967000000001</v>
      </c>
    </row>
    <row r="104" spans="1:3" x14ac:dyDescent="0.25">
      <c r="A104">
        <v>77</v>
      </c>
      <c r="B104">
        <v>41053005204</v>
      </c>
      <c r="C104">
        <v>0.54157630000000001</v>
      </c>
    </row>
    <row r="105" spans="1:3" x14ac:dyDescent="0.25">
      <c r="A105">
        <v>78</v>
      </c>
      <c r="B105">
        <v>41053005100</v>
      </c>
      <c r="C105">
        <v>0.76330814000000002</v>
      </c>
    </row>
    <row r="106" spans="1:3" x14ac:dyDescent="0.25">
      <c r="A106">
        <v>78</v>
      </c>
      <c r="B106">
        <v>41053005203</v>
      </c>
      <c r="C106">
        <v>0.23669192999999999</v>
      </c>
    </row>
    <row r="107" spans="1:3" x14ac:dyDescent="0.25">
      <c r="A107">
        <v>80</v>
      </c>
      <c r="B107">
        <v>41047001401</v>
      </c>
      <c r="C107">
        <v>2.5300000000000002E-5</v>
      </c>
    </row>
    <row r="108" spans="1:3" x14ac:dyDescent="0.25">
      <c r="A108">
        <v>80</v>
      </c>
      <c r="B108">
        <v>41047002502</v>
      </c>
      <c r="C108">
        <v>0.99995193999999998</v>
      </c>
    </row>
    <row r="109" spans="1:3" x14ac:dyDescent="0.25">
      <c r="A109">
        <v>80</v>
      </c>
      <c r="B109">
        <v>41047002503</v>
      </c>
      <c r="C109">
        <v>2.1469999999999999E-5</v>
      </c>
    </row>
    <row r="110" spans="1:3" x14ac:dyDescent="0.25">
      <c r="A110">
        <v>80</v>
      </c>
      <c r="B110">
        <v>41047002504</v>
      </c>
      <c r="C110">
        <v>1.28E-6</v>
      </c>
    </row>
    <row r="111" spans="1:3" x14ac:dyDescent="0.25">
      <c r="A111">
        <v>81</v>
      </c>
      <c r="B111">
        <v>41047001401</v>
      </c>
      <c r="C111">
        <v>0.97223996000000001</v>
      </c>
    </row>
    <row r="112" spans="1:3" x14ac:dyDescent="0.25">
      <c r="A112">
        <v>81</v>
      </c>
      <c r="B112">
        <v>41047001402</v>
      </c>
      <c r="C112">
        <v>4.4800000000000003E-6</v>
      </c>
    </row>
    <row r="113" spans="1:3" x14ac:dyDescent="0.25">
      <c r="A113">
        <v>81</v>
      </c>
      <c r="B113">
        <v>41047002502</v>
      </c>
      <c r="C113">
        <v>7.1804999999999994E-3</v>
      </c>
    </row>
    <row r="114" spans="1:3" x14ac:dyDescent="0.25">
      <c r="A114">
        <v>81</v>
      </c>
      <c r="B114">
        <v>41053005301</v>
      </c>
      <c r="C114">
        <v>2.0575079999999999E-2</v>
      </c>
    </row>
    <row r="115" spans="1:3" x14ac:dyDescent="0.25">
      <c r="A115">
        <v>82</v>
      </c>
      <c r="B115">
        <v>41047001401</v>
      </c>
      <c r="C115">
        <v>0.95074727999999997</v>
      </c>
    </row>
    <row r="116" spans="1:3" x14ac:dyDescent="0.25">
      <c r="A116">
        <v>82</v>
      </c>
      <c r="B116">
        <v>41047001501</v>
      </c>
      <c r="C116">
        <v>1.82398E-3</v>
      </c>
    </row>
    <row r="117" spans="1:3" x14ac:dyDescent="0.25">
      <c r="A117">
        <v>82</v>
      </c>
      <c r="B117">
        <v>41047002502</v>
      </c>
      <c r="C117">
        <v>3.8556989999999999E-2</v>
      </c>
    </row>
    <row r="118" spans="1:3" x14ac:dyDescent="0.25">
      <c r="A118">
        <v>82</v>
      </c>
      <c r="B118">
        <v>41047002503</v>
      </c>
      <c r="C118">
        <v>8.8717199999999996E-3</v>
      </c>
    </row>
    <row r="119" spans="1:3" x14ac:dyDescent="0.25">
      <c r="A119">
        <v>83</v>
      </c>
      <c r="B119">
        <v>41047002502</v>
      </c>
      <c r="C119">
        <v>0.99929917000000001</v>
      </c>
    </row>
    <row r="120" spans="1:3" x14ac:dyDescent="0.25">
      <c r="A120">
        <v>83</v>
      </c>
      <c r="B120">
        <v>41047002504</v>
      </c>
      <c r="C120">
        <v>7.0081000000000006E-4</v>
      </c>
    </row>
    <row r="121" spans="1:3" x14ac:dyDescent="0.25">
      <c r="A121">
        <v>84</v>
      </c>
      <c r="B121">
        <v>41047002502</v>
      </c>
      <c r="C121">
        <v>1</v>
      </c>
    </row>
    <row r="122" spans="1:3" x14ac:dyDescent="0.25">
      <c r="A122">
        <v>85</v>
      </c>
      <c r="B122">
        <v>41047002502</v>
      </c>
      <c r="C122">
        <v>0.68209346999999998</v>
      </c>
    </row>
    <row r="123" spans="1:3" x14ac:dyDescent="0.25">
      <c r="A123">
        <v>85</v>
      </c>
      <c r="B123">
        <v>41047002504</v>
      </c>
      <c r="C123">
        <v>0.31790652999999996</v>
      </c>
    </row>
    <row r="124" spans="1:3" x14ac:dyDescent="0.25">
      <c r="A124">
        <v>86</v>
      </c>
      <c r="B124">
        <v>41047002502</v>
      </c>
      <c r="C124">
        <v>0.59804882999999998</v>
      </c>
    </row>
    <row r="125" spans="1:3" x14ac:dyDescent="0.25">
      <c r="A125">
        <v>86</v>
      </c>
      <c r="B125">
        <v>41047002503</v>
      </c>
      <c r="C125">
        <v>0.3963969</v>
      </c>
    </row>
    <row r="126" spans="1:3" x14ac:dyDescent="0.25">
      <c r="A126">
        <v>86</v>
      </c>
      <c r="B126">
        <v>41047002504</v>
      </c>
      <c r="C126">
        <v>5.55428E-3</v>
      </c>
    </row>
    <row r="127" spans="1:3" x14ac:dyDescent="0.25">
      <c r="A127">
        <v>87</v>
      </c>
      <c r="B127">
        <v>41047002502</v>
      </c>
      <c r="C127">
        <v>5.1975400000000005E-3</v>
      </c>
    </row>
    <row r="128" spans="1:3" x14ac:dyDescent="0.25">
      <c r="A128">
        <v>87</v>
      </c>
      <c r="B128">
        <v>41047002504</v>
      </c>
      <c r="C128">
        <v>0.99480248999999998</v>
      </c>
    </row>
    <row r="129" spans="1:3" x14ac:dyDescent="0.25">
      <c r="A129">
        <v>88</v>
      </c>
      <c r="B129">
        <v>41047001401</v>
      </c>
      <c r="C129">
        <v>2.8179700000000004E-3</v>
      </c>
    </row>
    <row r="130" spans="1:3" x14ac:dyDescent="0.25">
      <c r="A130">
        <v>88</v>
      </c>
      <c r="B130">
        <v>41047002502</v>
      </c>
      <c r="C130">
        <v>0.34109113000000002</v>
      </c>
    </row>
    <row r="131" spans="1:3" x14ac:dyDescent="0.25">
      <c r="A131">
        <v>88</v>
      </c>
      <c r="B131">
        <v>41047002503</v>
      </c>
      <c r="C131">
        <v>0.42621146000000004</v>
      </c>
    </row>
    <row r="132" spans="1:3" x14ac:dyDescent="0.25">
      <c r="A132">
        <v>88</v>
      </c>
      <c r="B132">
        <v>41047002504</v>
      </c>
      <c r="C132">
        <v>0.22987943000000002</v>
      </c>
    </row>
    <row r="133" spans="1:3" x14ac:dyDescent="0.25">
      <c r="A133">
        <v>89</v>
      </c>
      <c r="B133">
        <v>41047002503</v>
      </c>
      <c r="C133">
        <v>0.49426941999999996</v>
      </c>
    </row>
    <row r="134" spans="1:3" x14ac:dyDescent="0.25">
      <c r="A134">
        <v>89</v>
      </c>
      <c r="B134">
        <v>41047002504</v>
      </c>
      <c r="C134">
        <v>0.50573058000000004</v>
      </c>
    </row>
    <row r="135" spans="1:3" x14ac:dyDescent="0.25">
      <c r="A135">
        <v>90</v>
      </c>
      <c r="B135">
        <v>41047001401</v>
      </c>
      <c r="C135">
        <v>4.2224000000000003E-3</v>
      </c>
    </row>
    <row r="136" spans="1:3" x14ac:dyDescent="0.25">
      <c r="A136">
        <v>90</v>
      </c>
      <c r="B136">
        <v>41047001501</v>
      </c>
      <c r="C136">
        <v>1.9558000000000002E-3</v>
      </c>
    </row>
    <row r="137" spans="1:3" x14ac:dyDescent="0.25">
      <c r="A137">
        <v>90</v>
      </c>
      <c r="B137">
        <v>41047002503</v>
      </c>
      <c r="C137">
        <v>0.99382178999999993</v>
      </c>
    </row>
    <row r="138" spans="1:3" x14ac:dyDescent="0.25">
      <c r="A138">
        <v>91</v>
      </c>
      <c r="B138">
        <v>41047001501</v>
      </c>
      <c r="C138">
        <v>3.1036149999999998E-2</v>
      </c>
    </row>
    <row r="139" spans="1:3" x14ac:dyDescent="0.25">
      <c r="A139">
        <v>91</v>
      </c>
      <c r="B139">
        <v>41047002503</v>
      </c>
      <c r="C139">
        <v>0.96896388</v>
      </c>
    </row>
    <row r="140" spans="1:3" x14ac:dyDescent="0.25">
      <c r="A140">
        <v>92</v>
      </c>
      <c r="B140">
        <v>41047001501</v>
      </c>
      <c r="C140">
        <v>0.97030430999999995</v>
      </c>
    </row>
    <row r="141" spans="1:3" x14ac:dyDescent="0.25">
      <c r="A141">
        <v>92</v>
      </c>
      <c r="B141">
        <v>41047001502</v>
      </c>
      <c r="C141">
        <v>2.2953000000000001E-4</v>
      </c>
    </row>
    <row r="142" spans="1:3" x14ac:dyDescent="0.25">
      <c r="A142">
        <v>92</v>
      </c>
      <c r="B142">
        <v>41047002502</v>
      </c>
      <c r="C142">
        <v>2.6043790000000001E-2</v>
      </c>
    </row>
    <row r="143" spans="1:3" x14ac:dyDescent="0.25">
      <c r="A143">
        <v>92</v>
      </c>
      <c r="B143">
        <v>41047002503</v>
      </c>
      <c r="C143">
        <v>3.4223500000000002E-3</v>
      </c>
    </row>
    <row r="144" spans="1:3" x14ac:dyDescent="0.25">
      <c r="A144">
        <v>94</v>
      </c>
      <c r="B144">
        <v>41047001501</v>
      </c>
      <c r="C144">
        <v>0.98645853000000006</v>
      </c>
    </row>
    <row r="145" spans="1:3" x14ac:dyDescent="0.25">
      <c r="A145">
        <v>94</v>
      </c>
      <c r="B145">
        <v>41047001502</v>
      </c>
      <c r="C145">
        <v>8.6143999999999999E-4</v>
      </c>
    </row>
    <row r="146" spans="1:3" x14ac:dyDescent="0.25">
      <c r="A146">
        <v>94</v>
      </c>
      <c r="B146">
        <v>41047002503</v>
      </c>
      <c r="C146">
        <v>1.268011E-2</v>
      </c>
    </row>
    <row r="147" spans="1:3" x14ac:dyDescent="0.25">
      <c r="A147">
        <v>95</v>
      </c>
      <c r="B147">
        <v>41047001401</v>
      </c>
      <c r="C147">
        <v>5.8219000000000001E-4</v>
      </c>
    </row>
    <row r="148" spans="1:3" x14ac:dyDescent="0.25">
      <c r="A148">
        <v>95</v>
      </c>
      <c r="B148">
        <v>41047001501</v>
      </c>
      <c r="C148">
        <v>0.99590738999999995</v>
      </c>
    </row>
    <row r="149" spans="1:3" x14ac:dyDescent="0.25">
      <c r="A149">
        <v>95</v>
      </c>
      <c r="B149">
        <v>41047001502</v>
      </c>
      <c r="C149">
        <v>3.5343000000000001E-4</v>
      </c>
    </row>
    <row r="150" spans="1:3" x14ac:dyDescent="0.25">
      <c r="A150">
        <v>95</v>
      </c>
      <c r="B150">
        <v>41047002503</v>
      </c>
      <c r="C150">
        <v>3.1569900000000001E-3</v>
      </c>
    </row>
    <row r="151" spans="1:3" x14ac:dyDescent="0.25">
      <c r="A151">
        <v>100</v>
      </c>
      <c r="B151">
        <v>41047001501</v>
      </c>
      <c r="C151">
        <v>9.4047699999999998E-3</v>
      </c>
    </row>
    <row r="152" spans="1:3" x14ac:dyDescent="0.25">
      <c r="A152">
        <v>100</v>
      </c>
      <c r="B152">
        <v>41047001502</v>
      </c>
      <c r="C152">
        <v>0.98637902999999993</v>
      </c>
    </row>
    <row r="153" spans="1:3" x14ac:dyDescent="0.25">
      <c r="A153">
        <v>100</v>
      </c>
      <c r="B153">
        <v>41047002502</v>
      </c>
      <c r="C153">
        <v>4.21616E-3</v>
      </c>
    </row>
    <row r="154" spans="1:3" x14ac:dyDescent="0.25">
      <c r="A154">
        <v>103</v>
      </c>
      <c r="B154">
        <v>41047001501</v>
      </c>
      <c r="C154">
        <v>0.25570691000000001</v>
      </c>
    </row>
    <row r="155" spans="1:3" x14ac:dyDescent="0.25">
      <c r="A155">
        <v>103</v>
      </c>
      <c r="B155">
        <v>41047001502</v>
      </c>
      <c r="C155">
        <v>0.74429304000000007</v>
      </c>
    </row>
    <row r="156" spans="1:3" x14ac:dyDescent="0.25">
      <c r="A156">
        <v>104</v>
      </c>
      <c r="B156">
        <v>41047001401</v>
      </c>
      <c r="C156">
        <v>1.3074969999999998E-2</v>
      </c>
    </row>
    <row r="157" spans="1:3" x14ac:dyDescent="0.25">
      <c r="A157">
        <v>104</v>
      </c>
      <c r="B157">
        <v>41047001501</v>
      </c>
      <c r="C157">
        <v>0.55301827000000003</v>
      </c>
    </row>
    <row r="158" spans="1:3" x14ac:dyDescent="0.25">
      <c r="A158">
        <v>104</v>
      </c>
      <c r="B158">
        <v>41047001502</v>
      </c>
      <c r="C158">
        <v>0.43390673000000002</v>
      </c>
    </row>
    <row r="159" spans="1:3" x14ac:dyDescent="0.25">
      <c r="A159">
        <v>107</v>
      </c>
      <c r="B159">
        <v>41047001401</v>
      </c>
      <c r="C159">
        <v>0.99853078999999989</v>
      </c>
    </row>
    <row r="160" spans="1:3" x14ac:dyDescent="0.25">
      <c r="A160">
        <v>107</v>
      </c>
      <c r="B160">
        <v>41047001402</v>
      </c>
      <c r="C160">
        <v>3.5740000000000001E-4</v>
      </c>
    </row>
    <row r="161" spans="1:3" x14ac:dyDescent="0.25">
      <c r="A161">
        <v>107</v>
      </c>
      <c r="B161">
        <v>41047001501</v>
      </c>
      <c r="C161">
        <v>1.1118300000000001E-3</v>
      </c>
    </row>
    <row r="162" spans="1:3" x14ac:dyDescent="0.25">
      <c r="A162">
        <v>110</v>
      </c>
      <c r="B162">
        <v>41047001401</v>
      </c>
      <c r="C162">
        <v>0.99624093999999996</v>
      </c>
    </row>
    <row r="163" spans="1:3" x14ac:dyDescent="0.25">
      <c r="A163">
        <v>110</v>
      </c>
      <c r="B163">
        <v>41047001402</v>
      </c>
      <c r="C163">
        <v>3.7589899999999998E-3</v>
      </c>
    </row>
    <row r="164" spans="1:3" x14ac:dyDescent="0.25">
      <c r="A164">
        <v>111</v>
      </c>
      <c r="B164">
        <v>41047001401</v>
      </c>
      <c r="C164">
        <v>8.7575470000000002E-2</v>
      </c>
    </row>
    <row r="165" spans="1:3" x14ac:dyDescent="0.25">
      <c r="A165">
        <v>111</v>
      </c>
      <c r="B165">
        <v>41047001402</v>
      </c>
      <c r="C165">
        <v>0.91096288000000003</v>
      </c>
    </row>
    <row r="166" spans="1:3" x14ac:dyDescent="0.25">
      <c r="A166">
        <v>111</v>
      </c>
      <c r="B166">
        <v>41053005301</v>
      </c>
      <c r="C166">
        <v>1.4616899999999999E-3</v>
      </c>
    </row>
    <row r="167" spans="1:3" x14ac:dyDescent="0.25">
      <c r="A167">
        <v>112</v>
      </c>
      <c r="B167">
        <v>41047001401</v>
      </c>
      <c r="C167">
        <v>2.5262600000000002E-3</v>
      </c>
    </row>
    <row r="168" spans="1:3" x14ac:dyDescent="0.25">
      <c r="A168">
        <v>112</v>
      </c>
      <c r="B168">
        <v>41047001402</v>
      </c>
      <c r="C168">
        <v>0.99747370999999996</v>
      </c>
    </row>
    <row r="169" spans="1:3" x14ac:dyDescent="0.25">
      <c r="A169">
        <v>114</v>
      </c>
      <c r="B169">
        <v>41047001401</v>
      </c>
      <c r="C169">
        <v>5.4830000000000002E-5</v>
      </c>
    </row>
    <row r="170" spans="1:3" x14ac:dyDescent="0.25">
      <c r="A170">
        <v>114</v>
      </c>
      <c r="B170">
        <v>41047001402</v>
      </c>
      <c r="C170">
        <v>6.0561699999999996E-3</v>
      </c>
    </row>
    <row r="171" spans="1:3" x14ac:dyDescent="0.25">
      <c r="A171">
        <v>114</v>
      </c>
      <c r="B171">
        <v>41047001501</v>
      </c>
      <c r="C171">
        <v>6.5129000000000012E-4</v>
      </c>
    </row>
    <row r="172" spans="1:3" x14ac:dyDescent="0.25">
      <c r="A172">
        <v>114</v>
      </c>
      <c r="B172">
        <v>41047001502</v>
      </c>
      <c r="C172">
        <v>0.53220383999999998</v>
      </c>
    </row>
    <row r="173" spans="1:3" x14ac:dyDescent="0.25">
      <c r="A173">
        <v>114</v>
      </c>
      <c r="B173">
        <v>41047001503</v>
      </c>
      <c r="C173">
        <v>0.4610339</v>
      </c>
    </row>
    <row r="174" spans="1:3" x14ac:dyDescent="0.25">
      <c r="A174">
        <v>116</v>
      </c>
      <c r="B174">
        <v>41047001501</v>
      </c>
      <c r="C174">
        <v>2.6577000000000003E-4</v>
      </c>
    </row>
    <row r="175" spans="1:3" x14ac:dyDescent="0.25">
      <c r="A175">
        <v>116</v>
      </c>
      <c r="B175">
        <v>41047001502</v>
      </c>
      <c r="C175">
        <v>0.79865587000000005</v>
      </c>
    </row>
    <row r="176" spans="1:3" x14ac:dyDescent="0.25">
      <c r="A176">
        <v>116</v>
      </c>
      <c r="B176">
        <v>41047001503</v>
      </c>
      <c r="C176">
        <v>0.20107835999999998</v>
      </c>
    </row>
    <row r="177" spans="1:3" x14ac:dyDescent="0.25">
      <c r="A177">
        <v>117</v>
      </c>
      <c r="B177">
        <v>41047001503</v>
      </c>
      <c r="C177">
        <v>1</v>
      </c>
    </row>
    <row r="178" spans="1:3" x14ac:dyDescent="0.25">
      <c r="A178">
        <v>118</v>
      </c>
      <c r="B178">
        <v>41047000400</v>
      </c>
      <c r="C178">
        <v>9.7836999999999989E-4</v>
      </c>
    </row>
    <row r="179" spans="1:3" x14ac:dyDescent="0.25">
      <c r="A179">
        <v>118</v>
      </c>
      <c r="B179">
        <v>41047001402</v>
      </c>
      <c r="C179">
        <v>1.6175759999999997E-2</v>
      </c>
    </row>
    <row r="180" spans="1:3" x14ac:dyDescent="0.25">
      <c r="A180">
        <v>118</v>
      </c>
      <c r="B180">
        <v>41047001503</v>
      </c>
      <c r="C180">
        <v>0.98284583000000003</v>
      </c>
    </row>
    <row r="181" spans="1:3" x14ac:dyDescent="0.25">
      <c r="A181">
        <v>120</v>
      </c>
      <c r="B181">
        <v>41047000400</v>
      </c>
      <c r="C181">
        <v>1.8429330000000001E-2</v>
      </c>
    </row>
    <row r="182" spans="1:3" x14ac:dyDescent="0.25">
      <c r="A182">
        <v>120</v>
      </c>
      <c r="B182">
        <v>41047001402</v>
      </c>
      <c r="C182">
        <v>0.97639028999999988</v>
      </c>
    </row>
    <row r="183" spans="1:3" x14ac:dyDescent="0.25">
      <c r="A183">
        <v>120</v>
      </c>
      <c r="B183">
        <v>41053005206</v>
      </c>
      <c r="C183">
        <v>1.6837E-3</v>
      </c>
    </row>
    <row r="184" spans="1:3" x14ac:dyDescent="0.25">
      <c r="A184">
        <v>120</v>
      </c>
      <c r="B184">
        <v>41053005301</v>
      </c>
      <c r="C184">
        <v>3.49673E-3</v>
      </c>
    </row>
    <row r="185" spans="1:3" x14ac:dyDescent="0.25">
      <c r="A185">
        <v>124</v>
      </c>
      <c r="B185">
        <v>41047000400</v>
      </c>
      <c r="C185">
        <v>0.98376144999999993</v>
      </c>
    </row>
    <row r="186" spans="1:3" x14ac:dyDescent="0.25">
      <c r="A186">
        <v>124</v>
      </c>
      <c r="B186">
        <v>41047001402</v>
      </c>
      <c r="C186">
        <v>7.3577000000000007E-4</v>
      </c>
    </row>
    <row r="187" spans="1:3" x14ac:dyDescent="0.25">
      <c r="A187">
        <v>124</v>
      </c>
      <c r="B187">
        <v>41053005206</v>
      </c>
      <c r="C187">
        <v>1.5502789999999999E-2</v>
      </c>
    </row>
    <row r="188" spans="1:3" x14ac:dyDescent="0.25">
      <c r="A188">
        <v>125</v>
      </c>
      <c r="B188">
        <v>41047000400</v>
      </c>
      <c r="C188">
        <v>0.99228806000000003</v>
      </c>
    </row>
    <row r="189" spans="1:3" x14ac:dyDescent="0.25">
      <c r="A189">
        <v>125</v>
      </c>
      <c r="B189">
        <v>41047001503</v>
      </c>
      <c r="C189">
        <v>7.7118600000000001E-3</v>
      </c>
    </row>
    <row r="190" spans="1:3" x14ac:dyDescent="0.25">
      <c r="A190">
        <v>126</v>
      </c>
      <c r="B190">
        <v>41047000400</v>
      </c>
      <c r="C190">
        <v>0.98007825999999998</v>
      </c>
    </row>
    <row r="191" spans="1:3" x14ac:dyDescent="0.25">
      <c r="A191">
        <v>126</v>
      </c>
      <c r="B191">
        <v>41047001503</v>
      </c>
      <c r="C191">
        <v>1.9921680000000001E-2</v>
      </c>
    </row>
    <row r="192" spans="1:3" x14ac:dyDescent="0.25">
      <c r="A192">
        <v>128</v>
      </c>
      <c r="B192">
        <v>41047000400</v>
      </c>
      <c r="C192">
        <v>7.9395799999999999E-3</v>
      </c>
    </row>
    <row r="193" spans="1:3" x14ac:dyDescent="0.25">
      <c r="A193">
        <v>128</v>
      </c>
      <c r="B193">
        <v>41047001503</v>
      </c>
      <c r="C193">
        <v>0.99206047999999991</v>
      </c>
    </row>
    <row r="194" spans="1:3" x14ac:dyDescent="0.25">
      <c r="A194">
        <v>129</v>
      </c>
      <c r="B194">
        <v>41047002502</v>
      </c>
      <c r="C194">
        <v>0.99999999000000006</v>
      </c>
    </row>
    <row r="195" spans="1:3" x14ac:dyDescent="0.25">
      <c r="A195">
        <v>130</v>
      </c>
      <c r="B195">
        <v>41047002502</v>
      </c>
      <c r="C195">
        <v>1</v>
      </c>
    </row>
    <row r="196" spans="1:3" x14ac:dyDescent="0.25">
      <c r="A196">
        <v>131</v>
      </c>
      <c r="B196">
        <v>41047002502</v>
      </c>
      <c r="C196">
        <v>1</v>
      </c>
    </row>
    <row r="197" spans="1:3" x14ac:dyDescent="0.25">
      <c r="A197">
        <v>132</v>
      </c>
      <c r="B197">
        <v>41047002502</v>
      </c>
      <c r="C197">
        <v>1</v>
      </c>
    </row>
    <row r="198" spans="1:3" x14ac:dyDescent="0.25">
      <c r="A198">
        <v>133</v>
      </c>
      <c r="B198">
        <v>41047002502</v>
      </c>
      <c r="C198">
        <v>0.99888217999999995</v>
      </c>
    </row>
    <row r="199" spans="1:3" x14ac:dyDescent="0.25">
      <c r="A199">
        <v>133</v>
      </c>
      <c r="B199">
        <v>41047002600</v>
      </c>
      <c r="C199">
        <v>1.1178200000000001E-3</v>
      </c>
    </row>
    <row r="200" spans="1:3" x14ac:dyDescent="0.25">
      <c r="A200">
        <v>134</v>
      </c>
      <c r="B200">
        <v>41047002502</v>
      </c>
      <c r="C200">
        <v>0.99999996999999996</v>
      </c>
    </row>
    <row r="201" spans="1:3" x14ac:dyDescent="0.25">
      <c r="A201">
        <v>135</v>
      </c>
      <c r="B201">
        <v>41047001601</v>
      </c>
      <c r="C201">
        <v>3.5049709999999998E-2</v>
      </c>
    </row>
    <row r="202" spans="1:3" x14ac:dyDescent="0.25">
      <c r="A202">
        <v>135</v>
      </c>
      <c r="B202">
        <v>41047002502</v>
      </c>
      <c r="C202">
        <v>0.96495031999999992</v>
      </c>
    </row>
    <row r="203" spans="1:3" x14ac:dyDescent="0.25">
      <c r="A203">
        <v>136</v>
      </c>
      <c r="B203">
        <v>41047001601</v>
      </c>
      <c r="C203">
        <v>3.9203199999999997E-3</v>
      </c>
    </row>
    <row r="204" spans="1:3" x14ac:dyDescent="0.25">
      <c r="A204">
        <v>136</v>
      </c>
      <c r="B204">
        <v>41047002502</v>
      </c>
      <c r="C204">
        <v>0.99607978000000008</v>
      </c>
    </row>
    <row r="205" spans="1:3" x14ac:dyDescent="0.25">
      <c r="A205">
        <v>137</v>
      </c>
      <c r="B205">
        <v>41047001601</v>
      </c>
      <c r="C205">
        <v>1.0999999999999999E-7</v>
      </c>
    </row>
    <row r="206" spans="1:3" x14ac:dyDescent="0.25">
      <c r="A206">
        <v>137</v>
      </c>
      <c r="B206">
        <v>41047001603</v>
      </c>
      <c r="C206">
        <v>3.8096600000000003E-3</v>
      </c>
    </row>
    <row r="207" spans="1:3" x14ac:dyDescent="0.25">
      <c r="A207">
        <v>137</v>
      </c>
      <c r="B207">
        <v>41047002502</v>
      </c>
      <c r="C207">
        <v>0.99619017999999993</v>
      </c>
    </row>
    <row r="208" spans="1:3" x14ac:dyDescent="0.25">
      <c r="A208">
        <v>138</v>
      </c>
      <c r="B208">
        <v>41047001603</v>
      </c>
      <c r="C208">
        <v>6.4800000000000003E-5</v>
      </c>
    </row>
    <row r="209" spans="1:3" x14ac:dyDescent="0.25">
      <c r="A209">
        <v>138</v>
      </c>
      <c r="B209">
        <v>41047002502</v>
      </c>
      <c r="C209">
        <v>0.98271816000000001</v>
      </c>
    </row>
    <row r="210" spans="1:3" x14ac:dyDescent="0.25">
      <c r="A210">
        <v>138</v>
      </c>
      <c r="B210">
        <v>41047002600</v>
      </c>
      <c r="C210">
        <v>1.7217050000000001E-2</v>
      </c>
    </row>
    <row r="211" spans="1:3" x14ac:dyDescent="0.25">
      <c r="A211">
        <v>139</v>
      </c>
      <c r="B211">
        <v>41047001603</v>
      </c>
      <c r="C211">
        <v>0.99729000999999995</v>
      </c>
    </row>
    <row r="212" spans="1:3" x14ac:dyDescent="0.25">
      <c r="A212">
        <v>139</v>
      </c>
      <c r="B212">
        <v>41047002502</v>
      </c>
      <c r="C212">
        <v>1.2803200000000002E-3</v>
      </c>
    </row>
    <row r="213" spans="1:3" x14ac:dyDescent="0.25">
      <c r="A213">
        <v>139</v>
      </c>
      <c r="B213">
        <v>41047002600</v>
      </c>
      <c r="C213">
        <v>1.4296600000000001E-3</v>
      </c>
    </row>
    <row r="214" spans="1:3" x14ac:dyDescent="0.25">
      <c r="A214">
        <v>140</v>
      </c>
      <c r="B214">
        <v>41047001601</v>
      </c>
      <c r="C214">
        <v>0.75481144999999994</v>
      </c>
    </row>
    <row r="215" spans="1:3" x14ac:dyDescent="0.25">
      <c r="A215">
        <v>140</v>
      </c>
      <c r="B215">
        <v>41047001603</v>
      </c>
      <c r="C215">
        <v>0.24406011</v>
      </c>
    </row>
    <row r="216" spans="1:3" x14ac:dyDescent="0.25">
      <c r="A216">
        <v>140</v>
      </c>
      <c r="B216">
        <v>41047002502</v>
      </c>
      <c r="C216">
        <v>1.12845E-3</v>
      </c>
    </row>
    <row r="217" spans="1:3" x14ac:dyDescent="0.25">
      <c r="A217">
        <v>141</v>
      </c>
      <c r="B217">
        <v>41047001601</v>
      </c>
      <c r="C217">
        <v>0.92722066999999997</v>
      </c>
    </row>
    <row r="218" spans="1:3" x14ac:dyDescent="0.25">
      <c r="A218">
        <v>141</v>
      </c>
      <c r="B218">
        <v>41047001605</v>
      </c>
      <c r="C218">
        <v>7.2678919999999994E-2</v>
      </c>
    </row>
    <row r="219" spans="1:3" x14ac:dyDescent="0.25">
      <c r="A219">
        <v>141</v>
      </c>
      <c r="B219">
        <v>41047001606</v>
      </c>
      <c r="C219">
        <v>1.0041E-4</v>
      </c>
    </row>
    <row r="220" spans="1:3" x14ac:dyDescent="0.25">
      <c r="A220">
        <v>143</v>
      </c>
      <c r="B220">
        <v>41047001601</v>
      </c>
      <c r="C220">
        <v>0.99999996999999996</v>
      </c>
    </row>
    <row r="221" spans="1:3" x14ac:dyDescent="0.25">
      <c r="A221">
        <v>144</v>
      </c>
      <c r="B221">
        <v>41047000400</v>
      </c>
      <c r="C221">
        <v>2.7309999999999998E-5</v>
      </c>
    </row>
    <row r="222" spans="1:3" x14ac:dyDescent="0.25">
      <c r="A222">
        <v>144</v>
      </c>
      <c r="B222">
        <v>41047001601</v>
      </c>
      <c r="C222">
        <v>0.95345284000000008</v>
      </c>
    </row>
    <row r="223" spans="1:3" x14ac:dyDescent="0.25">
      <c r="A223">
        <v>144</v>
      </c>
      <c r="B223">
        <v>41047001605</v>
      </c>
      <c r="C223">
        <v>4.6519979999999996E-2</v>
      </c>
    </row>
    <row r="224" spans="1:3" x14ac:dyDescent="0.25">
      <c r="A224">
        <v>146</v>
      </c>
      <c r="B224">
        <v>41047001601</v>
      </c>
      <c r="C224">
        <v>0.90770353999999998</v>
      </c>
    </row>
    <row r="225" spans="1:3" x14ac:dyDescent="0.25">
      <c r="A225">
        <v>146</v>
      </c>
      <c r="B225">
        <v>41047001603</v>
      </c>
      <c r="C225">
        <v>2.6413599999999997E-3</v>
      </c>
    </row>
    <row r="226" spans="1:3" x14ac:dyDescent="0.25">
      <c r="A226">
        <v>146</v>
      </c>
      <c r="B226">
        <v>41047001606</v>
      </c>
      <c r="C226">
        <v>8.9655079999999998E-2</v>
      </c>
    </row>
    <row r="227" spans="1:3" x14ac:dyDescent="0.25">
      <c r="A227">
        <v>147</v>
      </c>
      <c r="B227">
        <v>41047001601</v>
      </c>
      <c r="C227">
        <v>8.5492450000000011E-2</v>
      </c>
    </row>
    <row r="228" spans="1:3" x14ac:dyDescent="0.25">
      <c r="A228">
        <v>147</v>
      </c>
      <c r="B228">
        <v>41047001603</v>
      </c>
      <c r="C228">
        <v>0.69661233</v>
      </c>
    </row>
    <row r="229" spans="1:3" x14ac:dyDescent="0.25">
      <c r="A229">
        <v>147</v>
      </c>
      <c r="B229">
        <v>41047001606</v>
      </c>
      <c r="C229">
        <v>0.21789522000000003</v>
      </c>
    </row>
    <row r="230" spans="1:3" x14ac:dyDescent="0.25">
      <c r="A230">
        <v>148</v>
      </c>
      <c r="B230">
        <v>41047001603</v>
      </c>
      <c r="C230">
        <v>0.63147474000000003</v>
      </c>
    </row>
    <row r="231" spans="1:3" x14ac:dyDescent="0.25">
      <c r="A231">
        <v>148</v>
      </c>
      <c r="B231">
        <v>41047001606</v>
      </c>
      <c r="C231">
        <v>0.36852524000000003</v>
      </c>
    </row>
    <row r="232" spans="1:3" x14ac:dyDescent="0.25">
      <c r="A232">
        <v>149</v>
      </c>
      <c r="B232">
        <v>41047001606</v>
      </c>
      <c r="C232">
        <v>0.99988328999999998</v>
      </c>
    </row>
    <row r="233" spans="1:3" x14ac:dyDescent="0.25">
      <c r="A233">
        <v>149</v>
      </c>
      <c r="B233">
        <v>41047001607</v>
      </c>
      <c r="C233">
        <v>1.1674E-4</v>
      </c>
    </row>
    <row r="234" spans="1:3" x14ac:dyDescent="0.25">
      <c r="A234">
        <v>150</v>
      </c>
      <c r="B234">
        <v>41047001605</v>
      </c>
      <c r="C234">
        <v>0.97483810999999998</v>
      </c>
    </row>
    <row r="235" spans="1:3" x14ac:dyDescent="0.25">
      <c r="A235">
        <v>150</v>
      </c>
      <c r="B235">
        <v>41047001606</v>
      </c>
      <c r="C235">
        <v>2.5161840000000001E-2</v>
      </c>
    </row>
    <row r="236" spans="1:3" x14ac:dyDescent="0.25">
      <c r="A236">
        <v>151</v>
      </c>
      <c r="B236">
        <v>41047001605</v>
      </c>
      <c r="C236">
        <v>0.97672345000000005</v>
      </c>
    </row>
    <row r="237" spans="1:3" x14ac:dyDescent="0.25">
      <c r="A237">
        <v>151</v>
      </c>
      <c r="B237">
        <v>41047001606</v>
      </c>
      <c r="C237">
        <v>2.1780089999999998E-2</v>
      </c>
    </row>
    <row r="238" spans="1:3" x14ac:dyDescent="0.25">
      <c r="A238">
        <v>151</v>
      </c>
      <c r="B238">
        <v>41047001607</v>
      </c>
      <c r="C238">
        <v>1.4965899999999999E-3</v>
      </c>
    </row>
    <row r="239" spans="1:3" x14ac:dyDescent="0.25">
      <c r="A239">
        <v>152</v>
      </c>
      <c r="B239">
        <v>41047001603</v>
      </c>
      <c r="C239">
        <v>0.99596793000000006</v>
      </c>
    </row>
    <row r="240" spans="1:3" x14ac:dyDescent="0.25">
      <c r="A240">
        <v>152</v>
      </c>
      <c r="B240">
        <v>41047002600</v>
      </c>
      <c r="C240">
        <v>4.0320800000000004E-3</v>
      </c>
    </row>
    <row r="241" spans="1:3" x14ac:dyDescent="0.25">
      <c r="A241">
        <v>153</v>
      </c>
      <c r="B241">
        <v>41047001603</v>
      </c>
      <c r="C241">
        <v>0.99648804000000002</v>
      </c>
    </row>
    <row r="242" spans="1:3" x14ac:dyDescent="0.25">
      <c r="A242">
        <v>153</v>
      </c>
      <c r="B242">
        <v>41047001703</v>
      </c>
      <c r="C242">
        <v>4.1685000000000002E-4</v>
      </c>
    </row>
    <row r="243" spans="1:3" x14ac:dyDescent="0.25">
      <c r="A243">
        <v>153</v>
      </c>
      <c r="B243">
        <v>41047002600</v>
      </c>
      <c r="C243">
        <v>3.0951099999999999E-3</v>
      </c>
    </row>
    <row r="244" spans="1:3" x14ac:dyDescent="0.25">
      <c r="A244">
        <v>154</v>
      </c>
      <c r="B244">
        <v>41047001603</v>
      </c>
      <c r="C244">
        <v>0.50061526999999995</v>
      </c>
    </row>
    <row r="245" spans="1:3" x14ac:dyDescent="0.25">
      <c r="A245">
        <v>154</v>
      </c>
      <c r="B245">
        <v>41047001606</v>
      </c>
      <c r="C245">
        <v>3.8464E-4</v>
      </c>
    </row>
    <row r="246" spans="1:3" x14ac:dyDescent="0.25">
      <c r="A246">
        <v>154</v>
      </c>
      <c r="B246">
        <v>41047001608</v>
      </c>
      <c r="C246">
        <v>0.49804209999999999</v>
      </c>
    </row>
    <row r="247" spans="1:3" x14ac:dyDescent="0.25">
      <c r="A247">
        <v>154</v>
      </c>
      <c r="B247">
        <v>41047001702</v>
      </c>
      <c r="C247">
        <v>9.5801000000000002E-4</v>
      </c>
    </row>
    <row r="248" spans="1:3" x14ac:dyDescent="0.25">
      <c r="A248">
        <v>155</v>
      </c>
      <c r="B248">
        <v>41047001606</v>
      </c>
      <c r="C248">
        <v>2.7910499999999998E-3</v>
      </c>
    </row>
    <row r="249" spans="1:3" x14ac:dyDescent="0.25">
      <c r="A249">
        <v>155</v>
      </c>
      <c r="B249">
        <v>41047001608</v>
      </c>
      <c r="C249">
        <v>0.99545022000000005</v>
      </c>
    </row>
    <row r="250" spans="1:3" x14ac:dyDescent="0.25">
      <c r="A250">
        <v>155</v>
      </c>
      <c r="B250">
        <v>41047001701</v>
      </c>
      <c r="C250">
        <v>2.6361000000000001E-4</v>
      </c>
    </row>
    <row r="251" spans="1:3" x14ac:dyDescent="0.25">
      <c r="A251">
        <v>155</v>
      </c>
      <c r="B251">
        <v>41047001702</v>
      </c>
      <c r="C251">
        <v>1.4951000000000001E-3</v>
      </c>
    </row>
    <row r="252" spans="1:3" x14ac:dyDescent="0.25">
      <c r="A252">
        <v>156</v>
      </c>
      <c r="B252">
        <v>41047001606</v>
      </c>
      <c r="C252">
        <v>3.8677000000000004E-4</v>
      </c>
    </row>
    <row r="253" spans="1:3" x14ac:dyDescent="0.25">
      <c r="A253">
        <v>156</v>
      </c>
      <c r="B253">
        <v>41047001607</v>
      </c>
      <c r="C253">
        <v>0.98533179000000004</v>
      </c>
    </row>
    <row r="254" spans="1:3" x14ac:dyDescent="0.25">
      <c r="A254">
        <v>156</v>
      </c>
      <c r="B254">
        <v>41047001608</v>
      </c>
      <c r="C254">
        <v>1.428142E-2</v>
      </c>
    </row>
    <row r="255" spans="1:3" x14ac:dyDescent="0.25">
      <c r="A255">
        <v>158</v>
      </c>
      <c r="B255">
        <v>41047001605</v>
      </c>
      <c r="C255">
        <v>9.4572000000000005E-4</v>
      </c>
    </row>
    <row r="256" spans="1:3" x14ac:dyDescent="0.25">
      <c r="A256">
        <v>158</v>
      </c>
      <c r="B256">
        <v>41047001606</v>
      </c>
      <c r="C256">
        <v>4.5999999999999999E-7</v>
      </c>
    </row>
    <row r="257" spans="1:3" x14ac:dyDescent="0.25">
      <c r="A257">
        <v>158</v>
      </c>
      <c r="B257">
        <v>41047001607</v>
      </c>
      <c r="C257">
        <v>0.99905381999999998</v>
      </c>
    </row>
    <row r="258" spans="1:3" x14ac:dyDescent="0.25">
      <c r="A258">
        <v>162</v>
      </c>
      <c r="B258">
        <v>41047001607</v>
      </c>
      <c r="C258">
        <v>0.98878854999999999</v>
      </c>
    </row>
    <row r="259" spans="1:3" x14ac:dyDescent="0.25">
      <c r="A259">
        <v>162</v>
      </c>
      <c r="B259">
        <v>41047001608</v>
      </c>
      <c r="C259">
        <v>1.104544E-2</v>
      </c>
    </row>
    <row r="260" spans="1:3" x14ac:dyDescent="0.25">
      <c r="A260">
        <v>162</v>
      </c>
      <c r="B260">
        <v>41047001701</v>
      </c>
      <c r="C260">
        <v>1.6608999999999998E-4</v>
      </c>
    </row>
    <row r="261" spans="1:3" x14ac:dyDescent="0.25">
      <c r="A261">
        <v>164</v>
      </c>
      <c r="B261">
        <v>41047001607</v>
      </c>
      <c r="C261">
        <v>4.1421100000000001E-3</v>
      </c>
    </row>
    <row r="262" spans="1:3" x14ac:dyDescent="0.25">
      <c r="A262">
        <v>164</v>
      </c>
      <c r="B262">
        <v>41047001701</v>
      </c>
      <c r="C262">
        <v>0.99014028999999992</v>
      </c>
    </row>
    <row r="263" spans="1:3" x14ac:dyDescent="0.25">
      <c r="A263">
        <v>164</v>
      </c>
      <c r="B263">
        <v>41047001702</v>
      </c>
      <c r="C263">
        <v>5.7175500000000001E-3</v>
      </c>
    </row>
    <row r="264" spans="1:3" x14ac:dyDescent="0.25">
      <c r="A264">
        <v>168</v>
      </c>
      <c r="B264">
        <v>41047001603</v>
      </c>
      <c r="C264">
        <v>5.5435700000000003E-3</v>
      </c>
    </row>
    <row r="265" spans="1:3" x14ac:dyDescent="0.25">
      <c r="A265">
        <v>168</v>
      </c>
      <c r="B265">
        <v>41047001608</v>
      </c>
      <c r="C265">
        <v>8.4378999999999997E-4</v>
      </c>
    </row>
    <row r="266" spans="1:3" x14ac:dyDescent="0.25">
      <c r="A266">
        <v>168</v>
      </c>
      <c r="B266">
        <v>41047001702</v>
      </c>
      <c r="C266">
        <v>0.98734385000000002</v>
      </c>
    </row>
    <row r="267" spans="1:3" x14ac:dyDescent="0.25">
      <c r="A267">
        <v>168</v>
      </c>
      <c r="B267">
        <v>41047001703</v>
      </c>
      <c r="C267">
        <v>6.2687999999999997E-3</v>
      </c>
    </row>
    <row r="268" spans="1:3" x14ac:dyDescent="0.25">
      <c r="A268">
        <v>169</v>
      </c>
      <c r="B268">
        <v>41047001603</v>
      </c>
      <c r="C268">
        <v>4.8780500000000001E-3</v>
      </c>
    </row>
    <row r="269" spans="1:3" x14ac:dyDescent="0.25">
      <c r="A269">
        <v>169</v>
      </c>
      <c r="B269">
        <v>41047001703</v>
      </c>
      <c r="C269">
        <v>0.99512195000000003</v>
      </c>
    </row>
    <row r="270" spans="1:3" x14ac:dyDescent="0.25">
      <c r="A270">
        <v>170</v>
      </c>
      <c r="B270">
        <v>41047001603</v>
      </c>
      <c r="C270">
        <v>2.8279999999999999E-4</v>
      </c>
    </row>
    <row r="271" spans="1:3" x14ac:dyDescent="0.25">
      <c r="A271">
        <v>170</v>
      </c>
      <c r="B271">
        <v>41047001703</v>
      </c>
      <c r="C271">
        <v>0.99866151999999997</v>
      </c>
    </row>
    <row r="272" spans="1:3" x14ac:dyDescent="0.25">
      <c r="A272">
        <v>170</v>
      </c>
      <c r="B272">
        <v>41047002600</v>
      </c>
      <c r="C272">
        <v>1.05568E-3</v>
      </c>
    </row>
    <row r="273" spans="1:3" x14ac:dyDescent="0.25">
      <c r="A273">
        <v>171</v>
      </c>
      <c r="B273">
        <v>41047001703</v>
      </c>
      <c r="C273">
        <v>1</v>
      </c>
    </row>
    <row r="274" spans="1:3" x14ac:dyDescent="0.25">
      <c r="A274">
        <v>172</v>
      </c>
      <c r="B274">
        <v>41047001702</v>
      </c>
      <c r="C274">
        <v>0.44624037</v>
      </c>
    </row>
    <row r="275" spans="1:3" x14ac:dyDescent="0.25">
      <c r="A275">
        <v>172</v>
      </c>
      <c r="B275">
        <v>41047001703</v>
      </c>
      <c r="C275">
        <v>0.55375960000000002</v>
      </c>
    </row>
    <row r="276" spans="1:3" x14ac:dyDescent="0.25">
      <c r="A276">
        <v>173</v>
      </c>
      <c r="B276">
        <v>41047001701</v>
      </c>
      <c r="C276">
        <v>0.54467042999999993</v>
      </c>
    </row>
    <row r="277" spans="1:3" x14ac:dyDescent="0.25">
      <c r="A277">
        <v>173</v>
      </c>
      <c r="B277">
        <v>41047001702</v>
      </c>
      <c r="C277">
        <v>0.45407047</v>
      </c>
    </row>
    <row r="278" spans="1:3" x14ac:dyDescent="0.25">
      <c r="A278">
        <v>173</v>
      </c>
      <c r="B278">
        <v>41047001703</v>
      </c>
      <c r="C278">
        <v>1.25913E-3</v>
      </c>
    </row>
    <row r="279" spans="1:3" x14ac:dyDescent="0.25">
      <c r="A279">
        <v>180</v>
      </c>
      <c r="B279">
        <v>41047001701</v>
      </c>
      <c r="C279">
        <v>0.59547726000000001</v>
      </c>
    </row>
    <row r="280" spans="1:3" x14ac:dyDescent="0.25">
      <c r="A280">
        <v>180</v>
      </c>
      <c r="B280">
        <v>41047001703</v>
      </c>
      <c r="C280">
        <v>0.39816927000000002</v>
      </c>
    </row>
    <row r="281" spans="1:3" x14ac:dyDescent="0.25">
      <c r="A281">
        <v>180</v>
      </c>
      <c r="B281">
        <v>41047001801</v>
      </c>
      <c r="C281">
        <v>6.3534500000000001E-3</v>
      </c>
    </row>
    <row r="282" spans="1:3" x14ac:dyDescent="0.25">
      <c r="A282">
        <v>185</v>
      </c>
      <c r="B282">
        <v>41047001703</v>
      </c>
      <c r="C282">
        <v>0.99975656000000002</v>
      </c>
    </row>
    <row r="283" spans="1:3" x14ac:dyDescent="0.25">
      <c r="A283">
        <v>185</v>
      </c>
      <c r="B283">
        <v>41047002600</v>
      </c>
      <c r="C283">
        <v>2.4344000000000001E-4</v>
      </c>
    </row>
    <row r="284" spans="1:3" x14ac:dyDescent="0.25">
      <c r="A284">
        <v>186</v>
      </c>
      <c r="B284">
        <v>41047001703</v>
      </c>
      <c r="C284">
        <v>0.99999995999999991</v>
      </c>
    </row>
    <row r="285" spans="1:3" x14ac:dyDescent="0.25">
      <c r="A285">
        <v>189</v>
      </c>
      <c r="B285">
        <v>41047001701</v>
      </c>
      <c r="C285">
        <v>3.1305999999999999E-4</v>
      </c>
    </row>
    <row r="286" spans="1:3" x14ac:dyDescent="0.25">
      <c r="A286">
        <v>189</v>
      </c>
      <c r="B286">
        <v>41047001703</v>
      </c>
      <c r="C286">
        <v>7.8024000000000001E-3</v>
      </c>
    </row>
    <row r="287" spans="1:3" x14ac:dyDescent="0.25">
      <c r="A287">
        <v>189</v>
      </c>
      <c r="B287">
        <v>41047001801</v>
      </c>
      <c r="C287">
        <v>0.98714731</v>
      </c>
    </row>
    <row r="288" spans="1:3" x14ac:dyDescent="0.25">
      <c r="A288">
        <v>189</v>
      </c>
      <c r="B288">
        <v>41047001802</v>
      </c>
      <c r="C288">
        <v>4.7373099999999998E-3</v>
      </c>
    </row>
    <row r="289" spans="1:3" x14ac:dyDescent="0.25">
      <c r="A289">
        <v>193</v>
      </c>
      <c r="B289">
        <v>41047001703</v>
      </c>
      <c r="C289">
        <v>7.5112659999999998E-2</v>
      </c>
    </row>
    <row r="290" spans="1:3" x14ac:dyDescent="0.25">
      <c r="A290">
        <v>193</v>
      </c>
      <c r="B290">
        <v>41047001802</v>
      </c>
      <c r="C290">
        <v>0.92397229999999997</v>
      </c>
    </row>
    <row r="291" spans="1:3" x14ac:dyDescent="0.25">
      <c r="A291">
        <v>193</v>
      </c>
      <c r="B291">
        <v>41047002600</v>
      </c>
      <c r="C291">
        <v>9.1498999999999997E-4</v>
      </c>
    </row>
    <row r="292" spans="1:3" x14ac:dyDescent="0.25">
      <c r="A292">
        <v>194</v>
      </c>
      <c r="B292">
        <v>41047001801</v>
      </c>
      <c r="C292">
        <v>0.98978069000000002</v>
      </c>
    </row>
    <row r="293" spans="1:3" x14ac:dyDescent="0.25">
      <c r="A293">
        <v>194</v>
      </c>
      <c r="B293">
        <v>41047001802</v>
      </c>
      <c r="C293">
        <v>2.6046900000000002E-3</v>
      </c>
    </row>
    <row r="294" spans="1:3" x14ac:dyDescent="0.25">
      <c r="A294">
        <v>194</v>
      </c>
      <c r="B294">
        <v>41047001803</v>
      </c>
      <c r="C294">
        <v>7.6146299999999998E-3</v>
      </c>
    </row>
    <row r="295" spans="1:3" x14ac:dyDescent="0.25">
      <c r="A295">
        <v>196</v>
      </c>
      <c r="B295">
        <v>41047001801</v>
      </c>
      <c r="C295">
        <v>0.37386217999999999</v>
      </c>
    </row>
    <row r="296" spans="1:3" x14ac:dyDescent="0.25">
      <c r="A296">
        <v>196</v>
      </c>
      <c r="B296">
        <v>41047001802</v>
      </c>
      <c r="C296">
        <v>0.62531126999999997</v>
      </c>
    </row>
    <row r="297" spans="1:3" x14ac:dyDescent="0.25">
      <c r="A297">
        <v>196</v>
      </c>
      <c r="B297">
        <v>41047001803</v>
      </c>
      <c r="C297">
        <v>8.2654000000000007E-4</v>
      </c>
    </row>
    <row r="298" spans="1:3" x14ac:dyDescent="0.25">
      <c r="A298">
        <v>200</v>
      </c>
      <c r="B298">
        <v>41047001801</v>
      </c>
      <c r="C298">
        <v>3.8599000000000001E-4</v>
      </c>
    </row>
    <row r="299" spans="1:3" x14ac:dyDescent="0.25">
      <c r="A299">
        <v>200</v>
      </c>
      <c r="B299">
        <v>41047001802</v>
      </c>
      <c r="C299">
        <v>0.99079265000000005</v>
      </c>
    </row>
    <row r="300" spans="1:3" x14ac:dyDescent="0.25">
      <c r="A300">
        <v>200</v>
      </c>
      <c r="B300">
        <v>41047001803</v>
      </c>
      <c r="C300">
        <v>8.8213500000000004E-3</v>
      </c>
    </row>
    <row r="301" spans="1:3" x14ac:dyDescent="0.25">
      <c r="A301">
        <v>204</v>
      </c>
      <c r="B301">
        <v>41047001802</v>
      </c>
      <c r="C301">
        <v>0.97678510000000007</v>
      </c>
    </row>
    <row r="302" spans="1:3" x14ac:dyDescent="0.25">
      <c r="A302">
        <v>204</v>
      </c>
      <c r="B302">
        <v>41047001803</v>
      </c>
      <c r="C302">
        <v>2.0804529999999998E-2</v>
      </c>
    </row>
    <row r="303" spans="1:3" x14ac:dyDescent="0.25">
      <c r="A303">
        <v>204</v>
      </c>
      <c r="B303">
        <v>41047002702</v>
      </c>
      <c r="C303">
        <v>2.4104299999999999E-3</v>
      </c>
    </row>
    <row r="304" spans="1:3" x14ac:dyDescent="0.25">
      <c r="A304">
        <v>205</v>
      </c>
      <c r="B304">
        <v>41047001802</v>
      </c>
      <c r="C304">
        <v>0.99689368</v>
      </c>
    </row>
    <row r="305" spans="1:3" x14ac:dyDescent="0.25">
      <c r="A305">
        <v>205</v>
      </c>
      <c r="B305">
        <v>41047002702</v>
      </c>
      <c r="C305">
        <v>3.1063200000000001E-3</v>
      </c>
    </row>
    <row r="306" spans="1:3" x14ac:dyDescent="0.25">
      <c r="A306">
        <v>206</v>
      </c>
      <c r="B306">
        <v>41047001802</v>
      </c>
      <c r="C306">
        <v>0.99973009000000002</v>
      </c>
    </row>
    <row r="307" spans="1:3" x14ac:dyDescent="0.25">
      <c r="A307">
        <v>206</v>
      </c>
      <c r="B307">
        <v>41047002600</v>
      </c>
      <c r="C307">
        <v>2.5000000000000002E-6</v>
      </c>
    </row>
    <row r="308" spans="1:3" x14ac:dyDescent="0.25">
      <c r="A308">
        <v>206</v>
      </c>
      <c r="B308">
        <v>41047002702</v>
      </c>
      <c r="C308">
        <v>2.6740999999999999E-4</v>
      </c>
    </row>
    <row r="309" spans="1:3" x14ac:dyDescent="0.25">
      <c r="A309">
        <v>207</v>
      </c>
      <c r="B309">
        <v>41047001802</v>
      </c>
      <c r="C309">
        <v>6.5500000000000006E-5</v>
      </c>
    </row>
    <row r="310" spans="1:3" x14ac:dyDescent="0.25">
      <c r="A310">
        <v>207</v>
      </c>
      <c r="B310">
        <v>41047001803</v>
      </c>
      <c r="C310">
        <v>1.0150000000000001E-5</v>
      </c>
    </row>
    <row r="311" spans="1:3" x14ac:dyDescent="0.25">
      <c r="A311">
        <v>207</v>
      </c>
      <c r="B311">
        <v>41047002600</v>
      </c>
      <c r="C311">
        <v>4.0999999999999999E-7</v>
      </c>
    </row>
    <row r="312" spans="1:3" x14ac:dyDescent="0.25">
      <c r="A312">
        <v>207</v>
      </c>
      <c r="B312">
        <v>41047002702</v>
      </c>
      <c r="C312">
        <v>0.99992395000000001</v>
      </c>
    </row>
    <row r="313" spans="1:3" x14ac:dyDescent="0.25">
      <c r="A313">
        <v>211</v>
      </c>
      <c r="B313">
        <v>41047000400</v>
      </c>
      <c r="C313">
        <v>0.58686506999999999</v>
      </c>
    </row>
    <row r="314" spans="1:3" x14ac:dyDescent="0.25">
      <c r="A314">
        <v>211</v>
      </c>
      <c r="B314">
        <v>41047001502</v>
      </c>
      <c r="C314">
        <v>0.38307988999999998</v>
      </c>
    </row>
    <row r="315" spans="1:3" x14ac:dyDescent="0.25">
      <c r="A315">
        <v>211</v>
      </c>
      <c r="B315">
        <v>41047001503</v>
      </c>
      <c r="C315">
        <v>3.0918999999999999E-4</v>
      </c>
    </row>
    <row r="316" spans="1:3" x14ac:dyDescent="0.25">
      <c r="A316">
        <v>211</v>
      </c>
      <c r="B316">
        <v>41047001601</v>
      </c>
      <c r="C316">
        <v>2.0319460000000001E-2</v>
      </c>
    </row>
    <row r="317" spans="1:3" x14ac:dyDescent="0.25">
      <c r="A317">
        <v>211</v>
      </c>
      <c r="B317">
        <v>41047002502</v>
      </c>
      <c r="C317">
        <v>9.4263999999999997E-3</v>
      </c>
    </row>
    <row r="318" spans="1:3" x14ac:dyDescent="0.25">
      <c r="A318">
        <v>212</v>
      </c>
      <c r="B318">
        <v>41047000400</v>
      </c>
      <c r="C318">
        <v>0.97310509000000001</v>
      </c>
    </row>
    <row r="319" spans="1:3" x14ac:dyDescent="0.25">
      <c r="A319">
        <v>212</v>
      </c>
      <c r="B319">
        <v>41047000502</v>
      </c>
      <c r="C319">
        <v>8.6896500000000002E-3</v>
      </c>
    </row>
    <row r="320" spans="1:3" x14ac:dyDescent="0.25">
      <c r="A320">
        <v>212</v>
      </c>
      <c r="B320">
        <v>41047001601</v>
      </c>
      <c r="C320">
        <v>1.820519E-2</v>
      </c>
    </row>
    <row r="321" spans="1:3" x14ac:dyDescent="0.25">
      <c r="A321">
        <v>213</v>
      </c>
      <c r="B321">
        <v>41047000400</v>
      </c>
      <c r="C321">
        <v>2.5572279999999999E-2</v>
      </c>
    </row>
    <row r="322" spans="1:3" x14ac:dyDescent="0.25">
      <c r="A322">
        <v>213</v>
      </c>
      <c r="B322">
        <v>41047000502</v>
      </c>
      <c r="C322">
        <v>0.95663931000000002</v>
      </c>
    </row>
    <row r="323" spans="1:3" x14ac:dyDescent="0.25">
      <c r="A323">
        <v>213</v>
      </c>
      <c r="B323">
        <v>41047001601</v>
      </c>
      <c r="C323">
        <v>1.2423900000000001E-3</v>
      </c>
    </row>
    <row r="324" spans="1:3" x14ac:dyDescent="0.25">
      <c r="A324">
        <v>213</v>
      </c>
      <c r="B324">
        <v>41047001605</v>
      </c>
      <c r="C324">
        <v>1.6546000000000002E-2</v>
      </c>
    </row>
    <row r="325" spans="1:3" x14ac:dyDescent="0.25">
      <c r="A325">
        <v>214</v>
      </c>
      <c r="B325">
        <v>41047000501</v>
      </c>
      <c r="C325">
        <v>7.1411000000000001E-4</v>
      </c>
    </row>
    <row r="326" spans="1:3" x14ac:dyDescent="0.25">
      <c r="A326">
        <v>214</v>
      </c>
      <c r="B326">
        <v>41047000502</v>
      </c>
      <c r="C326">
        <v>0.99608463000000003</v>
      </c>
    </row>
    <row r="327" spans="1:3" x14ac:dyDescent="0.25">
      <c r="A327">
        <v>214</v>
      </c>
      <c r="B327">
        <v>41047001605</v>
      </c>
      <c r="C327">
        <v>3.2013000000000002E-3</v>
      </c>
    </row>
    <row r="328" spans="1:3" x14ac:dyDescent="0.25">
      <c r="A328">
        <v>220</v>
      </c>
      <c r="B328">
        <v>41047000300</v>
      </c>
      <c r="C328">
        <v>1.31258E-3</v>
      </c>
    </row>
    <row r="329" spans="1:3" x14ac:dyDescent="0.25">
      <c r="A329">
        <v>220</v>
      </c>
      <c r="B329">
        <v>41047000400</v>
      </c>
      <c r="C329">
        <v>0.96390034000000002</v>
      </c>
    </row>
    <row r="330" spans="1:3" x14ac:dyDescent="0.25">
      <c r="A330">
        <v>220</v>
      </c>
      <c r="B330">
        <v>41047000502</v>
      </c>
      <c r="C330">
        <v>3.478701E-2</v>
      </c>
    </row>
    <row r="331" spans="1:3" x14ac:dyDescent="0.25">
      <c r="A331">
        <v>221</v>
      </c>
      <c r="B331">
        <v>41047000400</v>
      </c>
      <c r="C331">
        <v>0.99800980999999989</v>
      </c>
    </row>
    <row r="332" spans="1:3" x14ac:dyDescent="0.25">
      <c r="A332">
        <v>221</v>
      </c>
      <c r="B332">
        <v>41047001503</v>
      </c>
      <c r="C332">
        <v>1.9902399999999999E-3</v>
      </c>
    </row>
    <row r="333" spans="1:3" x14ac:dyDescent="0.25">
      <c r="A333">
        <v>222</v>
      </c>
      <c r="B333">
        <v>41047000400</v>
      </c>
      <c r="C333">
        <v>0.77529903</v>
      </c>
    </row>
    <row r="334" spans="1:3" x14ac:dyDescent="0.25">
      <c r="A334">
        <v>222</v>
      </c>
      <c r="B334">
        <v>41047001502</v>
      </c>
      <c r="C334">
        <v>5.6487799999999999E-3</v>
      </c>
    </row>
    <row r="335" spans="1:3" x14ac:dyDescent="0.25">
      <c r="A335">
        <v>222</v>
      </c>
      <c r="B335">
        <v>41047001503</v>
      </c>
      <c r="C335">
        <v>0.21905216</v>
      </c>
    </row>
    <row r="336" spans="1:3" x14ac:dyDescent="0.25">
      <c r="A336">
        <v>223</v>
      </c>
      <c r="B336">
        <v>41047000400</v>
      </c>
      <c r="C336">
        <v>0.99999996999999996</v>
      </c>
    </row>
    <row r="337" spans="1:3" x14ac:dyDescent="0.25">
      <c r="A337">
        <v>224</v>
      </c>
      <c r="B337">
        <v>41047000400</v>
      </c>
      <c r="C337">
        <v>1</v>
      </c>
    </row>
    <row r="338" spans="1:3" x14ac:dyDescent="0.25">
      <c r="A338">
        <v>225</v>
      </c>
      <c r="B338">
        <v>41047000400</v>
      </c>
      <c r="C338">
        <v>1</v>
      </c>
    </row>
    <row r="339" spans="1:3" x14ac:dyDescent="0.25">
      <c r="A339">
        <v>226</v>
      </c>
      <c r="B339">
        <v>41047000300</v>
      </c>
      <c r="C339">
        <v>0.10037491</v>
      </c>
    </row>
    <row r="340" spans="1:3" x14ac:dyDescent="0.25">
      <c r="A340">
        <v>226</v>
      </c>
      <c r="B340">
        <v>41047000400</v>
      </c>
      <c r="C340">
        <v>0.8766940700000001</v>
      </c>
    </row>
    <row r="341" spans="1:3" x14ac:dyDescent="0.25">
      <c r="A341">
        <v>226</v>
      </c>
      <c r="B341">
        <v>41053005206</v>
      </c>
      <c r="C341">
        <v>2.293104E-2</v>
      </c>
    </row>
    <row r="342" spans="1:3" x14ac:dyDescent="0.25">
      <c r="A342">
        <v>227</v>
      </c>
      <c r="B342">
        <v>41047000200</v>
      </c>
      <c r="C342">
        <v>2.7910400000000003E-3</v>
      </c>
    </row>
    <row r="343" spans="1:3" x14ac:dyDescent="0.25">
      <c r="A343">
        <v>227</v>
      </c>
      <c r="B343">
        <v>41047000300</v>
      </c>
      <c r="C343">
        <v>0.92879461000000008</v>
      </c>
    </row>
    <row r="344" spans="1:3" x14ac:dyDescent="0.25">
      <c r="A344">
        <v>227</v>
      </c>
      <c r="B344">
        <v>41047000400</v>
      </c>
      <c r="C344">
        <v>2.7074E-4</v>
      </c>
    </row>
    <row r="345" spans="1:3" x14ac:dyDescent="0.25">
      <c r="A345">
        <v>227</v>
      </c>
      <c r="B345">
        <v>41053005206</v>
      </c>
      <c r="C345">
        <v>6.8143549999999997E-2</v>
      </c>
    </row>
    <row r="346" spans="1:3" x14ac:dyDescent="0.25">
      <c r="A346">
        <v>229</v>
      </c>
      <c r="B346">
        <v>41047000300</v>
      </c>
      <c r="C346">
        <v>1.41876E-3</v>
      </c>
    </row>
    <row r="347" spans="1:3" x14ac:dyDescent="0.25">
      <c r="A347">
        <v>229</v>
      </c>
      <c r="B347">
        <v>41047000400</v>
      </c>
      <c r="C347">
        <v>0.99858115999999997</v>
      </c>
    </row>
    <row r="348" spans="1:3" x14ac:dyDescent="0.25">
      <c r="A348">
        <v>230</v>
      </c>
      <c r="B348">
        <v>41047000300</v>
      </c>
      <c r="C348">
        <v>2.3030999999999998E-4</v>
      </c>
    </row>
    <row r="349" spans="1:3" x14ac:dyDescent="0.25">
      <c r="A349">
        <v>230</v>
      </c>
      <c r="B349">
        <v>41047000400</v>
      </c>
      <c r="C349">
        <v>0.99976977</v>
      </c>
    </row>
    <row r="350" spans="1:3" x14ac:dyDescent="0.25">
      <c r="A350">
        <v>231</v>
      </c>
      <c r="B350">
        <v>41047000300</v>
      </c>
      <c r="C350">
        <v>0.99877347999999999</v>
      </c>
    </row>
    <row r="351" spans="1:3" x14ac:dyDescent="0.25">
      <c r="A351">
        <v>231</v>
      </c>
      <c r="B351">
        <v>41047000400</v>
      </c>
      <c r="C351">
        <v>1.22649E-3</v>
      </c>
    </row>
    <row r="352" spans="1:3" x14ac:dyDescent="0.25">
      <c r="A352">
        <v>232</v>
      </c>
      <c r="B352">
        <v>41047000200</v>
      </c>
      <c r="C352">
        <v>2.6220200000000001E-3</v>
      </c>
    </row>
    <row r="353" spans="1:3" x14ac:dyDescent="0.25">
      <c r="A353">
        <v>232</v>
      </c>
      <c r="B353">
        <v>41047000300</v>
      </c>
      <c r="C353">
        <v>0.99737801000000004</v>
      </c>
    </row>
    <row r="354" spans="1:3" x14ac:dyDescent="0.25">
      <c r="A354">
        <v>233</v>
      </c>
      <c r="B354">
        <v>41047000300</v>
      </c>
      <c r="C354">
        <v>1</v>
      </c>
    </row>
    <row r="355" spans="1:3" x14ac:dyDescent="0.25">
      <c r="A355">
        <v>234</v>
      </c>
      <c r="B355">
        <v>41047000300</v>
      </c>
      <c r="C355">
        <v>0.99484385000000009</v>
      </c>
    </row>
    <row r="356" spans="1:3" x14ac:dyDescent="0.25">
      <c r="A356">
        <v>234</v>
      </c>
      <c r="B356">
        <v>41047000400</v>
      </c>
      <c r="C356">
        <v>5.1560199999999999E-3</v>
      </c>
    </row>
    <row r="357" spans="1:3" x14ac:dyDescent="0.25">
      <c r="A357">
        <v>235</v>
      </c>
      <c r="B357">
        <v>41047000300</v>
      </c>
      <c r="C357">
        <v>4.6719600000000002E-3</v>
      </c>
    </row>
    <row r="358" spans="1:3" x14ac:dyDescent="0.25">
      <c r="A358">
        <v>235</v>
      </c>
      <c r="B358">
        <v>41047000400</v>
      </c>
      <c r="C358">
        <v>0.99532804999999991</v>
      </c>
    </row>
    <row r="359" spans="1:3" x14ac:dyDescent="0.25">
      <c r="A359">
        <v>236</v>
      </c>
      <c r="B359">
        <v>41047000300</v>
      </c>
      <c r="C359">
        <v>3.5243440000000001E-2</v>
      </c>
    </row>
    <row r="360" spans="1:3" x14ac:dyDescent="0.25">
      <c r="A360">
        <v>236</v>
      </c>
      <c r="B360">
        <v>41047000501</v>
      </c>
      <c r="C360">
        <v>9.99098E-3</v>
      </c>
    </row>
    <row r="361" spans="1:3" x14ac:dyDescent="0.25">
      <c r="A361">
        <v>236</v>
      </c>
      <c r="B361">
        <v>41047000502</v>
      </c>
      <c r="C361">
        <v>0.95476564999999991</v>
      </c>
    </row>
    <row r="362" spans="1:3" x14ac:dyDescent="0.25">
      <c r="A362">
        <v>237</v>
      </c>
      <c r="B362">
        <v>41047000501</v>
      </c>
      <c r="C362">
        <v>2.29035E-3</v>
      </c>
    </row>
    <row r="363" spans="1:3" x14ac:dyDescent="0.25">
      <c r="A363">
        <v>237</v>
      </c>
      <c r="B363">
        <v>41047000502</v>
      </c>
      <c r="C363">
        <v>0.99770951999999991</v>
      </c>
    </row>
    <row r="364" spans="1:3" x14ac:dyDescent="0.25">
      <c r="A364">
        <v>238</v>
      </c>
      <c r="B364">
        <v>41047000200</v>
      </c>
      <c r="C364">
        <v>0.89900086999999995</v>
      </c>
    </row>
    <row r="365" spans="1:3" x14ac:dyDescent="0.25">
      <c r="A365">
        <v>238</v>
      </c>
      <c r="B365">
        <v>41047000300</v>
      </c>
      <c r="C365">
        <v>4.7127920000000004E-2</v>
      </c>
    </row>
    <row r="366" spans="1:3" x14ac:dyDescent="0.25">
      <c r="A366">
        <v>238</v>
      </c>
      <c r="B366">
        <v>41053005206</v>
      </c>
      <c r="C366">
        <v>5.3871209999999996E-2</v>
      </c>
    </row>
    <row r="367" spans="1:3" x14ac:dyDescent="0.25">
      <c r="A367">
        <v>242</v>
      </c>
      <c r="B367">
        <v>41047000200</v>
      </c>
      <c r="C367">
        <v>2.3939899999999999E-3</v>
      </c>
    </row>
    <row r="368" spans="1:3" x14ac:dyDescent="0.25">
      <c r="A368">
        <v>242</v>
      </c>
      <c r="B368">
        <v>41047000300</v>
      </c>
      <c r="C368">
        <v>0.99664574000000006</v>
      </c>
    </row>
    <row r="369" spans="1:3" x14ac:dyDescent="0.25">
      <c r="A369">
        <v>242</v>
      </c>
      <c r="B369">
        <v>41047000600</v>
      </c>
      <c r="C369">
        <v>9.6027000000000005E-4</v>
      </c>
    </row>
    <row r="370" spans="1:3" x14ac:dyDescent="0.25">
      <c r="A370">
        <v>243</v>
      </c>
      <c r="B370">
        <v>41047000300</v>
      </c>
      <c r="C370">
        <v>3.5548389999999999E-2</v>
      </c>
    </row>
    <row r="371" spans="1:3" x14ac:dyDescent="0.25">
      <c r="A371">
        <v>243</v>
      </c>
      <c r="B371">
        <v>41047000501</v>
      </c>
      <c r="C371">
        <v>0.95686305000000005</v>
      </c>
    </row>
    <row r="372" spans="1:3" x14ac:dyDescent="0.25">
      <c r="A372">
        <v>243</v>
      </c>
      <c r="B372">
        <v>41047000502</v>
      </c>
      <c r="C372">
        <v>2.8691400000000001E-3</v>
      </c>
    </row>
    <row r="373" spans="1:3" x14ac:dyDescent="0.25">
      <c r="A373">
        <v>243</v>
      </c>
      <c r="B373">
        <v>41047000600</v>
      </c>
      <c r="C373">
        <v>4.7194100000000003E-3</v>
      </c>
    </row>
    <row r="374" spans="1:3" x14ac:dyDescent="0.25">
      <c r="A374">
        <v>244</v>
      </c>
      <c r="B374">
        <v>41047000300</v>
      </c>
      <c r="C374">
        <v>6.9940599999999999E-3</v>
      </c>
    </row>
    <row r="375" spans="1:3" x14ac:dyDescent="0.25">
      <c r="A375">
        <v>244</v>
      </c>
      <c r="B375">
        <v>41047000501</v>
      </c>
      <c r="C375">
        <v>4.18856E-3</v>
      </c>
    </row>
    <row r="376" spans="1:3" x14ac:dyDescent="0.25">
      <c r="A376">
        <v>244</v>
      </c>
      <c r="B376">
        <v>41047000600</v>
      </c>
      <c r="C376">
        <v>0.98881741000000001</v>
      </c>
    </row>
    <row r="377" spans="1:3" x14ac:dyDescent="0.25">
      <c r="A377">
        <v>245</v>
      </c>
      <c r="B377">
        <v>41047000200</v>
      </c>
      <c r="C377">
        <v>4.93035E-3</v>
      </c>
    </row>
    <row r="378" spans="1:3" x14ac:dyDescent="0.25">
      <c r="A378">
        <v>245</v>
      </c>
      <c r="B378">
        <v>41047000600</v>
      </c>
      <c r="C378">
        <v>0.99506963999999998</v>
      </c>
    </row>
    <row r="379" spans="1:3" x14ac:dyDescent="0.25">
      <c r="A379">
        <v>246</v>
      </c>
      <c r="B379">
        <v>41047000200</v>
      </c>
      <c r="C379">
        <v>0.99760439000000001</v>
      </c>
    </row>
    <row r="380" spans="1:3" x14ac:dyDescent="0.25">
      <c r="A380">
        <v>246</v>
      </c>
      <c r="B380">
        <v>41047000600</v>
      </c>
      <c r="C380">
        <v>2.3955999999999999E-3</v>
      </c>
    </row>
    <row r="381" spans="1:3" x14ac:dyDescent="0.25">
      <c r="A381">
        <v>249</v>
      </c>
      <c r="B381">
        <v>41047000200</v>
      </c>
      <c r="C381">
        <v>0.99536345999999998</v>
      </c>
    </row>
    <row r="382" spans="1:3" x14ac:dyDescent="0.25">
      <c r="A382">
        <v>249</v>
      </c>
      <c r="B382">
        <v>41047001300</v>
      </c>
      <c r="C382">
        <v>4.6365299999999998E-3</v>
      </c>
    </row>
    <row r="383" spans="1:3" x14ac:dyDescent="0.25">
      <c r="A383">
        <v>254</v>
      </c>
      <c r="B383">
        <v>41047000200</v>
      </c>
      <c r="C383">
        <v>8.0074599999999992E-3</v>
      </c>
    </row>
    <row r="384" spans="1:3" x14ac:dyDescent="0.25">
      <c r="A384">
        <v>254</v>
      </c>
      <c r="B384">
        <v>41047000600</v>
      </c>
      <c r="C384">
        <v>0.94144923000000003</v>
      </c>
    </row>
    <row r="385" spans="1:3" x14ac:dyDescent="0.25">
      <c r="A385">
        <v>254</v>
      </c>
      <c r="B385">
        <v>41047000702</v>
      </c>
      <c r="C385">
        <v>4.4204470000000003E-2</v>
      </c>
    </row>
    <row r="386" spans="1:3" x14ac:dyDescent="0.25">
      <c r="A386">
        <v>254</v>
      </c>
      <c r="B386">
        <v>41047000900</v>
      </c>
      <c r="C386">
        <v>6.33885E-3</v>
      </c>
    </row>
    <row r="387" spans="1:3" x14ac:dyDescent="0.25">
      <c r="A387">
        <v>256</v>
      </c>
      <c r="B387">
        <v>41047000200</v>
      </c>
      <c r="C387">
        <v>6.8234099999999994E-3</v>
      </c>
    </row>
    <row r="388" spans="1:3" x14ac:dyDescent="0.25">
      <c r="A388">
        <v>256</v>
      </c>
      <c r="B388">
        <v>41047000600</v>
      </c>
      <c r="C388">
        <v>4.22522E-3</v>
      </c>
    </row>
    <row r="389" spans="1:3" x14ac:dyDescent="0.25">
      <c r="A389">
        <v>256</v>
      </c>
      <c r="B389">
        <v>41047000900</v>
      </c>
      <c r="C389">
        <v>0.98895144999999995</v>
      </c>
    </row>
    <row r="390" spans="1:3" x14ac:dyDescent="0.25">
      <c r="A390">
        <v>257</v>
      </c>
      <c r="B390">
        <v>41047000900</v>
      </c>
      <c r="C390">
        <v>0.99999984999999991</v>
      </c>
    </row>
    <row r="391" spans="1:3" x14ac:dyDescent="0.25">
      <c r="A391">
        <v>258</v>
      </c>
      <c r="B391">
        <v>41047000900</v>
      </c>
      <c r="C391">
        <v>0.91684736</v>
      </c>
    </row>
    <row r="392" spans="1:3" x14ac:dyDescent="0.25">
      <c r="A392">
        <v>258</v>
      </c>
      <c r="B392">
        <v>41047001000</v>
      </c>
      <c r="C392">
        <v>8.3152740000000003E-2</v>
      </c>
    </row>
    <row r="393" spans="1:3" x14ac:dyDescent="0.25">
      <c r="A393">
        <v>259</v>
      </c>
      <c r="B393">
        <v>41047000200</v>
      </c>
      <c r="C393">
        <v>3.0761770000000001E-2</v>
      </c>
    </row>
    <row r="394" spans="1:3" x14ac:dyDescent="0.25">
      <c r="A394">
        <v>259</v>
      </c>
      <c r="B394">
        <v>41047000900</v>
      </c>
      <c r="C394">
        <v>0.94840872000000009</v>
      </c>
    </row>
    <row r="395" spans="1:3" x14ac:dyDescent="0.25">
      <c r="A395">
        <v>259</v>
      </c>
      <c r="B395">
        <v>41047001000</v>
      </c>
      <c r="C395">
        <v>2.0636169999999999E-2</v>
      </c>
    </row>
    <row r="396" spans="1:3" x14ac:dyDescent="0.25">
      <c r="A396">
        <v>259</v>
      </c>
      <c r="B396">
        <v>41047001200</v>
      </c>
      <c r="C396">
        <v>1.9345000000000001E-4</v>
      </c>
    </row>
    <row r="397" spans="1:3" x14ac:dyDescent="0.25">
      <c r="A397">
        <v>260</v>
      </c>
      <c r="B397">
        <v>41047000200</v>
      </c>
      <c r="C397">
        <v>0.99729997999999997</v>
      </c>
    </row>
    <row r="398" spans="1:3" x14ac:dyDescent="0.25">
      <c r="A398">
        <v>260</v>
      </c>
      <c r="B398">
        <v>41047001200</v>
      </c>
      <c r="C398">
        <v>2.6999699999999999E-3</v>
      </c>
    </row>
    <row r="399" spans="1:3" x14ac:dyDescent="0.25">
      <c r="A399">
        <v>261</v>
      </c>
      <c r="B399">
        <v>41047000200</v>
      </c>
      <c r="C399">
        <v>0.99978266000000005</v>
      </c>
    </row>
    <row r="400" spans="1:3" x14ac:dyDescent="0.25">
      <c r="A400">
        <v>261</v>
      </c>
      <c r="B400">
        <v>41047001200</v>
      </c>
      <c r="C400">
        <v>2.1740999999999999E-4</v>
      </c>
    </row>
    <row r="401" spans="1:3" x14ac:dyDescent="0.25">
      <c r="A401">
        <v>279</v>
      </c>
      <c r="B401">
        <v>41047000200</v>
      </c>
      <c r="C401">
        <v>1</v>
      </c>
    </row>
    <row r="402" spans="1:3" x14ac:dyDescent="0.25">
      <c r="A402">
        <v>280</v>
      </c>
      <c r="B402">
        <v>41047000200</v>
      </c>
      <c r="C402">
        <v>1</v>
      </c>
    </row>
    <row r="403" spans="1:3" x14ac:dyDescent="0.25">
      <c r="A403">
        <v>281</v>
      </c>
      <c r="B403">
        <v>41047000200</v>
      </c>
      <c r="C403">
        <v>0.99800241000000001</v>
      </c>
    </row>
    <row r="404" spans="1:3" x14ac:dyDescent="0.25">
      <c r="A404">
        <v>281</v>
      </c>
      <c r="B404">
        <v>41047001300</v>
      </c>
      <c r="C404">
        <v>1.9975399999999999E-3</v>
      </c>
    </row>
    <row r="405" spans="1:3" x14ac:dyDescent="0.25">
      <c r="A405">
        <v>282</v>
      </c>
      <c r="B405">
        <v>41047000501</v>
      </c>
      <c r="C405">
        <v>0.88893559999999994</v>
      </c>
    </row>
    <row r="406" spans="1:3" x14ac:dyDescent="0.25">
      <c r="A406">
        <v>282</v>
      </c>
      <c r="B406">
        <v>41047000502</v>
      </c>
      <c r="C406">
        <v>8.2554999999999998E-4</v>
      </c>
    </row>
    <row r="407" spans="1:3" x14ac:dyDescent="0.25">
      <c r="A407">
        <v>282</v>
      </c>
      <c r="B407">
        <v>41047000600</v>
      </c>
      <c r="C407">
        <v>0.11023885</v>
      </c>
    </row>
    <row r="408" spans="1:3" x14ac:dyDescent="0.25">
      <c r="A408">
        <v>283</v>
      </c>
      <c r="B408">
        <v>41047000501</v>
      </c>
      <c r="C408">
        <v>0.99957821999999996</v>
      </c>
    </row>
    <row r="409" spans="1:3" x14ac:dyDescent="0.25">
      <c r="A409">
        <v>283</v>
      </c>
      <c r="B409">
        <v>41047000502</v>
      </c>
      <c r="C409">
        <v>4.2175999999999997E-4</v>
      </c>
    </row>
    <row r="410" spans="1:3" x14ac:dyDescent="0.25">
      <c r="A410">
        <v>284</v>
      </c>
      <c r="B410">
        <v>41047000501</v>
      </c>
      <c r="C410">
        <v>0.98869709000000006</v>
      </c>
    </row>
    <row r="411" spans="1:3" x14ac:dyDescent="0.25">
      <c r="A411">
        <v>284</v>
      </c>
      <c r="B411">
        <v>41047000502</v>
      </c>
      <c r="C411">
        <v>2.76736E-3</v>
      </c>
    </row>
    <row r="412" spans="1:3" x14ac:dyDescent="0.25">
      <c r="A412">
        <v>284</v>
      </c>
      <c r="B412">
        <v>41047001605</v>
      </c>
      <c r="C412">
        <v>1.7229999999999999E-5</v>
      </c>
    </row>
    <row r="413" spans="1:3" x14ac:dyDescent="0.25">
      <c r="A413">
        <v>284</v>
      </c>
      <c r="B413">
        <v>41047001607</v>
      </c>
      <c r="C413">
        <v>8.5182999999999995E-3</v>
      </c>
    </row>
    <row r="414" spans="1:3" x14ac:dyDescent="0.25">
      <c r="A414">
        <v>285</v>
      </c>
      <c r="B414">
        <v>41047000600</v>
      </c>
      <c r="C414">
        <v>0.99967309999999998</v>
      </c>
    </row>
    <row r="415" spans="1:3" x14ac:dyDescent="0.25">
      <c r="A415">
        <v>285</v>
      </c>
      <c r="B415">
        <v>41047000703</v>
      </c>
      <c r="C415">
        <v>3.2691999999999997E-4</v>
      </c>
    </row>
    <row r="416" spans="1:3" x14ac:dyDescent="0.25">
      <c r="A416">
        <v>286</v>
      </c>
      <c r="B416">
        <v>41047000501</v>
      </c>
      <c r="C416">
        <v>3.5221499999999999E-3</v>
      </c>
    </row>
    <row r="417" spans="1:3" x14ac:dyDescent="0.25">
      <c r="A417">
        <v>286</v>
      </c>
      <c r="B417">
        <v>41047000600</v>
      </c>
      <c r="C417">
        <v>9.2201920000000007E-2</v>
      </c>
    </row>
    <row r="418" spans="1:3" x14ac:dyDescent="0.25">
      <c r="A418">
        <v>286</v>
      </c>
      <c r="B418">
        <v>41047000702</v>
      </c>
      <c r="C418">
        <v>9.2751739999999999E-2</v>
      </c>
    </row>
    <row r="419" spans="1:3" x14ac:dyDescent="0.25">
      <c r="A419">
        <v>286</v>
      </c>
      <c r="B419">
        <v>41047000703</v>
      </c>
      <c r="C419">
        <v>0.80071588000000005</v>
      </c>
    </row>
    <row r="420" spans="1:3" x14ac:dyDescent="0.25">
      <c r="A420">
        <v>286</v>
      </c>
      <c r="B420">
        <v>41047001607</v>
      </c>
      <c r="C420">
        <v>7.2800000000000006E-6</v>
      </c>
    </row>
    <row r="421" spans="1:3" x14ac:dyDescent="0.25">
      <c r="A421">
        <v>286</v>
      </c>
      <c r="B421">
        <v>41047001701</v>
      </c>
      <c r="C421">
        <v>1.0801089999999999E-2</v>
      </c>
    </row>
    <row r="422" spans="1:3" x14ac:dyDescent="0.25">
      <c r="A422">
        <v>289</v>
      </c>
      <c r="B422">
        <v>41047000600</v>
      </c>
      <c r="C422">
        <v>0.98795856999999998</v>
      </c>
    </row>
    <row r="423" spans="1:3" x14ac:dyDescent="0.25">
      <c r="A423">
        <v>289</v>
      </c>
      <c r="B423">
        <v>41047000702</v>
      </c>
      <c r="C423">
        <v>6.8889299999999997E-3</v>
      </c>
    </row>
    <row r="424" spans="1:3" x14ac:dyDescent="0.25">
      <c r="A424">
        <v>289</v>
      </c>
      <c r="B424">
        <v>41047000703</v>
      </c>
      <c r="C424">
        <v>5.1524700000000001E-3</v>
      </c>
    </row>
    <row r="425" spans="1:3" x14ac:dyDescent="0.25">
      <c r="A425">
        <v>290</v>
      </c>
      <c r="B425">
        <v>41047000600</v>
      </c>
      <c r="C425">
        <v>4.1427E-4</v>
      </c>
    </row>
    <row r="426" spans="1:3" x14ac:dyDescent="0.25">
      <c r="A426">
        <v>290</v>
      </c>
      <c r="B426">
        <v>41047000702</v>
      </c>
      <c r="C426">
        <v>0.54201830000000006</v>
      </c>
    </row>
    <row r="427" spans="1:3" x14ac:dyDescent="0.25">
      <c r="A427">
        <v>290</v>
      </c>
      <c r="B427">
        <v>41047000703</v>
      </c>
      <c r="C427">
        <v>0.45756734999999998</v>
      </c>
    </row>
    <row r="428" spans="1:3" x14ac:dyDescent="0.25">
      <c r="A428">
        <v>294</v>
      </c>
      <c r="B428">
        <v>41047000702</v>
      </c>
      <c r="C428">
        <v>0.99999994000000003</v>
      </c>
    </row>
    <row r="429" spans="1:3" x14ac:dyDescent="0.25">
      <c r="A429">
        <v>295</v>
      </c>
      <c r="B429">
        <v>41047000702</v>
      </c>
      <c r="C429">
        <v>0.99999989999999994</v>
      </c>
    </row>
    <row r="430" spans="1:3" x14ac:dyDescent="0.25">
      <c r="A430">
        <v>296</v>
      </c>
      <c r="B430">
        <v>41047000702</v>
      </c>
      <c r="C430">
        <v>0.86910357000000005</v>
      </c>
    </row>
    <row r="431" spans="1:3" x14ac:dyDescent="0.25">
      <c r="A431">
        <v>296</v>
      </c>
      <c r="B431">
        <v>41047001701</v>
      </c>
      <c r="C431">
        <v>0.13089612</v>
      </c>
    </row>
    <row r="432" spans="1:3" x14ac:dyDescent="0.25">
      <c r="A432">
        <v>298</v>
      </c>
      <c r="B432">
        <v>41047000600</v>
      </c>
      <c r="C432">
        <v>3.6510000000000001E-5</v>
      </c>
    </row>
    <row r="433" spans="1:3" x14ac:dyDescent="0.25">
      <c r="A433">
        <v>298</v>
      </c>
      <c r="B433">
        <v>41047000702</v>
      </c>
      <c r="C433">
        <v>0.28297968000000001</v>
      </c>
    </row>
    <row r="434" spans="1:3" x14ac:dyDescent="0.25">
      <c r="A434">
        <v>298</v>
      </c>
      <c r="B434">
        <v>41047000900</v>
      </c>
      <c r="C434">
        <v>0.71676236999999998</v>
      </c>
    </row>
    <row r="435" spans="1:3" x14ac:dyDescent="0.25">
      <c r="A435">
        <v>298</v>
      </c>
      <c r="B435">
        <v>41047001000</v>
      </c>
      <c r="C435">
        <v>2.2137E-4</v>
      </c>
    </row>
    <row r="436" spans="1:3" x14ac:dyDescent="0.25">
      <c r="A436">
        <v>299</v>
      </c>
      <c r="B436">
        <v>41047000600</v>
      </c>
      <c r="C436">
        <v>2.4479999999999999E-5</v>
      </c>
    </row>
    <row r="437" spans="1:3" x14ac:dyDescent="0.25">
      <c r="A437">
        <v>299</v>
      </c>
      <c r="B437">
        <v>41047000702</v>
      </c>
      <c r="C437">
        <v>0.99784538999999994</v>
      </c>
    </row>
    <row r="438" spans="1:3" x14ac:dyDescent="0.25">
      <c r="A438">
        <v>299</v>
      </c>
      <c r="B438">
        <v>41047001000</v>
      </c>
      <c r="C438">
        <v>2.1301499999999999E-3</v>
      </c>
    </row>
    <row r="439" spans="1:3" x14ac:dyDescent="0.25">
      <c r="A439">
        <v>300</v>
      </c>
      <c r="B439">
        <v>41047000702</v>
      </c>
      <c r="C439">
        <v>0.96435993999999992</v>
      </c>
    </row>
    <row r="440" spans="1:3" x14ac:dyDescent="0.25">
      <c r="A440">
        <v>300</v>
      </c>
      <c r="B440">
        <v>41047001701</v>
      </c>
      <c r="C440">
        <v>2.520387E-2</v>
      </c>
    </row>
    <row r="441" spans="1:3" x14ac:dyDescent="0.25">
      <c r="A441">
        <v>300</v>
      </c>
      <c r="B441">
        <v>41047001801</v>
      </c>
      <c r="C441">
        <v>1.043615E-2</v>
      </c>
    </row>
    <row r="442" spans="1:3" x14ac:dyDescent="0.25">
      <c r="A442">
        <v>301</v>
      </c>
      <c r="B442">
        <v>41047000900</v>
      </c>
      <c r="C442">
        <v>0.99740684000000002</v>
      </c>
    </row>
    <row r="443" spans="1:3" x14ac:dyDescent="0.25">
      <c r="A443">
        <v>301</v>
      </c>
      <c r="B443">
        <v>41047001000</v>
      </c>
      <c r="C443">
        <v>2.5931599999999997E-3</v>
      </c>
    </row>
    <row r="444" spans="1:3" x14ac:dyDescent="0.25">
      <c r="A444">
        <v>302</v>
      </c>
      <c r="B444">
        <v>41047000702</v>
      </c>
      <c r="C444">
        <v>1.4034E-4</v>
      </c>
    </row>
    <row r="445" spans="1:3" x14ac:dyDescent="0.25">
      <c r="A445">
        <v>302</v>
      </c>
      <c r="B445">
        <v>41047000900</v>
      </c>
      <c r="C445">
        <v>0.81434650000000008</v>
      </c>
    </row>
    <row r="446" spans="1:3" x14ac:dyDescent="0.25">
      <c r="A446">
        <v>302</v>
      </c>
      <c r="B446">
        <v>41047001000</v>
      </c>
      <c r="C446">
        <v>0.18551321000000001</v>
      </c>
    </row>
    <row r="447" spans="1:3" x14ac:dyDescent="0.25">
      <c r="A447">
        <v>303</v>
      </c>
      <c r="B447">
        <v>41047000900</v>
      </c>
      <c r="C447">
        <v>0.80368437000000004</v>
      </c>
    </row>
    <row r="448" spans="1:3" x14ac:dyDescent="0.25">
      <c r="A448">
        <v>303</v>
      </c>
      <c r="B448">
        <v>41047001000</v>
      </c>
      <c r="C448">
        <v>0.19631564000000001</v>
      </c>
    </row>
    <row r="449" spans="1:3" x14ac:dyDescent="0.25">
      <c r="A449">
        <v>304</v>
      </c>
      <c r="B449">
        <v>41047000702</v>
      </c>
      <c r="C449">
        <v>2.1162799999999999E-3</v>
      </c>
    </row>
    <row r="450" spans="1:3" x14ac:dyDescent="0.25">
      <c r="A450">
        <v>304</v>
      </c>
      <c r="B450">
        <v>41047000900</v>
      </c>
      <c r="C450">
        <v>3.4539999999999998E-5</v>
      </c>
    </row>
    <row r="451" spans="1:3" x14ac:dyDescent="0.25">
      <c r="A451">
        <v>304</v>
      </c>
      <c r="B451">
        <v>41047001000</v>
      </c>
      <c r="C451">
        <v>0.99051343999999997</v>
      </c>
    </row>
    <row r="452" spans="1:3" x14ac:dyDescent="0.25">
      <c r="A452">
        <v>304</v>
      </c>
      <c r="B452">
        <v>41047001801</v>
      </c>
      <c r="C452">
        <v>7.3050700000000003E-3</v>
      </c>
    </row>
    <row r="453" spans="1:3" x14ac:dyDescent="0.25">
      <c r="A453">
        <v>304</v>
      </c>
      <c r="B453">
        <v>41047001803</v>
      </c>
      <c r="C453">
        <v>3.0639999999999998E-5</v>
      </c>
    </row>
    <row r="454" spans="1:3" x14ac:dyDescent="0.25">
      <c r="A454">
        <v>309</v>
      </c>
      <c r="B454">
        <v>41047000200</v>
      </c>
      <c r="C454">
        <v>1.6135750000000001E-2</v>
      </c>
    </row>
    <row r="455" spans="1:3" x14ac:dyDescent="0.25">
      <c r="A455">
        <v>309</v>
      </c>
      <c r="B455">
        <v>41047001200</v>
      </c>
      <c r="C455">
        <v>2.13357E-3</v>
      </c>
    </row>
    <row r="456" spans="1:3" x14ac:dyDescent="0.25">
      <c r="A456">
        <v>309</v>
      </c>
      <c r="B456">
        <v>41047001300</v>
      </c>
      <c r="C456">
        <v>0.98173074000000005</v>
      </c>
    </row>
    <row r="457" spans="1:3" x14ac:dyDescent="0.25">
      <c r="A457">
        <v>310</v>
      </c>
      <c r="B457">
        <v>41047000200</v>
      </c>
      <c r="C457">
        <v>3.1513299999999999E-3</v>
      </c>
    </row>
    <row r="458" spans="1:3" x14ac:dyDescent="0.25">
      <c r="A458">
        <v>310</v>
      </c>
      <c r="B458">
        <v>41047001200</v>
      </c>
      <c r="C458">
        <v>0.99590869999999998</v>
      </c>
    </row>
    <row r="459" spans="1:3" x14ac:dyDescent="0.25">
      <c r="A459">
        <v>310</v>
      </c>
      <c r="B459">
        <v>41047001300</v>
      </c>
      <c r="C459">
        <v>9.3993999999999989E-4</v>
      </c>
    </row>
    <row r="460" spans="1:3" x14ac:dyDescent="0.25">
      <c r="A460">
        <v>312</v>
      </c>
      <c r="B460">
        <v>41047001000</v>
      </c>
      <c r="C460">
        <v>0.96399495999999996</v>
      </c>
    </row>
    <row r="461" spans="1:3" x14ac:dyDescent="0.25">
      <c r="A461">
        <v>312</v>
      </c>
      <c r="B461">
        <v>41047001200</v>
      </c>
      <c r="C461">
        <v>3.600503E-2</v>
      </c>
    </row>
    <row r="462" spans="1:3" x14ac:dyDescent="0.25">
      <c r="A462">
        <v>313</v>
      </c>
      <c r="B462">
        <v>41047000900</v>
      </c>
      <c r="C462">
        <v>1.4166699999999999E-3</v>
      </c>
    </row>
    <row r="463" spans="1:3" x14ac:dyDescent="0.25">
      <c r="A463">
        <v>313</v>
      </c>
      <c r="B463">
        <v>41047001000</v>
      </c>
      <c r="C463">
        <v>0.99858332999999999</v>
      </c>
    </row>
    <row r="464" spans="1:3" x14ac:dyDescent="0.25">
      <c r="A464">
        <v>314</v>
      </c>
      <c r="B464">
        <v>41047001200</v>
      </c>
      <c r="C464">
        <v>1.3867999999999999E-4</v>
      </c>
    </row>
    <row r="465" spans="1:3" x14ac:dyDescent="0.25">
      <c r="A465">
        <v>314</v>
      </c>
      <c r="B465">
        <v>41047001300</v>
      </c>
      <c r="C465">
        <v>0.99986134000000004</v>
      </c>
    </row>
    <row r="466" spans="1:3" x14ac:dyDescent="0.25">
      <c r="A466">
        <v>322</v>
      </c>
      <c r="B466">
        <v>41047001300</v>
      </c>
      <c r="C466">
        <v>0.99240692999999991</v>
      </c>
    </row>
    <row r="467" spans="1:3" x14ac:dyDescent="0.25">
      <c r="A467">
        <v>322</v>
      </c>
      <c r="B467">
        <v>41047002201</v>
      </c>
      <c r="C467">
        <v>7.5931099999999993E-3</v>
      </c>
    </row>
    <row r="468" spans="1:3" x14ac:dyDescent="0.25">
      <c r="A468">
        <v>323</v>
      </c>
      <c r="B468">
        <v>41047001300</v>
      </c>
      <c r="C468">
        <v>0.99372461999999995</v>
      </c>
    </row>
    <row r="469" spans="1:3" x14ac:dyDescent="0.25">
      <c r="A469">
        <v>323</v>
      </c>
      <c r="B469">
        <v>41047002101</v>
      </c>
      <c r="C469">
        <v>2.1925400000000002E-3</v>
      </c>
    </row>
    <row r="470" spans="1:3" x14ac:dyDescent="0.25">
      <c r="A470">
        <v>323</v>
      </c>
      <c r="B470">
        <v>41047002201</v>
      </c>
      <c r="C470">
        <v>4.0827099999999998E-3</v>
      </c>
    </row>
    <row r="471" spans="1:3" x14ac:dyDescent="0.25">
      <c r="A471">
        <v>324</v>
      </c>
      <c r="B471">
        <v>41047001100</v>
      </c>
      <c r="C471">
        <v>1.5654599999999999E-3</v>
      </c>
    </row>
    <row r="472" spans="1:3" x14ac:dyDescent="0.25">
      <c r="A472">
        <v>324</v>
      </c>
      <c r="B472">
        <v>41047001200</v>
      </c>
      <c r="C472">
        <v>0.99461714000000001</v>
      </c>
    </row>
    <row r="473" spans="1:3" x14ac:dyDescent="0.25">
      <c r="A473">
        <v>324</v>
      </c>
      <c r="B473">
        <v>41047001300</v>
      </c>
      <c r="C473">
        <v>3.8174000000000003E-3</v>
      </c>
    </row>
    <row r="474" spans="1:3" x14ac:dyDescent="0.25">
      <c r="A474">
        <v>330</v>
      </c>
      <c r="B474">
        <v>41047001000</v>
      </c>
      <c r="C474">
        <v>0.99205319000000003</v>
      </c>
    </row>
    <row r="475" spans="1:3" x14ac:dyDescent="0.25">
      <c r="A475">
        <v>330</v>
      </c>
      <c r="B475">
        <v>41047001100</v>
      </c>
      <c r="C475">
        <v>7.9467800000000005E-3</v>
      </c>
    </row>
    <row r="476" spans="1:3" x14ac:dyDescent="0.25">
      <c r="A476">
        <v>332</v>
      </c>
      <c r="B476">
        <v>41047001300</v>
      </c>
      <c r="C476">
        <v>0.98780135000000002</v>
      </c>
    </row>
    <row r="477" spans="1:3" x14ac:dyDescent="0.25">
      <c r="A477">
        <v>332</v>
      </c>
      <c r="B477">
        <v>41047002201</v>
      </c>
      <c r="C477">
        <v>1.2198659999999998E-2</v>
      </c>
    </row>
    <row r="478" spans="1:3" x14ac:dyDescent="0.25">
      <c r="A478">
        <v>333</v>
      </c>
      <c r="B478">
        <v>41047001300</v>
      </c>
      <c r="C478">
        <v>6.7582200000000005E-3</v>
      </c>
    </row>
    <row r="479" spans="1:3" x14ac:dyDescent="0.25">
      <c r="A479">
        <v>333</v>
      </c>
      <c r="B479">
        <v>41047002201</v>
      </c>
      <c r="C479">
        <v>0.96472674999999997</v>
      </c>
    </row>
    <row r="480" spans="1:3" x14ac:dyDescent="0.25">
      <c r="A480">
        <v>333</v>
      </c>
      <c r="B480">
        <v>41047002202</v>
      </c>
      <c r="C480">
        <v>7.8697100000000002E-3</v>
      </c>
    </row>
    <row r="481" spans="1:3" x14ac:dyDescent="0.25">
      <c r="A481">
        <v>333</v>
      </c>
      <c r="B481">
        <v>41047002400</v>
      </c>
      <c r="C481">
        <v>2.0645349999999996E-2</v>
      </c>
    </row>
    <row r="482" spans="1:3" x14ac:dyDescent="0.25">
      <c r="A482">
        <v>334</v>
      </c>
      <c r="B482">
        <v>41047001300</v>
      </c>
      <c r="C482">
        <v>7.1246000000000005E-4</v>
      </c>
    </row>
    <row r="483" spans="1:3" x14ac:dyDescent="0.25">
      <c r="A483">
        <v>334</v>
      </c>
      <c r="B483">
        <v>41047002101</v>
      </c>
      <c r="C483">
        <v>1.7718999999999998E-4</v>
      </c>
    </row>
    <row r="484" spans="1:3" x14ac:dyDescent="0.25">
      <c r="A484">
        <v>334</v>
      </c>
      <c r="B484">
        <v>41047002201</v>
      </c>
      <c r="C484">
        <v>0.99258050999999992</v>
      </c>
    </row>
    <row r="485" spans="1:3" x14ac:dyDescent="0.25">
      <c r="A485">
        <v>334</v>
      </c>
      <c r="B485">
        <v>41047002202</v>
      </c>
      <c r="C485">
        <v>6.5298100000000005E-3</v>
      </c>
    </row>
    <row r="486" spans="1:3" x14ac:dyDescent="0.25">
      <c r="A486">
        <v>335</v>
      </c>
      <c r="B486">
        <v>41047001300</v>
      </c>
      <c r="C486">
        <v>1.8900000000000001E-6</v>
      </c>
    </row>
    <row r="487" spans="1:3" x14ac:dyDescent="0.25">
      <c r="A487">
        <v>335</v>
      </c>
      <c r="B487">
        <v>41047002101</v>
      </c>
      <c r="C487">
        <v>0.97404146000000003</v>
      </c>
    </row>
    <row r="488" spans="1:3" x14ac:dyDescent="0.25">
      <c r="A488">
        <v>335</v>
      </c>
      <c r="B488">
        <v>41047002102</v>
      </c>
      <c r="C488">
        <v>1.233473E-2</v>
      </c>
    </row>
    <row r="489" spans="1:3" x14ac:dyDescent="0.25">
      <c r="A489">
        <v>335</v>
      </c>
      <c r="B489">
        <v>41047002201</v>
      </c>
      <c r="C489">
        <v>5.9099100000000009E-3</v>
      </c>
    </row>
    <row r="490" spans="1:3" x14ac:dyDescent="0.25">
      <c r="A490">
        <v>335</v>
      </c>
      <c r="B490">
        <v>41047002202</v>
      </c>
      <c r="C490">
        <v>7.7120299999999999E-3</v>
      </c>
    </row>
    <row r="491" spans="1:3" x14ac:dyDescent="0.25">
      <c r="A491">
        <v>336</v>
      </c>
      <c r="B491">
        <v>41047001100</v>
      </c>
      <c r="C491">
        <v>0.98975318999999995</v>
      </c>
    </row>
    <row r="492" spans="1:3" x14ac:dyDescent="0.25">
      <c r="A492">
        <v>336</v>
      </c>
      <c r="B492">
        <v>41047001200</v>
      </c>
      <c r="C492">
        <v>8.6058999999999994E-4</v>
      </c>
    </row>
    <row r="493" spans="1:3" x14ac:dyDescent="0.25">
      <c r="A493">
        <v>336</v>
      </c>
      <c r="B493">
        <v>41047001300</v>
      </c>
      <c r="C493">
        <v>1.4989000000000002E-4</v>
      </c>
    </row>
    <row r="494" spans="1:3" x14ac:dyDescent="0.25">
      <c r="A494">
        <v>336</v>
      </c>
      <c r="B494">
        <v>41047002101</v>
      </c>
      <c r="C494">
        <v>9.2363499999999991E-3</v>
      </c>
    </row>
    <row r="495" spans="1:3" x14ac:dyDescent="0.25">
      <c r="A495">
        <v>338</v>
      </c>
      <c r="B495">
        <v>41047001000</v>
      </c>
      <c r="C495">
        <v>0.14594665000000001</v>
      </c>
    </row>
    <row r="496" spans="1:3" x14ac:dyDescent="0.25">
      <c r="A496">
        <v>338</v>
      </c>
      <c r="B496">
        <v>41047001100</v>
      </c>
      <c r="C496">
        <v>0.84990993000000004</v>
      </c>
    </row>
    <row r="497" spans="1:3" x14ac:dyDescent="0.25">
      <c r="A497">
        <v>338</v>
      </c>
      <c r="B497">
        <v>41047001200</v>
      </c>
      <c r="C497">
        <v>4.1434499999999999E-3</v>
      </c>
    </row>
    <row r="498" spans="1:3" x14ac:dyDescent="0.25">
      <c r="A498">
        <v>345</v>
      </c>
      <c r="B498">
        <v>41047002400</v>
      </c>
      <c r="C498">
        <v>1</v>
      </c>
    </row>
    <row r="499" spans="1:3" x14ac:dyDescent="0.25">
      <c r="A499">
        <v>346</v>
      </c>
      <c r="B499">
        <v>41047002202</v>
      </c>
      <c r="C499">
        <v>0.95815872000000002</v>
      </c>
    </row>
    <row r="500" spans="1:3" x14ac:dyDescent="0.25">
      <c r="A500">
        <v>346</v>
      </c>
      <c r="B500">
        <v>41047002400</v>
      </c>
      <c r="C500">
        <v>4.1841320000000001E-2</v>
      </c>
    </row>
    <row r="501" spans="1:3" x14ac:dyDescent="0.25">
      <c r="A501">
        <v>347</v>
      </c>
      <c r="B501">
        <v>41047002201</v>
      </c>
      <c r="C501">
        <v>1.7449899999999999E-3</v>
      </c>
    </row>
    <row r="502" spans="1:3" x14ac:dyDescent="0.25">
      <c r="A502">
        <v>347</v>
      </c>
      <c r="B502">
        <v>41047002202</v>
      </c>
      <c r="C502">
        <v>0.99825498000000001</v>
      </c>
    </row>
    <row r="503" spans="1:3" x14ac:dyDescent="0.25">
      <c r="A503">
        <v>350</v>
      </c>
      <c r="B503">
        <v>41047001000</v>
      </c>
      <c r="C503">
        <v>6.8469309999999992E-2</v>
      </c>
    </row>
    <row r="504" spans="1:3" x14ac:dyDescent="0.25">
      <c r="A504">
        <v>350</v>
      </c>
      <c r="B504">
        <v>41047001100</v>
      </c>
      <c r="C504">
        <v>0.91889478999999996</v>
      </c>
    </row>
    <row r="505" spans="1:3" x14ac:dyDescent="0.25">
      <c r="A505">
        <v>350</v>
      </c>
      <c r="B505">
        <v>41047002001</v>
      </c>
      <c r="C505">
        <v>1.5051999999999999E-3</v>
      </c>
    </row>
    <row r="506" spans="1:3" x14ac:dyDescent="0.25">
      <c r="A506">
        <v>350</v>
      </c>
      <c r="B506">
        <v>41047002101</v>
      </c>
      <c r="C506">
        <v>6.6037599999999993E-3</v>
      </c>
    </row>
    <row r="507" spans="1:3" x14ac:dyDescent="0.25">
      <c r="A507">
        <v>350</v>
      </c>
      <c r="B507">
        <v>41047002102</v>
      </c>
      <c r="C507">
        <v>4.5268599999999997E-3</v>
      </c>
    </row>
    <row r="508" spans="1:3" x14ac:dyDescent="0.25">
      <c r="A508">
        <v>354</v>
      </c>
      <c r="B508">
        <v>41047001000</v>
      </c>
      <c r="C508">
        <v>0.99138513000000006</v>
      </c>
    </row>
    <row r="509" spans="1:3" x14ac:dyDescent="0.25">
      <c r="A509">
        <v>354</v>
      </c>
      <c r="B509">
        <v>41047001100</v>
      </c>
      <c r="C509">
        <v>4.8773999999999996E-4</v>
      </c>
    </row>
    <row r="510" spans="1:3" x14ac:dyDescent="0.25">
      <c r="A510">
        <v>354</v>
      </c>
      <c r="B510">
        <v>41047001803</v>
      </c>
      <c r="C510">
        <v>4.26013E-3</v>
      </c>
    </row>
    <row r="511" spans="1:3" x14ac:dyDescent="0.25">
      <c r="A511">
        <v>354</v>
      </c>
      <c r="B511">
        <v>41047002001</v>
      </c>
      <c r="C511">
        <v>3.7774000000000002E-3</v>
      </c>
    </row>
    <row r="512" spans="1:3" x14ac:dyDescent="0.25">
      <c r="A512">
        <v>354</v>
      </c>
      <c r="B512">
        <v>41047002002</v>
      </c>
      <c r="C512">
        <v>8.9610000000000004E-5</v>
      </c>
    </row>
    <row r="513" spans="1:3" x14ac:dyDescent="0.25">
      <c r="A513">
        <v>357</v>
      </c>
      <c r="B513">
        <v>41047001100</v>
      </c>
      <c r="C513">
        <v>3.1157899999999998E-3</v>
      </c>
    </row>
    <row r="514" spans="1:3" x14ac:dyDescent="0.25">
      <c r="A514">
        <v>357</v>
      </c>
      <c r="B514">
        <v>41047002001</v>
      </c>
      <c r="C514">
        <v>0.99527328999999998</v>
      </c>
    </row>
    <row r="515" spans="1:3" x14ac:dyDescent="0.25">
      <c r="A515">
        <v>357</v>
      </c>
      <c r="B515">
        <v>41047002102</v>
      </c>
      <c r="C515">
        <v>1.6108800000000001E-3</v>
      </c>
    </row>
    <row r="516" spans="1:3" x14ac:dyDescent="0.25">
      <c r="A516">
        <v>358</v>
      </c>
      <c r="B516">
        <v>41047002102</v>
      </c>
      <c r="C516">
        <v>1</v>
      </c>
    </row>
    <row r="517" spans="1:3" x14ac:dyDescent="0.25">
      <c r="A517">
        <v>359</v>
      </c>
      <c r="B517">
        <v>41047002102</v>
      </c>
      <c r="C517">
        <v>0.99016937999999999</v>
      </c>
    </row>
    <row r="518" spans="1:3" x14ac:dyDescent="0.25">
      <c r="A518">
        <v>359</v>
      </c>
      <c r="B518">
        <v>41047002202</v>
      </c>
      <c r="C518">
        <v>9.8305800000000002E-3</v>
      </c>
    </row>
    <row r="519" spans="1:3" x14ac:dyDescent="0.25">
      <c r="A519">
        <v>360</v>
      </c>
      <c r="B519">
        <v>41047002202</v>
      </c>
      <c r="C519">
        <v>1</v>
      </c>
    </row>
    <row r="520" spans="1:3" x14ac:dyDescent="0.25">
      <c r="A520">
        <v>361</v>
      </c>
      <c r="B520">
        <v>41047002202</v>
      </c>
      <c r="C520">
        <v>0.95510974999999998</v>
      </c>
    </row>
    <row r="521" spans="1:3" x14ac:dyDescent="0.25">
      <c r="A521">
        <v>361</v>
      </c>
      <c r="B521">
        <v>41047002400</v>
      </c>
      <c r="C521">
        <v>4.489021E-2</v>
      </c>
    </row>
    <row r="522" spans="1:3" x14ac:dyDescent="0.25">
      <c r="A522">
        <v>362</v>
      </c>
      <c r="B522">
        <v>41047002202</v>
      </c>
      <c r="C522">
        <v>0.94193261000000006</v>
      </c>
    </row>
    <row r="523" spans="1:3" x14ac:dyDescent="0.25">
      <c r="A523">
        <v>362</v>
      </c>
      <c r="B523">
        <v>41047002400</v>
      </c>
      <c r="C523">
        <v>5.8067430000000003E-2</v>
      </c>
    </row>
    <row r="524" spans="1:3" x14ac:dyDescent="0.25">
      <c r="A524">
        <v>363</v>
      </c>
      <c r="B524">
        <v>41047002202</v>
      </c>
      <c r="C524">
        <v>0.97682011999999996</v>
      </c>
    </row>
    <row r="525" spans="1:3" x14ac:dyDescent="0.25">
      <c r="A525">
        <v>363</v>
      </c>
      <c r="B525">
        <v>41047002400</v>
      </c>
      <c r="C525">
        <v>2.31799E-2</v>
      </c>
    </row>
    <row r="526" spans="1:3" x14ac:dyDescent="0.25">
      <c r="A526">
        <v>365</v>
      </c>
      <c r="B526">
        <v>41047002102</v>
      </c>
      <c r="C526">
        <v>4.2300000000000002E-6</v>
      </c>
    </row>
    <row r="527" spans="1:3" x14ac:dyDescent="0.25">
      <c r="A527">
        <v>365</v>
      </c>
      <c r="B527">
        <v>41047002202</v>
      </c>
      <c r="C527">
        <v>0.97071333999999998</v>
      </c>
    </row>
    <row r="528" spans="1:3" x14ac:dyDescent="0.25">
      <c r="A528">
        <v>365</v>
      </c>
      <c r="B528">
        <v>41047002301</v>
      </c>
      <c r="C528">
        <v>2.9282249999999999E-2</v>
      </c>
    </row>
    <row r="529" spans="1:3" x14ac:dyDescent="0.25">
      <c r="A529">
        <v>366</v>
      </c>
      <c r="B529">
        <v>41047002102</v>
      </c>
      <c r="C529">
        <v>0.74934787000000003</v>
      </c>
    </row>
    <row r="530" spans="1:3" x14ac:dyDescent="0.25">
      <c r="A530">
        <v>366</v>
      </c>
      <c r="B530">
        <v>41047002202</v>
      </c>
      <c r="C530">
        <v>3.9754600000000001E-3</v>
      </c>
    </row>
    <row r="531" spans="1:3" x14ac:dyDescent="0.25">
      <c r="A531">
        <v>366</v>
      </c>
      <c r="B531">
        <v>41047002301</v>
      </c>
      <c r="C531">
        <v>7.4330999999999996E-4</v>
      </c>
    </row>
    <row r="532" spans="1:3" x14ac:dyDescent="0.25">
      <c r="A532">
        <v>366</v>
      </c>
      <c r="B532">
        <v>41047002303</v>
      </c>
      <c r="C532">
        <v>0.24593339</v>
      </c>
    </row>
    <row r="533" spans="1:3" x14ac:dyDescent="0.25">
      <c r="A533">
        <v>368</v>
      </c>
      <c r="B533">
        <v>41047002001</v>
      </c>
      <c r="C533">
        <v>1.864E-4</v>
      </c>
    </row>
    <row r="534" spans="1:3" x14ac:dyDescent="0.25">
      <c r="A534">
        <v>368</v>
      </c>
      <c r="B534">
        <v>41047002102</v>
      </c>
      <c r="C534">
        <v>0.78290997000000007</v>
      </c>
    </row>
    <row r="535" spans="1:3" x14ac:dyDescent="0.25">
      <c r="A535">
        <v>368</v>
      </c>
      <c r="B535">
        <v>41047002303</v>
      </c>
      <c r="C535">
        <v>0.21690365</v>
      </c>
    </row>
    <row r="536" spans="1:3" x14ac:dyDescent="0.25">
      <c r="A536">
        <v>373</v>
      </c>
      <c r="B536">
        <v>41047001000</v>
      </c>
      <c r="C536">
        <v>3.4598800000000002E-3</v>
      </c>
    </row>
    <row r="537" spans="1:3" x14ac:dyDescent="0.25">
      <c r="A537">
        <v>373</v>
      </c>
      <c r="B537">
        <v>41047001803</v>
      </c>
      <c r="C537">
        <v>6.7293300000000004E-3</v>
      </c>
    </row>
    <row r="538" spans="1:3" x14ac:dyDescent="0.25">
      <c r="A538">
        <v>373</v>
      </c>
      <c r="B538">
        <v>41047002001</v>
      </c>
      <c r="C538">
        <v>1.3282879999999999E-2</v>
      </c>
    </row>
    <row r="539" spans="1:3" x14ac:dyDescent="0.25">
      <c r="A539">
        <v>373</v>
      </c>
      <c r="B539">
        <v>41047002002</v>
      </c>
      <c r="C539">
        <v>0.97651904</v>
      </c>
    </row>
    <row r="540" spans="1:3" x14ac:dyDescent="0.25">
      <c r="A540">
        <v>373</v>
      </c>
      <c r="B540">
        <v>41047002701</v>
      </c>
      <c r="C540">
        <v>8.8999999999999995E-6</v>
      </c>
    </row>
    <row r="541" spans="1:3" x14ac:dyDescent="0.25">
      <c r="A541">
        <v>374</v>
      </c>
      <c r="B541">
        <v>41047002001</v>
      </c>
      <c r="C541">
        <v>0.97914486999999994</v>
      </c>
    </row>
    <row r="542" spans="1:3" x14ac:dyDescent="0.25">
      <c r="A542">
        <v>374</v>
      </c>
      <c r="B542">
        <v>41047002002</v>
      </c>
      <c r="C542">
        <v>3.6476E-4</v>
      </c>
    </row>
    <row r="543" spans="1:3" x14ac:dyDescent="0.25">
      <c r="A543">
        <v>374</v>
      </c>
      <c r="B543">
        <v>41047002303</v>
      </c>
      <c r="C543">
        <v>1.5641140000000001E-2</v>
      </c>
    </row>
    <row r="544" spans="1:3" x14ac:dyDescent="0.25">
      <c r="A544">
        <v>374</v>
      </c>
      <c r="B544">
        <v>41047002304</v>
      </c>
      <c r="C544">
        <v>4.8492500000000003E-3</v>
      </c>
    </row>
    <row r="545" spans="1:3" x14ac:dyDescent="0.25">
      <c r="A545">
        <v>376</v>
      </c>
      <c r="B545">
        <v>41047002303</v>
      </c>
      <c r="C545">
        <v>1</v>
      </c>
    </row>
    <row r="546" spans="1:3" x14ac:dyDescent="0.25">
      <c r="A546">
        <v>378</v>
      </c>
      <c r="B546">
        <v>41047002303</v>
      </c>
      <c r="C546">
        <v>0.99999996999999996</v>
      </c>
    </row>
    <row r="547" spans="1:3" x14ac:dyDescent="0.25">
      <c r="A547">
        <v>379</v>
      </c>
      <c r="B547">
        <v>41047002301</v>
      </c>
      <c r="C547">
        <v>2.1425799999999998E-3</v>
      </c>
    </row>
    <row r="548" spans="1:3" x14ac:dyDescent="0.25">
      <c r="A548">
        <v>379</v>
      </c>
      <c r="B548">
        <v>41047002303</v>
      </c>
      <c r="C548">
        <v>0.9978573799999999</v>
      </c>
    </row>
    <row r="549" spans="1:3" x14ac:dyDescent="0.25">
      <c r="A549">
        <v>380</v>
      </c>
      <c r="B549">
        <v>41047002202</v>
      </c>
      <c r="C549">
        <v>2.3779999999999998E-4</v>
      </c>
    </row>
    <row r="550" spans="1:3" x14ac:dyDescent="0.25">
      <c r="A550">
        <v>380</v>
      </c>
      <c r="B550">
        <v>41047002301</v>
      </c>
      <c r="C550">
        <v>0.99763780999999996</v>
      </c>
    </row>
    <row r="551" spans="1:3" x14ac:dyDescent="0.25">
      <c r="A551">
        <v>380</v>
      </c>
      <c r="B551">
        <v>41047002303</v>
      </c>
      <c r="C551">
        <v>3.5303E-4</v>
      </c>
    </row>
    <row r="552" spans="1:3" x14ac:dyDescent="0.25">
      <c r="A552">
        <v>380</v>
      </c>
      <c r="B552">
        <v>41047002400</v>
      </c>
      <c r="C552">
        <v>1.77148E-3</v>
      </c>
    </row>
    <row r="553" spans="1:3" x14ac:dyDescent="0.25">
      <c r="A553">
        <v>381</v>
      </c>
      <c r="B553">
        <v>41047002202</v>
      </c>
      <c r="C553">
        <v>4.2393700000000001E-3</v>
      </c>
    </row>
    <row r="554" spans="1:3" x14ac:dyDescent="0.25">
      <c r="A554">
        <v>381</v>
      </c>
      <c r="B554">
        <v>41047002301</v>
      </c>
      <c r="C554">
        <v>3.7417499999999999E-3</v>
      </c>
    </row>
    <row r="555" spans="1:3" x14ac:dyDescent="0.25">
      <c r="A555">
        <v>381</v>
      </c>
      <c r="B555">
        <v>41047002400</v>
      </c>
      <c r="C555">
        <v>0.99201886000000006</v>
      </c>
    </row>
    <row r="556" spans="1:3" x14ac:dyDescent="0.25">
      <c r="A556">
        <v>382</v>
      </c>
      <c r="B556">
        <v>41047002301</v>
      </c>
      <c r="C556">
        <v>2.1554499999999997E-3</v>
      </c>
    </row>
    <row r="557" spans="1:3" x14ac:dyDescent="0.25">
      <c r="A557">
        <v>382</v>
      </c>
      <c r="B557">
        <v>41047002303</v>
      </c>
      <c r="C557">
        <v>0.37619872999999998</v>
      </c>
    </row>
    <row r="558" spans="1:3" x14ac:dyDescent="0.25">
      <c r="A558">
        <v>382</v>
      </c>
      <c r="B558">
        <v>41047002304</v>
      </c>
      <c r="C558">
        <v>0.62164589000000003</v>
      </c>
    </row>
    <row r="559" spans="1:3" x14ac:dyDescent="0.25">
      <c r="A559">
        <v>383</v>
      </c>
      <c r="B559">
        <v>41047002303</v>
      </c>
      <c r="C559">
        <v>0.32015621000000005</v>
      </c>
    </row>
    <row r="560" spans="1:3" x14ac:dyDescent="0.25">
      <c r="A560">
        <v>383</v>
      </c>
      <c r="B560">
        <v>41047002304</v>
      </c>
      <c r="C560">
        <v>0.6798438</v>
      </c>
    </row>
    <row r="561" spans="1:3" x14ac:dyDescent="0.25">
      <c r="A561">
        <v>384</v>
      </c>
      <c r="B561">
        <v>41047002303</v>
      </c>
      <c r="C561">
        <v>0.49500256999999998</v>
      </c>
    </row>
    <row r="562" spans="1:3" x14ac:dyDescent="0.25">
      <c r="A562">
        <v>384</v>
      </c>
      <c r="B562">
        <v>41047002304</v>
      </c>
      <c r="C562">
        <v>0.50499746999999995</v>
      </c>
    </row>
    <row r="563" spans="1:3" x14ac:dyDescent="0.25">
      <c r="A563">
        <v>388</v>
      </c>
      <c r="B563">
        <v>41047002001</v>
      </c>
      <c r="C563">
        <v>7.5705E-4</v>
      </c>
    </row>
    <row r="564" spans="1:3" x14ac:dyDescent="0.25">
      <c r="A564">
        <v>388</v>
      </c>
      <c r="B564">
        <v>41047002002</v>
      </c>
      <c r="C564">
        <v>0.99831722000000001</v>
      </c>
    </row>
    <row r="565" spans="1:3" x14ac:dyDescent="0.25">
      <c r="A565">
        <v>388</v>
      </c>
      <c r="B565">
        <v>41047002701</v>
      </c>
      <c r="C565">
        <v>9.2568000000000001E-4</v>
      </c>
    </row>
    <row r="566" spans="1:3" x14ac:dyDescent="0.25">
      <c r="A566">
        <v>389</v>
      </c>
      <c r="B566">
        <v>41047002001</v>
      </c>
      <c r="C566">
        <v>2.1217E-4</v>
      </c>
    </row>
    <row r="567" spans="1:3" x14ac:dyDescent="0.25">
      <c r="A567">
        <v>389</v>
      </c>
      <c r="B567">
        <v>41047002002</v>
      </c>
      <c r="C567">
        <v>0.95882028000000008</v>
      </c>
    </row>
    <row r="568" spans="1:3" x14ac:dyDescent="0.25">
      <c r="A568">
        <v>389</v>
      </c>
      <c r="B568">
        <v>41047002304</v>
      </c>
      <c r="C568">
        <v>1.1073939999999999E-2</v>
      </c>
    </row>
    <row r="569" spans="1:3" x14ac:dyDescent="0.25">
      <c r="A569">
        <v>389</v>
      </c>
      <c r="B569">
        <v>41047002701</v>
      </c>
      <c r="C569">
        <v>2.637631E-2</v>
      </c>
    </row>
    <row r="570" spans="1:3" x14ac:dyDescent="0.25">
      <c r="A570">
        <v>389</v>
      </c>
      <c r="B570">
        <v>41047002800</v>
      </c>
      <c r="C570">
        <v>3.5173100000000001E-3</v>
      </c>
    </row>
    <row r="571" spans="1:3" x14ac:dyDescent="0.25">
      <c r="A571">
        <v>390</v>
      </c>
      <c r="B571">
        <v>41047002304</v>
      </c>
      <c r="C571">
        <v>0.93511000999999994</v>
      </c>
    </row>
    <row r="572" spans="1:3" x14ac:dyDescent="0.25">
      <c r="A572">
        <v>390</v>
      </c>
      <c r="B572">
        <v>41047002800</v>
      </c>
      <c r="C572">
        <v>6.4889989999999995E-2</v>
      </c>
    </row>
    <row r="573" spans="1:3" x14ac:dyDescent="0.25">
      <c r="A573">
        <v>395</v>
      </c>
      <c r="B573">
        <v>41047001000</v>
      </c>
      <c r="C573">
        <v>7.7720000000000008E-5</v>
      </c>
    </row>
    <row r="574" spans="1:3" x14ac:dyDescent="0.25">
      <c r="A574">
        <v>395</v>
      </c>
      <c r="B574">
        <v>41047001802</v>
      </c>
      <c r="C574">
        <v>1.5852000000000002E-4</v>
      </c>
    </row>
    <row r="575" spans="1:3" x14ac:dyDescent="0.25">
      <c r="A575">
        <v>395</v>
      </c>
      <c r="B575">
        <v>41047001803</v>
      </c>
      <c r="C575">
        <v>0.95849222000000001</v>
      </c>
    </row>
    <row r="576" spans="1:3" x14ac:dyDescent="0.25">
      <c r="A576">
        <v>395</v>
      </c>
      <c r="B576">
        <v>41047002701</v>
      </c>
      <c r="C576">
        <v>4.1125780000000001E-2</v>
      </c>
    </row>
    <row r="577" spans="1:3" x14ac:dyDescent="0.25">
      <c r="A577">
        <v>395</v>
      </c>
      <c r="B577">
        <v>41047002702</v>
      </c>
      <c r="C577">
        <v>1.4574999999999999E-4</v>
      </c>
    </row>
    <row r="578" spans="1:3" x14ac:dyDescent="0.25">
      <c r="A578">
        <v>396</v>
      </c>
      <c r="B578">
        <v>41047001803</v>
      </c>
      <c r="C578">
        <v>1</v>
      </c>
    </row>
    <row r="579" spans="1:3" x14ac:dyDescent="0.25">
      <c r="A579">
        <v>411</v>
      </c>
      <c r="B579">
        <v>41047001803</v>
      </c>
      <c r="C579">
        <v>0.61016429000000005</v>
      </c>
    </row>
    <row r="580" spans="1:3" x14ac:dyDescent="0.25">
      <c r="A580">
        <v>411</v>
      </c>
      <c r="B580">
        <v>41047002701</v>
      </c>
      <c r="C580">
        <v>0.38983569000000001</v>
      </c>
    </row>
    <row r="581" spans="1:3" x14ac:dyDescent="0.25">
      <c r="A581">
        <v>414</v>
      </c>
      <c r="B581">
        <v>41047001803</v>
      </c>
      <c r="C581">
        <v>6.510022E-2</v>
      </c>
    </row>
    <row r="582" spans="1:3" x14ac:dyDescent="0.25">
      <c r="A582">
        <v>414</v>
      </c>
      <c r="B582">
        <v>41047002701</v>
      </c>
      <c r="C582">
        <v>0.92045430999999989</v>
      </c>
    </row>
    <row r="583" spans="1:3" x14ac:dyDescent="0.25">
      <c r="A583">
        <v>414</v>
      </c>
      <c r="B583">
        <v>41047002702</v>
      </c>
      <c r="C583">
        <v>1.444545E-2</v>
      </c>
    </row>
    <row r="584" spans="1:3" x14ac:dyDescent="0.25">
      <c r="A584">
        <v>415</v>
      </c>
      <c r="B584">
        <v>41047001803</v>
      </c>
      <c r="C584">
        <v>3.4630189999999998E-2</v>
      </c>
    </row>
    <row r="585" spans="1:3" x14ac:dyDescent="0.25">
      <c r="A585">
        <v>415</v>
      </c>
      <c r="B585">
        <v>41047002701</v>
      </c>
      <c r="C585">
        <v>0.96536980999999999</v>
      </c>
    </row>
    <row r="586" spans="1:3" x14ac:dyDescent="0.25">
      <c r="A586">
        <v>416</v>
      </c>
      <c r="B586">
        <v>41047002701</v>
      </c>
      <c r="C586">
        <v>1</v>
      </c>
    </row>
    <row r="587" spans="1:3" x14ac:dyDescent="0.25">
      <c r="A587">
        <v>417</v>
      </c>
      <c r="B587">
        <v>41047002701</v>
      </c>
      <c r="C587">
        <v>1</v>
      </c>
    </row>
    <row r="588" spans="1:3" x14ac:dyDescent="0.25">
      <c r="A588">
        <v>418</v>
      </c>
      <c r="B588">
        <v>41047002701</v>
      </c>
      <c r="C588">
        <v>0.92365928999999991</v>
      </c>
    </row>
    <row r="589" spans="1:3" x14ac:dyDescent="0.25">
      <c r="A589">
        <v>418</v>
      </c>
      <c r="B589">
        <v>41047002702</v>
      </c>
      <c r="C589">
        <v>7.6340679999999994E-2</v>
      </c>
    </row>
    <row r="590" spans="1:3" x14ac:dyDescent="0.25">
      <c r="A590">
        <v>419</v>
      </c>
      <c r="B590">
        <v>41047001803</v>
      </c>
      <c r="C590">
        <v>4.053E-5</v>
      </c>
    </row>
    <row r="591" spans="1:3" x14ac:dyDescent="0.25">
      <c r="A591">
        <v>419</v>
      </c>
      <c r="B591">
        <v>41047002701</v>
      </c>
      <c r="C591">
        <v>0.99995946000000002</v>
      </c>
    </row>
    <row r="592" spans="1:3" x14ac:dyDescent="0.25">
      <c r="A592">
        <v>420</v>
      </c>
      <c r="B592">
        <v>41047001803</v>
      </c>
      <c r="C592">
        <v>4.0294999999999996E-4</v>
      </c>
    </row>
    <row r="593" spans="1:3" x14ac:dyDescent="0.25">
      <c r="A593">
        <v>420</v>
      </c>
      <c r="B593">
        <v>41047002002</v>
      </c>
      <c r="C593">
        <v>1.46E-6</v>
      </c>
    </row>
    <row r="594" spans="1:3" x14ac:dyDescent="0.25">
      <c r="A594">
        <v>420</v>
      </c>
      <c r="B594">
        <v>41047002701</v>
      </c>
      <c r="C594">
        <v>0.9995868</v>
      </c>
    </row>
    <row r="595" spans="1:3" x14ac:dyDescent="0.25">
      <c r="A595">
        <v>420</v>
      </c>
      <c r="B595">
        <v>41047002800</v>
      </c>
      <c r="C595">
        <v>8.7900000000000005E-6</v>
      </c>
    </row>
    <row r="596" spans="1:3" x14ac:dyDescent="0.25">
      <c r="A596">
        <v>421</v>
      </c>
      <c r="B596">
        <v>41047002002</v>
      </c>
      <c r="C596">
        <v>3.4593499999999999E-3</v>
      </c>
    </row>
    <row r="597" spans="1:3" x14ac:dyDescent="0.25">
      <c r="A597">
        <v>421</v>
      </c>
      <c r="B597">
        <v>41047002304</v>
      </c>
      <c r="C597">
        <v>8.6709999999999999E-4</v>
      </c>
    </row>
    <row r="598" spans="1:3" x14ac:dyDescent="0.25">
      <c r="A598">
        <v>421</v>
      </c>
      <c r="B598">
        <v>41047002701</v>
      </c>
      <c r="C598">
        <v>4.81074E-3</v>
      </c>
    </row>
    <row r="599" spans="1:3" x14ac:dyDescent="0.25">
      <c r="A599">
        <v>421</v>
      </c>
      <c r="B599">
        <v>41047002800</v>
      </c>
      <c r="C599">
        <v>0.99086288999999994</v>
      </c>
    </row>
    <row r="600" spans="1:3" x14ac:dyDescent="0.25">
      <c r="A600">
        <v>422</v>
      </c>
      <c r="B600">
        <v>41047002304</v>
      </c>
      <c r="C600">
        <v>1.2702799999999999E-3</v>
      </c>
    </row>
    <row r="601" spans="1:3" x14ac:dyDescent="0.25">
      <c r="A601">
        <v>422</v>
      </c>
      <c r="B601">
        <v>41047002800</v>
      </c>
      <c r="C601">
        <v>0.99872963000000003</v>
      </c>
    </row>
    <row r="602" spans="1:3" x14ac:dyDescent="0.25">
      <c r="A602">
        <v>423</v>
      </c>
      <c r="B602">
        <v>41047002301</v>
      </c>
      <c r="C602">
        <v>1.0581000000000001E-4</v>
      </c>
    </row>
    <row r="603" spans="1:3" x14ac:dyDescent="0.25">
      <c r="A603">
        <v>423</v>
      </c>
      <c r="B603">
        <v>41047002304</v>
      </c>
      <c r="C603">
        <v>3.8531000000000004E-4</v>
      </c>
    </row>
    <row r="604" spans="1:3" x14ac:dyDescent="0.25">
      <c r="A604">
        <v>423</v>
      </c>
      <c r="B604">
        <v>41047002800</v>
      </c>
      <c r="C604">
        <v>0.99950888000000004</v>
      </c>
    </row>
    <row r="605" spans="1:3" x14ac:dyDescent="0.25">
      <c r="A605">
        <v>424</v>
      </c>
      <c r="B605">
        <v>41047002800</v>
      </c>
      <c r="C605">
        <v>0.99831925999999993</v>
      </c>
    </row>
    <row r="606" spans="1:3" x14ac:dyDescent="0.25">
      <c r="A606">
        <v>424</v>
      </c>
      <c r="B606">
        <v>41047010802</v>
      </c>
      <c r="C606">
        <v>1.68074E-3</v>
      </c>
    </row>
    <row r="607" spans="1:3" x14ac:dyDescent="0.25">
      <c r="A607">
        <v>426</v>
      </c>
      <c r="B607">
        <v>41047002304</v>
      </c>
      <c r="C607">
        <v>0.91332908999999995</v>
      </c>
    </row>
    <row r="608" spans="1:3" x14ac:dyDescent="0.25">
      <c r="A608">
        <v>426</v>
      </c>
      <c r="B608">
        <v>41047002800</v>
      </c>
      <c r="C608">
        <v>8.6670830000000004E-2</v>
      </c>
    </row>
    <row r="609" spans="1:3" x14ac:dyDescent="0.25">
      <c r="A609">
        <v>427</v>
      </c>
      <c r="B609">
        <v>41047002301</v>
      </c>
      <c r="C609">
        <v>3.2060999999999998E-4</v>
      </c>
    </row>
    <row r="610" spans="1:3" x14ac:dyDescent="0.25">
      <c r="A610">
        <v>427</v>
      </c>
      <c r="B610">
        <v>41047002304</v>
      </c>
      <c r="C610">
        <v>0.99214068</v>
      </c>
    </row>
    <row r="611" spans="1:3" x14ac:dyDescent="0.25">
      <c r="A611">
        <v>427</v>
      </c>
      <c r="B611">
        <v>41047002800</v>
      </c>
      <c r="C611">
        <v>7.5387199999999996E-3</v>
      </c>
    </row>
    <row r="612" spans="1:3" x14ac:dyDescent="0.25">
      <c r="A612">
        <v>428</v>
      </c>
      <c r="B612">
        <v>41047002301</v>
      </c>
      <c r="C612">
        <v>0.97995202000000003</v>
      </c>
    </row>
    <row r="613" spans="1:3" x14ac:dyDescent="0.25">
      <c r="A613">
        <v>428</v>
      </c>
      <c r="B613">
        <v>41047002304</v>
      </c>
      <c r="C613">
        <v>6.6169999999999998E-5</v>
      </c>
    </row>
    <row r="614" spans="1:3" x14ac:dyDescent="0.25">
      <c r="A614">
        <v>428</v>
      </c>
      <c r="B614">
        <v>41047002400</v>
      </c>
      <c r="C614">
        <v>9.5746999999999998E-4</v>
      </c>
    </row>
    <row r="615" spans="1:3" x14ac:dyDescent="0.25">
      <c r="A615">
        <v>428</v>
      </c>
      <c r="B615">
        <v>41047002800</v>
      </c>
      <c r="C615">
        <v>1.9024319999999997E-2</v>
      </c>
    </row>
    <row r="616" spans="1:3" x14ac:dyDescent="0.25">
      <c r="A616">
        <v>429</v>
      </c>
      <c r="B616">
        <v>41047002301</v>
      </c>
      <c r="C616">
        <v>0.99791739000000002</v>
      </c>
    </row>
    <row r="617" spans="1:3" x14ac:dyDescent="0.25">
      <c r="A617">
        <v>429</v>
      </c>
      <c r="B617">
        <v>41047002303</v>
      </c>
      <c r="C617">
        <v>4.4657000000000003E-4</v>
      </c>
    </row>
    <row r="618" spans="1:3" x14ac:dyDescent="0.25">
      <c r="A618">
        <v>429</v>
      </c>
      <c r="B618">
        <v>41047002304</v>
      </c>
      <c r="C618">
        <v>4.9277000000000001E-4</v>
      </c>
    </row>
    <row r="619" spans="1:3" x14ac:dyDescent="0.25">
      <c r="A619">
        <v>429</v>
      </c>
      <c r="B619">
        <v>41047002400</v>
      </c>
      <c r="C619">
        <v>1.1430400000000001E-3</v>
      </c>
    </row>
    <row r="620" spans="1:3" x14ac:dyDescent="0.25">
      <c r="A620">
        <v>430</v>
      </c>
      <c r="B620">
        <v>41047002301</v>
      </c>
      <c r="C620">
        <v>5.9110999999999994E-4</v>
      </c>
    </row>
    <row r="621" spans="1:3" x14ac:dyDescent="0.25">
      <c r="A621">
        <v>430</v>
      </c>
      <c r="B621">
        <v>41047002400</v>
      </c>
      <c r="C621">
        <v>0.99660475000000004</v>
      </c>
    </row>
    <row r="622" spans="1:3" x14ac:dyDescent="0.25">
      <c r="A622">
        <v>430</v>
      </c>
      <c r="B622">
        <v>41047002800</v>
      </c>
      <c r="C622">
        <v>2.8041100000000003E-3</v>
      </c>
    </row>
    <row r="623" spans="1:3" x14ac:dyDescent="0.25">
      <c r="A623">
        <v>431</v>
      </c>
      <c r="B623">
        <v>41047002400</v>
      </c>
      <c r="C623">
        <v>0.99679158000000001</v>
      </c>
    </row>
    <row r="624" spans="1:3" x14ac:dyDescent="0.25">
      <c r="A624">
        <v>431</v>
      </c>
      <c r="B624">
        <v>41047002800</v>
      </c>
      <c r="C624">
        <v>3.20843E-3</v>
      </c>
    </row>
    <row r="625" spans="1:3" x14ac:dyDescent="0.25">
      <c r="A625">
        <v>432</v>
      </c>
      <c r="B625">
        <v>41047002400</v>
      </c>
      <c r="C625">
        <v>0.99922701000000003</v>
      </c>
    </row>
    <row r="626" spans="1:3" x14ac:dyDescent="0.25">
      <c r="A626">
        <v>432</v>
      </c>
      <c r="B626">
        <v>41047002800</v>
      </c>
      <c r="C626">
        <v>2.9738000000000003E-4</v>
      </c>
    </row>
    <row r="627" spans="1:3" x14ac:dyDescent="0.25">
      <c r="A627">
        <v>432</v>
      </c>
      <c r="B627">
        <v>41053005302</v>
      </c>
      <c r="C627">
        <v>4.7562E-4</v>
      </c>
    </row>
    <row r="628" spans="1:3" x14ac:dyDescent="0.25">
      <c r="A628">
        <v>433</v>
      </c>
      <c r="B628">
        <v>41047002400</v>
      </c>
      <c r="C628">
        <v>1</v>
      </c>
    </row>
    <row r="629" spans="1:3" x14ac:dyDescent="0.25">
      <c r="A629">
        <v>434</v>
      </c>
      <c r="B629">
        <v>41047002400</v>
      </c>
      <c r="C629">
        <v>0.99999999000000006</v>
      </c>
    </row>
    <row r="630" spans="1:3" x14ac:dyDescent="0.25">
      <c r="A630">
        <v>435</v>
      </c>
      <c r="B630">
        <v>41047001300</v>
      </c>
      <c r="C630">
        <v>6.981836000000001E-2</v>
      </c>
    </row>
    <row r="631" spans="1:3" x14ac:dyDescent="0.25">
      <c r="A631">
        <v>435</v>
      </c>
      <c r="B631">
        <v>41047002400</v>
      </c>
      <c r="C631">
        <v>0.92915342999999995</v>
      </c>
    </row>
    <row r="632" spans="1:3" x14ac:dyDescent="0.25">
      <c r="A632">
        <v>435</v>
      </c>
      <c r="B632">
        <v>41053005204</v>
      </c>
      <c r="C632">
        <v>8.4820000000000002E-4</v>
      </c>
    </row>
    <row r="633" spans="1:3" x14ac:dyDescent="0.25">
      <c r="A633">
        <v>435</v>
      </c>
      <c r="B633">
        <v>41053005302</v>
      </c>
      <c r="C633">
        <v>1.7999999999999998E-4</v>
      </c>
    </row>
    <row r="634" spans="1:3" x14ac:dyDescent="0.25">
      <c r="A634">
        <v>436</v>
      </c>
      <c r="B634">
        <v>41047000200</v>
      </c>
      <c r="C634">
        <v>2.7170200000000001E-3</v>
      </c>
    </row>
    <row r="635" spans="1:3" x14ac:dyDescent="0.25">
      <c r="A635">
        <v>436</v>
      </c>
      <c r="B635">
        <v>41047001300</v>
      </c>
      <c r="C635">
        <v>0.98894632000000005</v>
      </c>
    </row>
    <row r="636" spans="1:3" x14ac:dyDescent="0.25">
      <c r="A636">
        <v>436</v>
      </c>
      <c r="B636">
        <v>41047002400</v>
      </c>
      <c r="C636">
        <v>2.71441E-3</v>
      </c>
    </row>
    <row r="637" spans="1:3" x14ac:dyDescent="0.25">
      <c r="A637">
        <v>436</v>
      </c>
      <c r="B637">
        <v>41053005204</v>
      </c>
      <c r="C637">
        <v>5.6222499999999996E-3</v>
      </c>
    </row>
    <row r="638" spans="1:3" x14ac:dyDescent="0.25">
      <c r="A638">
        <v>437</v>
      </c>
      <c r="B638">
        <v>41047002800</v>
      </c>
      <c r="C638">
        <v>0.99817014000000004</v>
      </c>
    </row>
    <row r="639" spans="1:3" x14ac:dyDescent="0.25">
      <c r="A639">
        <v>437</v>
      </c>
      <c r="B639">
        <v>41047010802</v>
      </c>
      <c r="C639">
        <v>1.8298700000000002E-3</v>
      </c>
    </row>
    <row r="640" spans="1:3" x14ac:dyDescent="0.25">
      <c r="A640">
        <v>439</v>
      </c>
      <c r="B640">
        <v>41047000300</v>
      </c>
      <c r="C640">
        <v>0.92127641999999998</v>
      </c>
    </row>
    <row r="641" spans="1:3" x14ac:dyDescent="0.25">
      <c r="A641">
        <v>439</v>
      </c>
      <c r="B641">
        <v>41047000400</v>
      </c>
      <c r="C641">
        <v>7.8723870000000001E-2</v>
      </c>
    </row>
    <row r="642" spans="1:3" x14ac:dyDescent="0.25">
      <c r="A642">
        <v>442</v>
      </c>
      <c r="B642">
        <v>41047001300</v>
      </c>
      <c r="C642">
        <v>0.99999992000000004</v>
      </c>
    </row>
    <row r="643" spans="1:3" x14ac:dyDescent="0.25">
      <c r="A643">
        <v>443</v>
      </c>
      <c r="B643">
        <v>41047002502</v>
      </c>
      <c r="C643">
        <v>1</v>
      </c>
    </row>
    <row r="644" spans="1:3" x14ac:dyDescent="0.25">
      <c r="A644">
        <v>444</v>
      </c>
      <c r="B644">
        <v>41047002502</v>
      </c>
      <c r="C644">
        <v>1</v>
      </c>
    </row>
    <row r="645" spans="1:3" x14ac:dyDescent="0.25">
      <c r="A645">
        <v>447</v>
      </c>
      <c r="B645">
        <v>41053005205</v>
      </c>
      <c r="C645">
        <v>8.5881900000000008E-3</v>
      </c>
    </row>
    <row r="646" spans="1:3" x14ac:dyDescent="0.25">
      <c r="A646">
        <v>447</v>
      </c>
      <c r="B646">
        <v>41053005206</v>
      </c>
      <c r="C646">
        <v>0.98813953999999993</v>
      </c>
    </row>
    <row r="647" spans="1:3" x14ac:dyDescent="0.25">
      <c r="A647">
        <v>447</v>
      </c>
      <c r="B647">
        <v>41053005301</v>
      </c>
      <c r="C647">
        <v>3.2720300000000004E-3</v>
      </c>
    </row>
    <row r="648" spans="1:3" x14ac:dyDescent="0.25">
      <c r="A648">
        <v>450</v>
      </c>
      <c r="B648">
        <v>41047002701</v>
      </c>
      <c r="C648">
        <v>6.4675599999999998E-3</v>
      </c>
    </row>
    <row r="649" spans="1:3" x14ac:dyDescent="0.25">
      <c r="A649">
        <v>450</v>
      </c>
      <c r="B649">
        <v>41047002800</v>
      </c>
      <c r="C649">
        <v>0.99353245999999995</v>
      </c>
    </row>
    <row r="650" spans="1:3" x14ac:dyDescent="0.25">
      <c r="A650">
        <v>451</v>
      </c>
      <c r="B650">
        <v>41047001803</v>
      </c>
      <c r="C650">
        <v>0.46318390999999998</v>
      </c>
    </row>
    <row r="651" spans="1:3" x14ac:dyDescent="0.25">
      <c r="A651">
        <v>451</v>
      </c>
      <c r="B651">
        <v>41047002701</v>
      </c>
      <c r="C651">
        <v>0.53681604999999999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9548-D091-4448-BF71-68E4CF81C28F}">
  <dimension ref="A1:C972"/>
  <sheetViews>
    <sheetView workbookViewId="0">
      <selection activeCell="K36" sqref="K36"/>
    </sheetView>
  </sheetViews>
  <sheetFormatPr defaultRowHeight="15" x14ac:dyDescent="0.25"/>
  <cols>
    <col min="1" max="1" width="6.140625" bestFit="1" customWidth="1"/>
    <col min="2" max="2" width="11" bestFit="1" customWidth="1"/>
    <col min="3" max="3" width="9" bestFit="1" customWidth="1"/>
  </cols>
  <sheetData>
    <row r="1" spans="1:3" x14ac:dyDescent="0.25">
      <c r="A1" t="s">
        <v>11</v>
      </c>
      <c r="B1" t="s">
        <v>0</v>
      </c>
      <c r="C1" t="s">
        <v>16</v>
      </c>
    </row>
    <row r="2" spans="1:3" x14ac:dyDescent="0.25">
      <c r="A2">
        <v>31</v>
      </c>
      <c r="B2">
        <v>410530053001</v>
      </c>
      <c r="C2">
        <v>5.8354000000000001E-4</v>
      </c>
    </row>
    <row r="3" spans="1:3" x14ac:dyDescent="0.25">
      <c r="A3">
        <v>31</v>
      </c>
      <c r="B3">
        <v>410530053003</v>
      </c>
      <c r="C3">
        <v>3.6703500000000002E-3</v>
      </c>
    </row>
    <row r="4" spans="1:3" x14ac:dyDescent="0.25">
      <c r="A4">
        <v>31</v>
      </c>
      <c r="B4">
        <v>410530053004</v>
      </c>
      <c r="C4">
        <v>0.99574611000000002</v>
      </c>
    </row>
    <row r="5" spans="1:3" x14ac:dyDescent="0.25">
      <c r="A5">
        <v>32</v>
      </c>
      <c r="B5">
        <v>410530053001</v>
      </c>
      <c r="C5">
        <v>7.1956999999999989E-4</v>
      </c>
    </row>
    <row r="6" spans="1:3" x14ac:dyDescent="0.25">
      <c r="A6">
        <v>32</v>
      </c>
      <c r="B6">
        <v>410530053002</v>
      </c>
      <c r="C6">
        <v>1.7567E-4</v>
      </c>
    </row>
    <row r="7" spans="1:3" x14ac:dyDescent="0.25">
      <c r="A7">
        <v>32</v>
      </c>
      <c r="B7">
        <v>410530053003</v>
      </c>
      <c r="C7">
        <v>0.57703895000000005</v>
      </c>
    </row>
    <row r="8" spans="1:3" x14ac:dyDescent="0.25">
      <c r="A8">
        <v>32</v>
      </c>
      <c r="B8">
        <v>410530053004</v>
      </c>
      <c r="C8">
        <v>0.42206581999999998</v>
      </c>
    </row>
    <row r="9" spans="1:3" x14ac:dyDescent="0.25">
      <c r="A9">
        <v>33</v>
      </c>
      <c r="B9">
        <v>410530053001</v>
      </c>
      <c r="C9">
        <v>0.17955186999999997</v>
      </c>
    </row>
    <row r="10" spans="1:3" x14ac:dyDescent="0.25">
      <c r="A10">
        <v>33</v>
      </c>
      <c r="B10">
        <v>410530053003</v>
      </c>
      <c r="C10">
        <v>3.5952E-4</v>
      </c>
    </row>
    <row r="11" spans="1:3" x14ac:dyDescent="0.25">
      <c r="A11">
        <v>33</v>
      </c>
      <c r="B11">
        <v>410530053004</v>
      </c>
      <c r="C11">
        <v>0.8200886300000001</v>
      </c>
    </row>
    <row r="12" spans="1:3" x14ac:dyDescent="0.25">
      <c r="A12">
        <v>34</v>
      </c>
      <c r="B12">
        <v>410530053001</v>
      </c>
      <c r="C12">
        <v>3.7910000000000001E-5</v>
      </c>
    </row>
    <row r="13" spans="1:3" x14ac:dyDescent="0.25">
      <c r="A13">
        <v>34</v>
      </c>
      <c r="B13">
        <v>410530053003</v>
      </c>
      <c r="C13">
        <v>1.5572529999999999E-2</v>
      </c>
    </row>
    <row r="14" spans="1:3" x14ac:dyDescent="0.25">
      <c r="A14">
        <v>34</v>
      </c>
      <c r="B14">
        <v>410530053004</v>
      </c>
      <c r="C14">
        <v>0.98438958999999993</v>
      </c>
    </row>
    <row r="15" spans="1:3" x14ac:dyDescent="0.25">
      <c r="A15">
        <v>35</v>
      </c>
      <c r="B15">
        <v>410530053001</v>
      </c>
      <c r="C15">
        <v>8.5377999999999995E-4</v>
      </c>
    </row>
    <row r="16" spans="1:3" x14ac:dyDescent="0.25">
      <c r="A16">
        <v>35</v>
      </c>
      <c r="B16">
        <v>410530053004</v>
      </c>
      <c r="C16">
        <v>0.99508761000000012</v>
      </c>
    </row>
    <row r="17" spans="1:3" x14ac:dyDescent="0.25">
      <c r="A17">
        <v>35</v>
      </c>
      <c r="B17">
        <v>410530053005</v>
      </c>
      <c r="C17">
        <v>4.0586199999999998E-3</v>
      </c>
    </row>
    <row r="18" spans="1:3" x14ac:dyDescent="0.25">
      <c r="A18">
        <v>36</v>
      </c>
      <c r="B18">
        <v>410530053001</v>
      </c>
      <c r="C18">
        <v>1.5951199999999998E-3</v>
      </c>
    </row>
    <row r="19" spans="1:3" x14ac:dyDescent="0.25">
      <c r="A19">
        <v>36</v>
      </c>
      <c r="B19">
        <v>410530053004</v>
      </c>
      <c r="C19">
        <v>9.4105999999999997E-4</v>
      </c>
    </row>
    <row r="20" spans="1:3" x14ac:dyDescent="0.25">
      <c r="A20">
        <v>36</v>
      </c>
      <c r="B20">
        <v>410530053005</v>
      </c>
      <c r="C20">
        <v>0.99746382999999994</v>
      </c>
    </row>
    <row r="21" spans="1:3" x14ac:dyDescent="0.25">
      <c r="A21">
        <v>37</v>
      </c>
      <c r="B21">
        <v>410470024002</v>
      </c>
      <c r="C21">
        <v>1.40737E-2</v>
      </c>
    </row>
    <row r="22" spans="1:3" x14ac:dyDescent="0.25">
      <c r="A22">
        <v>37</v>
      </c>
      <c r="B22">
        <v>410530052013</v>
      </c>
      <c r="C22">
        <v>1.9663379999999998E-2</v>
      </c>
    </row>
    <row r="23" spans="1:3" x14ac:dyDescent="0.25">
      <c r="A23">
        <v>37</v>
      </c>
      <c r="B23">
        <v>410530053001</v>
      </c>
      <c r="C23">
        <v>4.9081890000000003E-2</v>
      </c>
    </row>
    <row r="24" spans="1:3" x14ac:dyDescent="0.25">
      <c r="A24">
        <v>37</v>
      </c>
      <c r="B24">
        <v>410530053005</v>
      </c>
      <c r="C24">
        <v>0.91718107999999998</v>
      </c>
    </row>
    <row r="25" spans="1:3" x14ac:dyDescent="0.25">
      <c r="A25">
        <v>38</v>
      </c>
      <c r="B25">
        <v>410470024002</v>
      </c>
      <c r="C25">
        <v>2.4586630000000002E-2</v>
      </c>
    </row>
    <row r="26" spans="1:3" x14ac:dyDescent="0.25">
      <c r="A26">
        <v>38</v>
      </c>
      <c r="B26">
        <v>410530052013</v>
      </c>
      <c r="C26">
        <v>0.97536319000000005</v>
      </c>
    </row>
    <row r="27" spans="1:3" x14ac:dyDescent="0.25">
      <c r="A27">
        <v>38</v>
      </c>
      <c r="B27">
        <v>410530053005</v>
      </c>
      <c r="C27">
        <v>5.02E-5</v>
      </c>
    </row>
    <row r="28" spans="1:3" x14ac:dyDescent="0.25">
      <c r="A28">
        <v>39</v>
      </c>
      <c r="B28">
        <v>410530052013</v>
      </c>
      <c r="C28">
        <v>2.6336199999999997E-3</v>
      </c>
    </row>
    <row r="29" spans="1:3" x14ac:dyDescent="0.25">
      <c r="A29">
        <v>39</v>
      </c>
      <c r="B29">
        <v>410530053005</v>
      </c>
      <c r="C29">
        <v>0.99736638999999994</v>
      </c>
    </row>
    <row r="30" spans="1:3" x14ac:dyDescent="0.25">
      <c r="A30">
        <v>40</v>
      </c>
      <c r="B30">
        <v>410530053003</v>
      </c>
      <c r="C30">
        <v>1.8703E-4</v>
      </c>
    </row>
    <row r="31" spans="1:3" x14ac:dyDescent="0.25">
      <c r="A31">
        <v>40</v>
      </c>
      <c r="B31">
        <v>410530053004</v>
      </c>
      <c r="C31">
        <v>3.2030599999999998E-3</v>
      </c>
    </row>
    <row r="32" spans="1:3" x14ac:dyDescent="0.25">
      <c r="A32">
        <v>40</v>
      </c>
      <c r="B32">
        <v>410530053005</v>
      </c>
      <c r="C32">
        <v>0.99660988000000006</v>
      </c>
    </row>
    <row r="33" spans="1:3" x14ac:dyDescent="0.25">
      <c r="A33">
        <v>41</v>
      </c>
      <c r="B33">
        <v>410530053003</v>
      </c>
      <c r="C33">
        <v>0.30748251999999998</v>
      </c>
    </row>
    <row r="34" spans="1:3" x14ac:dyDescent="0.25">
      <c r="A34">
        <v>41</v>
      </c>
      <c r="B34">
        <v>410530053004</v>
      </c>
      <c r="C34">
        <v>0.69066097999999998</v>
      </c>
    </row>
    <row r="35" spans="1:3" x14ac:dyDescent="0.25">
      <c r="A35">
        <v>41</v>
      </c>
      <c r="B35">
        <v>410530053005</v>
      </c>
      <c r="C35">
        <v>1.85651E-3</v>
      </c>
    </row>
    <row r="36" spans="1:3" x14ac:dyDescent="0.25">
      <c r="A36">
        <v>42</v>
      </c>
      <c r="B36">
        <v>410470014012</v>
      </c>
      <c r="C36">
        <v>1.3644700000000002E-3</v>
      </c>
    </row>
    <row r="37" spans="1:3" x14ac:dyDescent="0.25">
      <c r="A37">
        <v>42</v>
      </c>
      <c r="B37">
        <v>410470025021</v>
      </c>
      <c r="C37">
        <v>3.2616200000000002E-3</v>
      </c>
    </row>
    <row r="38" spans="1:3" x14ac:dyDescent="0.25">
      <c r="A38">
        <v>42</v>
      </c>
      <c r="B38">
        <v>410530053002</v>
      </c>
      <c r="C38">
        <v>1.7533719999999999E-2</v>
      </c>
    </row>
    <row r="39" spans="1:3" x14ac:dyDescent="0.25">
      <c r="A39">
        <v>42</v>
      </c>
      <c r="B39">
        <v>410530053003</v>
      </c>
      <c r="C39">
        <v>0.95390659999999994</v>
      </c>
    </row>
    <row r="40" spans="1:3" x14ac:dyDescent="0.25">
      <c r="A40">
        <v>42</v>
      </c>
      <c r="B40">
        <v>410530053004</v>
      </c>
      <c r="C40">
        <v>2.3933579999999999E-2</v>
      </c>
    </row>
    <row r="41" spans="1:3" x14ac:dyDescent="0.25">
      <c r="A41">
        <v>43</v>
      </c>
      <c r="B41">
        <v>410470003003</v>
      </c>
      <c r="C41">
        <v>2.6446199999999999E-3</v>
      </c>
    </row>
    <row r="42" spans="1:3" x14ac:dyDescent="0.25">
      <c r="A42">
        <v>43</v>
      </c>
      <c r="B42">
        <v>410470004001</v>
      </c>
      <c r="C42">
        <v>1.5344999999999999E-4</v>
      </c>
    </row>
    <row r="43" spans="1:3" x14ac:dyDescent="0.25">
      <c r="A43">
        <v>43</v>
      </c>
      <c r="B43">
        <v>410470014012</v>
      </c>
      <c r="C43">
        <v>3.6640000000000002E-5</v>
      </c>
    </row>
    <row r="44" spans="1:3" x14ac:dyDescent="0.25">
      <c r="A44">
        <v>43</v>
      </c>
      <c r="B44">
        <v>410470014021</v>
      </c>
      <c r="C44">
        <v>6.4473000000000004E-4</v>
      </c>
    </row>
    <row r="45" spans="1:3" x14ac:dyDescent="0.25">
      <c r="A45">
        <v>43</v>
      </c>
      <c r="B45">
        <v>410470014023</v>
      </c>
      <c r="C45">
        <v>9.1511999999999995E-4</v>
      </c>
    </row>
    <row r="46" spans="1:3" x14ac:dyDescent="0.25">
      <c r="A46">
        <v>43</v>
      </c>
      <c r="B46">
        <v>410530052022</v>
      </c>
      <c r="C46">
        <v>0.36091585999999998</v>
      </c>
    </row>
    <row r="47" spans="1:3" x14ac:dyDescent="0.25">
      <c r="A47">
        <v>43</v>
      </c>
      <c r="B47">
        <v>410530053002</v>
      </c>
      <c r="C47">
        <v>0.63382900999999991</v>
      </c>
    </row>
    <row r="48" spans="1:3" x14ac:dyDescent="0.25">
      <c r="A48">
        <v>43</v>
      </c>
      <c r="B48">
        <v>410530053003</v>
      </c>
      <c r="C48">
        <v>8.6053000000000008E-4</v>
      </c>
    </row>
    <row r="49" spans="1:3" x14ac:dyDescent="0.25">
      <c r="A49">
        <v>44</v>
      </c>
      <c r="B49">
        <v>410530053002</v>
      </c>
      <c r="C49">
        <v>0.99802601999999996</v>
      </c>
    </row>
    <row r="50" spans="1:3" x14ac:dyDescent="0.25">
      <c r="A50">
        <v>44</v>
      </c>
      <c r="B50">
        <v>410530053003</v>
      </c>
      <c r="C50">
        <v>1.9739799999999997E-3</v>
      </c>
    </row>
    <row r="51" spans="1:3" x14ac:dyDescent="0.25">
      <c r="A51">
        <v>45</v>
      </c>
      <c r="B51">
        <v>410530052024</v>
      </c>
      <c r="C51">
        <v>5.5789999999999999E-5</v>
      </c>
    </row>
    <row r="52" spans="1:3" x14ac:dyDescent="0.25">
      <c r="A52">
        <v>45</v>
      </c>
      <c r="B52">
        <v>410530053002</v>
      </c>
      <c r="C52">
        <v>2.1759800000000001E-3</v>
      </c>
    </row>
    <row r="53" spans="1:3" x14ac:dyDescent="0.25">
      <c r="A53">
        <v>45</v>
      </c>
      <c r="B53">
        <v>410530053003</v>
      </c>
      <c r="C53">
        <v>0.99313264000000001</v>
      </c>
    </row>
    <row r="54" spans="1:3" x14ac:dyDescent="0.25">
      <c r="A54">
        <v>45</v>
      </c>
      <c r="B54">
        <v>410530053004</v>
      </c>
      <c r="C54">
        <v>4.6355600000000004E-3</v>
      </c>
    </row>
    <row r="55" spans="1:3" x14ac:dyDescent="0.25">
      <c r="A55">
        <v>47</v>
      </c>
      <c r="B55">
        <v>410530052024</v>
      </c>
      <c r="C55">
        <v>1.0262130000000001E-2</v>
      </c>
    </row>
    <row r="56" spans="1:3" x14ac:dyDescent="0.25">
      <c r="A56">
        <v>47</v>
      </c>
      <c r="B56">
        <v>410530053002</v>
      </c>
      <c r="C56">
        <v>1.406641E-2</v>
      </c>
    </row>
    <row r="57" spans="1:3" x14ac:dyDescent="0.25">
      <c r="A57">
        <v>47</v>
      </c>
      <c r="B57">
        <v>410530053003</v>
      </c>
      <c r="C57">
        <v>0.97567143999999995</v>
      </c>
    </row>
    <row r="58" spans="1:3" x14ac:dyDescent="0.25">
      <c r="A58">
        <v>48</v>
      </c>
      <c r="B58">
        <v>410530052022</v>
      </c>
      <c r="C58">
        <v>7.7804999999999997E-4</v>
      </c>
    </row>
    <row r="59" spans="1:3" x14ac:dyDescent="0.25">
      <c r="A59">
        <v>48</v>
      </c>
      <c r="B59">
        <v>410530053002</v>
      </c>
      <c r="C59">
        <v>0.99922078999999997</v>
      </c>
    </row>
    <row r="60" spans="1:3" x14ac:dyDescent="0.25">
      <c r="A60">
        <v>49</v>
      </c>
      <c r="B60">
        <v>410530052022</v>
      </c>
      <c r="C60">
        <v>7.9722700000000001E-3</v>
      </c>
    </row>
    <row r="61" spans="1:3" x14ac:dyDescent="0.25">
      <c r="A61">
        <v>49</v>
      </c>
      <c r="B61">
        <v>410530052024</v>
      </c>
      <c r="C61">
        <v>0.98192864000000002</v>
      </c>
    </row>
    <row r="62" spans="1:3" x14ac:dyDescent="0.25">
      <c r="A62">
        <v>49</v>
      </c>
      <c r="B62">
        <v>410530053002</v>
      </c>
      <c r="C62">
        <v>9.93431E-3</v>
      </c>
    </row>
    <row r="63" spans="1:3" x14ac:dyDescent="0.25">
      <c r="A63">
        <v>49</v>
      </c>
      <c r="B63">
        <v>410530053003</v>
      </c>
      <c r="C63">
        <v>1.6479E-4</v>
      </c>
    </row>
    <row r="64" spans="1:3" x14ac:dyDescent="0.25">
      <c r="A64">
        <v>50</v>
      </c>
      <c r="B64">
        <v>410530052023</v>
      </c>
      <c r="C64">
        <v>1.1799999999999999E-6</v>
      </c>
    </row>
    <row r="65" spans="1:3" x14ac:dyDescent="0.25">
      <c r="A65">
        <v>50</v>
      </c>
      <c r="B65">
        <v>410530052024</v>
      </c>
      <c r="C65">
        <v>4.3273000000000001E-3</v>
      </c>
    </row>
    <row r="66" spans="1:3" x14ac:dyDescent="0.25">
      <c r="A66">
        <v>50</v>
      </c>
      <c r="B66">
        <v>410530053003</v>
      </c>
      <c r="C66">
        <v>0.99419813000000001</v>
      </c>
    </row>
    <row r="67" spans="1:3" x14ac:dyDescent="0.25">
      <c r="A67">
        <v>50</v>
      </c>
      <c r="B67">
        <v>410530053004</v>
      </c>
      <c r="C67">
        <v>1.4589900000000001E-3</v>
      </c>
    </row>
    <row r="68" spans="1:3" x14ac:dyDescent="0.25">
      <c r="A68">
        <v>50</v>
      </c>
      <c r="B68">
        <v>410530053005</v>
      </c>
      <c r="C68">
        <v>1.4380000000000001E-5</v>
      </c>
    </row>
    <row r="69" spans="1:3" x14ac:dyDescent="0.25">
      <c r="A69">
        <v>51</v>
      </c>
      <c r="B69">
        <v>410530052021</v>
      </c>
      <c r="C69">
        <v>5.4159999999999996E-5</v>
      </c>
    </row>
    <row r="70" spans="1:3" x14ac:dyDescent="0.25">
      <c r="A70">
        <v>51</v>
      </c>
      <c r="B70">
        <v>410530052022</v>
      </c>
      <c r="C70">
        <v>1.5240999999999999E-4</v>
      </c>
    </row>
    <row r="71" spans="1:3" x14ac:dyDescent="0.25">
      <c r="A71">
        <v>51</v>
      </c>
      <c r="B71">
        <v>410530052023</v>
      </c>
      <c r="C71">
        <v>1.11E-6</v>
      </c>
    </row>
    <row r="72" spans="1:3" x14ac:dyDescent="0.25">
      <c r="A72">
        <v>51</v>
      </c>
      <c r="B72">
        <v>410530052024</v>
      </c>
      <c r="C72">
        <v>0.99903328999999996</v>
      </c>
    </row>
    <row r="73" spans="1:3" x14ac:dyDescent="0.25">
      <c r="A73">
        <v>51</v>
      </c>
      <c r="B73">
        <v>410530053003</v>
      </c>
      <c r="C73">
        <v>7.5902999999999995E-4</v>
      </c>
    </row>
    <row r="74" spans="1:3" x14ac:dyDescent="0.25">
      <c r="A74">
        <v>52</v>
      </c>
      <c r="B74">
        <v>410530052011</v>
      </c>
      <c r="C74">
        <v>7.2306599999999999E-3</v>
      </c>
    </row>
    <row r="75" spans="1:3" x14ac:dyDescent="0.25">
      <c r="A75">
        <v>52</v>
      </c>
      <c r="B75">
        <v>410530052021</v>
      </c>
      <c r="C75">
        <v>0.87584867</v>
      </c>
    </row>
    <row r="76" spans="1:3" x14ac:dyDescent="0.25">
      <c r="A76">
        <v>52</v>
      </c>
      <c r="B76">
        <v>410530052022</v>
      </c>
      <c r="C76">
        <v>1.1096369999999999E-2</v>
      </c>
    </row>
    <row r="77" spans="1:3" x14ac:dyDescent="0.25">
      <c r="A77">
        <v>52</v>
      </c>
      <c r="B77">
        <v>410530052023</v>
      </c>
      <c r="C77">
        <v>1.4471200000000001E-3</v>
      </c>
    </row>
    <row r="78" spans="1:3" x14ac:dyDescent="0.25">
      <c r="A78">
        <v>52</v>
      </c>
      <c r="B78">
        <v>410530052024</v>
      </c>
      <c r="C78">
        <v>0.10437713</v>
      </c>
    </row>
    <row r="79" spans="1:3" x14ac:dyDescent="0.25">
      <c r="A79">
        <v>53</v>
      </c>
      <c r="B79">
        <v>410530052021</v>
      </c>
      <c r="C79">
        <v>3.14E-6</v>
      </c>
    </row>
    <row r="80" spans="1:3" x14ac:dyDescent="0.25">
      <c r="A80">
        <v>53</v>
      </c>
      <c r="B80">
        <v>410530052022</v>
      </c>
      <c r="C80">
        <v>0.9999969299999999</v>
      </c>
    </row>
    <row r="81" spans="1:3" x14ac:dyDescent="0.25">
      <c r="A81">
        <v>54</v>
      </c>
      <c r="B81">
        <v>410530052011</v>
      </c>
      <c r="C81">
        <v>1.2963999999999999E-4</v>
      </c>
    </row>
    <row r="82" spans="1:3" x14ac:dyDescent="0.25">
      <c r="A82">
        <v>54</v>
      </c>
      <c r="B82">
        <v>410530052012</v>
      </c>
      <c r="C82">
        <v>6.8153399999999996E-3</v>
      </c>
    </row>
    <row r="83" spans="1:3" x14ac:dyDescent="0.25">
      <c r="A83">
        <v>54</v>
      </c>
      <c r="B83">
        <v>410530052021</v>
      </c>
      <c r="C83">
        <v>3.0597999999999997E-3</v>
      </c>
    </row>
    <row r="84" spans="1:3" x14ac:dyDescent="0.25">
      <c r="A84">
        <v>54</v>
      </c>
      <c r="B84">
        <v>410530052023</v>
      </c>
      <c r="C84">
        <v>0.98827476999999997</v>
      </c>
    </row>
    <row r="85" spans="1:3" x14ac:dyDescent="0.25">
      <c r="A85">
        <v>54</v>
      </c>
      <c r="B85">
        <v>410530052024</v>
      </c>
      <c r="C85">
        <v>1.72046E-3</v>
      </c>
    </row>
    <row r="86" spans="1:3" x14ac:dyDescent="0.25">
      <c r="A86">
        <v>55</v>
      </c>
      <c r="B86">
        <v>410530052023</v>
      </c>
      <c r="C86">
        <v>6.5251199999999997E-3</v>
      </c>
    </row>
    <row r="87" spans="1:3" x14ac:dyDescent="0.25">
      <c r="A87">
        <v>55</v>
      </c>
      <c r="B87">
        <v>410530053003</v>
      </c>
      <c r="C87">
        <v>2.5912400000000003E-3</v>
      </c>
    </row>
    <row r="88" spans="1:3" x14ac:dyDescent="0.25">
      <c r="A88">
        <v>55</v>
      </c>
      <c r="B88">
        <v>410530053005</v>
      </c>
      <c r="C88">
        <v>0.99088354000000001</v>
      </c>
    </row>
    <row r="89" spans="1:3" x14ac:dyDescent="0.25">
      <c r="A89">
        <v>56</v>
      </c>
      <c r="B89">
        <v>410530052012</v>
      </c>
      <c r="C89">
        <v>3.6247900000000001E-3</v>
      </c>
    </row>
    <row r="90" spans="1:3" x14ac:dyDescent="0.25">
      <c r="A90">
        <v>56</v>
      </c>
      <c r="B90">
        <v>410530052013</v>
      </c>
      <c r="C90">
        <v>2.4535299999999998E-3</v>
      </c>
    </row>
    <row r="91" spans="1:3" x14ac:dyDescent="0.25">
      <c r="A91">
        <v>56</v>
      </c>
      <c r="B91">
        <v>410530052023</v>
      </c>
      <c r="C91">
        <v>2.3166599999999999E-3</v>
      </c>
    </row>
    <row r="92" spans="1:3" x14ac:dyDescent="0.25">
      <c r="A92">
        <v>56</v>
      </c>
      <c r="B92">
        <v>410530053005</v>
      </c>
      <c r="C92">
        <v>0.99160503000000011</v>
      </c>
    </row>
    <row r="93" spans="1:3" x14ac:dyDescent="0.25">
      <c r="A93">
        <v>61</v>
      </c>
      <c r="B93">
        <v>410470002001</v>
      </c>
      <c r="C93">
        <v>7.0584599999999999E-3</v>
      </c>
    </row>
    <row r="94" spans="1:3" x14ac:dyDescent="0.25">
      <c r="A94">
        <v>61</v>
      </c>
      <c r="B94">
        <v>410470002002</v>
      </c>
      <c r="C94">
        <v>8.7976500000000006E-3</v>
      </c>
    </row>
    <row r="95" spans="1:3" x14ac:dyDescent="0.25">
      <c r="A95">
        <v>61</v>
      </c>
      <c r="B95">
        <v>410470003003</v>
      </c>
      <c r="C95">
        <v>6.6348000000000004E-4</v>
      </c>
    </row>
    <row r="96" spans="1:3" x14ac:dyDescent="0.25">
      <c r="A96">
        <v>61</v>
      </c>
      <c r="B96">
        <v>410470013001</v>
      </c>
      <c r="C96">
        <v>3.34717E-3</v>
      </c>
    </row>
    <row r="97" spans="1:3" x14ac:dyDescent="0.25">
      <c r="A97">
        <v>61</v>
      </c>
      <c r="B97">
        <v>410530051001</v>
      </c>
      <c r="C97">
        <v>6.7656109999999992E-2</v>
      </c>
    </row>
    <row r="98" spans="1:3" x14ac:dyDescent="0.25">
      <c r="A98">
        <v>61</v>
      </c>
      <c r="B98">
        <v>410530052011</v>
      </c>
      <c r="C98">
        <v>4.6470000000000001E-5</v>
      </c>
    </row>
    <row r="99" spans="1:3" x14ac:dyDescent="0.25">
      <c r="A99">
        <v>61</v>
      </c>
      <c r="B99">
        <v>410530052013</v>
      </c>
      <c r="C99">
        <v>8.4579429999999997E-2</v>
      </c>
    </row>
    <row r="100" spans="1:3" x14ac:dyDescent="0.25">
      <c r="A100">
        <v>61</v>
      </c>
      <c r="B100">
        <v>410530052021</v>
      </c>
      <c r="C100">
        <v>3.2590000000000005E-5</v>
      </c>
    </row>
    <row r="101" spans="1:3" x14ac:dyDescent="0.25">
      <c r="A101">
        <v>61</v>
      </c>
      <c r="B101">
        <v>410530052022</v>
      </c>
      <c r="C101">
        <v>0.82781863</v>
      </c>
    </row>
    <row r="102" spans="1:3" x14ac:dyDescent="0.25">
      <c r="A102">
        <v>64</v>
      </c>
      <c r="B102">
        <v>410470013001</v>
      </c>
      <c r="C102">
        <v>1.478704E-2</v>
      </c>
    </row>
    <row r="103" spans="1:3" x14ac:dyDescent="0.25">
      <c r="A103">
        <v>64</v>
      </c>
      <c r="B103">
        <v>410530051001</v>
      </c>
      <c r="C103">
        <v>0.70887235000000004</v>
      </c>
    </row>
    <row r="104" spans="1:3" x14ac:dyDescent="0.25">
      <c r="A104">
        <v>64</v>
      </c>
      <c r="B104">
        <v>410530052011</v>
      </c>
      <c r="C104">
        <v>8.7354210000000002E-2</v>
      </c>
    </row>
    <row r="105" spans="1:3" x14ac:dyDescent="0.25">
      <c r="A105">
        <v>64</v>
      </c>
      <c r="B105">
        <v>410530052013</v>
      </c>
      <c r="C105">
        <v>0.18434162000000001</v>
      </c>
    </row>
    <row r="106" spans="1:3" x14ac:dyDescent="0.25">
      <c r="A106">
        <v>64</v>
      </c>
      <c r="B106">
        <v>410530052022</v>
      </c>
      <c r="C106">
        <v>4.6447600000000004E-3</v>
      </c>
    </row>
    <row r="107" spans="1:3" x14ac:dyDescent="0.25">
      <c r="A107">
        <v>65</v>
      </c>
      <c r="B107">
        <v>410530051002</v>
      </c>
      <c r="C107">
        <v>6.3290000000000004E-4</v>
      </c>
    </row>
    <row r="108" spans="1:3" x14ac:dyDescent="0.25">
      <c r="A108">
        <v>65</v>
      </c>
      <c r="B108">
        <v>410530052011</v>
      </c>
      <c r="C108">
        <v>0.68963795000000006</v>
      </c>
    </row>
    <row r="109" spans="1:3" x14ac:dyDescent="0.25">
      <c r="A109">
        <v>65</v>
      </c>
      <c r="B109">
        <v>410530052012</v>
      </c>
      <c r="C109">
        <v>0.30972909000000004</v>
      </c>
    </row>
    <row r="110" spans="1:3" x14ac:dyDescent="0.25">
      <c r="A110">
        <v>66</v>
      </c>
      <c r="B110">
        <v>410530052012</v>
      </c>
      <c r="C110">
        <v>0.99892679000000006</v>
      </c>
    </row>
    <row r="111" spans="1:3" x14ac:dyDescent="0.25">
      <c r="A111">
        <v>66</v>
      </c>
      <c r="B111">
        <v>410530052013</v>
      </c>
      <c r="C111">
        <v>1.07321E-3</v>
      </c>
    </row>
    <row r="112" spans="1:3" x14ac:dyDescent="0.25">
      <c r="A112">
        <v>67</v>
      </c>
      <c r="B112">
        <v>410530052012</v>
      </c>
      <c r="C112">
        <v>0.99297207999999992</v>
      </c>
    </row>
    <row r="113" spans="1:3" x14ac:dyDescent="0.25">
      <c r="A113">
        <v>67</v>
      </c>
      <c r="B113">
        <v>410530052013</v>
      </c>
      <c r="C113">
        <v>2.3095099999999999E-3</v>
      </c>
    </row>
    <row r="114" spans="1:3" x14ac:dyDescent="0.25">
      <c r="A114">
        <v>67</v>
      </c>
      <c r="B114">
        <v>410530052023</v>
      </c>
      <c r="C114">
        <v>2.4224699999999999E-3</v>
      </c>
    </row>
    <row r="115" spans="1:3" x14ac:dyDescent="0.25">
      <c r="A115">
        <v>67</v>
      </c>
      <c r="B115">
        <v>410530053005</v>
      </c>
      <c r="C115">
        <v>2.29597E-3</v>
      </c>
    </row>
    <row r="116" spans="1:3" x14ac:dyDescent="0.25">
      <c r="A116">
        <v>70</v>
      </c>
      <c r="B116">
        <v>410530052012</v>
      </c>
      <c r="C116">
        <v>3.9931E-4</v>
      </c>
    </row>
    <row r="117" spans="1:3" x14ac:dyDescent="0.25">
      <c r="A117">
        <v>70</v>
      </c>
      <c r="B117">
        <v>410530052013</v>
      </c>
      <c r="C117">
        <v>0.99960066000000003</v>
      </c>
    </row>
    <row r="118" spans="1:3" x14ac:dyDescent="0.25">
      <c r="A118">
        <v>71</v>
      </c>
      <c r="B118">
        <v>410470024002</v>
      </c>
      <c r="C118">
        <v>1.2968239999999999E-2</v>
      </c>
    </row>
    <row r="119" spans="1:3" x14ac:dyDescent="0.25">
      <c r="A119">
        <v>71</v>
      </c>
      <c r="B119">
        <v>410530052011</v>
      </c>
      <c r="C119">
        <v>2.11071E-3</v>
      </c>
    </row>
    <row r="120" spans="1:3" x14ac:dyDescent="0.25">
      <c r="A120">
        <v>71</v>
      </c>
      <c r="B120">
        <v>410530052012</v>
      </c>
      <c r="C120">
        <v>3.5874499999999998E-3</v>
      </c>
    </row>
    <row r="121" spans="1:3" x14ac:dyDescent="0.25">
      <c r="A121">
        <v>71</v>
      </c>
      <c r="B121">
        <v>410530052013</v>
      </c>
      <c r="C121">
        <v>0.98133358000000004</v>
      </c>
    </row>
    <row r="122" spans="1:3" x14ac:dyDescent="0.25">
      <c r="A122">
        <v>74</v>
      </c>
      <c r="B122">
        <v>410530051002</v>
      </c>
      <c r="C122">
        <v>2.4585659999999999E-2</v>
      </c>
    </row>
    <row r="123" spans="1:3" x14ac:dyDescent="0.25">
      <c r="A123">
        <v>74</v>
      </c>
      <c r="B123">
        <v>410530052011</v>
      </c>
      <c r="C123">
        <v>0.50375254000000003</v>
      </c>
    </row>
    <row r="124" spans="1:3" x14ac:dyDescent="0.25">
      <c r="A124">
        <v>74</v>
      </c>
      <c r="B124">
        <v>410530052012</v>
      </c>
      <c r="C124">
        <v>0.47070162999999998</v>
      </c>
    </row>
    <row r="125" spans="1:3" x14ac:dyDescent="0.25">
      <c r="A125">
        <v>74</v>
      </c>
      <c r="B125">
        <v>410530052013</v>
      </c>
      <c r="C125">
        <v>9.6018999999999998E-4</v>
      </c>
    </row>
    <row r="126" spans="1:3" x14ac:dyDescent="0.25">
      <c r="A126">
        <v>75</v>
      </c>
      <c r="B126">
        <v>410530051001</v>
      </c>
      <c r="C126">
        <v>2.3238000000000002E-4</v>
      </c>
    </row>
    <row r="127" spans="1:3" x14ac:dyDescent="0.25">
      <c r="A127">
        <v>75</v>
      </c>
      <c r="B127">
        <v>410530051002</v>
      </c>
      <c r="C127">
        <v>0.99857870999999998</v>
      </c>
    </row>
    <row r="128" spans="1:3" x14ac:dyDescent="0.25">
      <c r="A128">
        <v>75</v>
      </c>
      <c r="B128">
        <v>410530052011</v>
      </c>
      <c r="C128">
        <v>1.18895E-3</v>
      </c>
    </row>
    <row r="129" spans="1:3" x14ac:dyDescent="0.25">
      <c r="A129">
        <v>76</v>
      </c>
      <c r="B129">
        <v>410470013001</v>
      </c>
      <c r="C129">
        <v>7.2699499999999998E-3</v>
      </c>
    </row>
    <row r="130" spans="1:3" x14ac:dyDescent="0.25">
      <c r="A130">
        <v>76</v>
      </c>
      <c r="B130">
        <v>410530051001</v>
      </c>
      <c r="C130">
        <v>3.6730000000000002E-5</v>
      </c>
    </row>
    <row r="131" spans="1:3" x14ac:dyDescent="0.25">
      <c r="A131">
        <v>76</v>
      </c>
      <c r="B131">
        <v>410530051002</v>
      </c>
      <c r="C131">
        <v>0.21288190000000001</v>
      </c>
    </row>
    <row r="132" spans="1:3" x14ac:dyDescent="0.25">
      <c r="A132">
        <v>76</v>
      </c>
      <c r="B132">
        <v>410530052011</v>
      </c>
      <c r="C132">
        <v>0.34246079000000001</v>
      </c>
    </row>
    <row r="133" spans="1:3" x14ac:dyDescent="0.25">
      <c r="A133">
        <v>76</v>
      </c>
      <c r="B133">
        <v>410530052013</v>
      </c>
      <c r="C133">
        <v>0.43735061000000003</v>
      </c>
    </row>
    <row r="134" spans="1:3" x14ac:dyDescent="0.25">
      <c r="A134">
        <v>77</v>
      </c>
      <c r="B134">
        <v>410470013001</v>
      </c>
      <c r="C134">
        <v>3.7014039999999998E-2</v>
      </c>
    </row>
    <row r="135" spans="1:3" x14ac:dyDescent="0.25">
      <c r="A135">
        <v>77</v>
      </c>
      <c r="B135">
        <v>410530051001</v>
      </c>
      <c r="C135">
        <v>0.42134647000000003</v>
      </c>
    </row>
    <row r="136" spans="1:3" x14ac:dyDescent="0.25">
      <c r="A136">
        <v>77</v>
      </c>
      <c r="B136">
        <v>410530051002</v>
      </c>
      <c r="C136">
        <v>6.313E-5</v>
      </c>
    </row>
    <row r="137" spans="1:3" x14ac:dyDescent="0.25">
      <c r="A137">
        <v>77</v>
      </c>
      <c r="B137">
        <v>410530052013</v>
      </c>
      <c r="C137">
        <v>0.54157628000000002</v>
      </c>
    </row>
    <row r="138" spans="1:3" x14ac:dyDescent="0.25">
      <c r="A138">
        <v>78</v>
      </c>
      <c r="B138">
        <v>410530051001</v>
      </c>
      <c r="C138">
        <v>0.74763332999999998</v>
      </c>
    </row>
    <row r="139" spans="1:3" x14ac:dyDescent="0.25">
      <c r="A139">
        <v>78</v>
      </c>
      <c r="B139">
        <v>410530051002</v>
      </c>
      <c r="C139">
        <v>2.4466800000000001E-3</v>
      </c>
    </row>
    <row r="140" spans="1:3" x14ac:dyDescent="0.25">
      <c r="A140">
        <v>78</v>
      </c>
      <c r="B140">
        <v>410530052011</v>
      </c>
      <c r="C140">
        <v>0.24992006</v>
      </c>
    </row>
    <row r="141" spans="1:3" x14ac:dyDescent="0.25">
      <c r="A141">
        <v>80</v>
      </c>
      <c r="B141">
        <v>410470014012</v>
      </c>
      <c r="C141">
        <v>2.5300000000000002E-5</v>
      </c>
    </row>
    <row r="142" spans="1:3" x14ac:dyDescent="0.25">
      <c r="A142">
        <v>80</v>
      </c>
      <c r="B142">
        <v>410470025012</v>
      </c>
      <c r="C142">
        <v>1.6390000000000001E-5</v>
      </c>
    </row>
    <row r="143" spans="1:3" x14ac:dyDescent="0.25">
      <c r="A143">
        <v>80</v>
      </c>
      <c r="B143">
        <v>410470025021</v>
      </c>
      <c r="C143">
        <v>0.99995830999999991</v>
      </c>
    </row>
    <row r="144" spans="1:3" x14ac:dyDescent="0.25">
      <c r="A144">
        <v>81</v>
      </c>
      <c r="B144">
        <v>410470014012</v>
      </c>
      <c r="C144">
        <v>0.97183321000000011</v>
      </c>
    </row>
    <row r="145" spans="1:3" x14ac:dyDescent="0.25">
      <c r="A145">
        <v>81</v>
      </c>
      <c r="B145">
        <v>410470014021</v>
      </c>
      <c r="C145">
        <v>4.4599999999999996E-6</v>
      </c>
    </row>
    <row r="146" spans="1:3" x14ac:dyDescent="0.25">
      <c r="A146">
        <v>81</v>
      </c>
      <c r="B146">
        <v>410470025021</v>
      </c>
      <c r="C146">
        <v>7.1804999999999994E-3</v>
      </c>
    </row>
    <row r="147" spans="1:3" x14ac:dyDescent="0.25">
      <c r="A147">
        <v>81</v>
      </c>
      <c r="B147">
        <v>410530053002</v>
      </c>
      <c r="C147">
        <v>3.5619800000000002E-3</v>
      </c>
    </row>
    <row r="148" spans="1:3" x14ac:dyDescent="0.25">
      <c r="A148">
        <v>81</v>
      </c>
      <c r="B148">
        <v>410530053003</v>
      </c>
      <c r="C148">
        <v>1.7419839999999999E-2</v>
      </c>
    </row>
    <row r="149" spans="1:3" x14ac:dyDescent="0.25">
      <c r="A149">
        <v>82</v>
      </c>
      <c r="B149">
        <v>410470014011</v>
      </c>
      <c r="C149">
        <v>0.94054920999999991</v>
      </c>
    </row>
    <row r="150" spans="1:3" x14ac:dyDescent="0.25">
      <c r="A150">
        <v>82</v>
      </c>
      <c r="B150">
        <v>410470014012</v>
      </c>
      <c r="C150">
        <v>5.2530399999999996E-3</v>
      </c>
    </row>
    <row r="151" spans="1:3" x14ac:dyDescent="0.25">
      <c r="A151">
        <v>82</v>
      </c>
      <c r="B151">
        <v>410470014013</v>
      </c>
      <c r="C151">
        <v>4.9464699999999997E-3</v>
      </c>
    </row>
    <row r="152" spans="1:3" x14ac:dyDescent="0.25">
      <c r="A152">
        <v>82</v>
      </c>
      <c r="B152">
        <v>410470015012</v>
      </c>
      <c r="C152">
        <v>1.0148000000000001E-4</v>
      </c>
    </row>
    <row r="153" spans="1:3" x14ac:dyDescent="0.25">
      <c r="A153">
        <v>82</v>
      </c>
      <c r="B153">
        <v>410470015013</v>
      </c>
      <c r="C153">
        <v>1.7225099999999998E-3</v>
      </c>
    </row>
    <row r="154" spans="1:3" x14ac:dyDescent="0.25">
      <c r="A154">
        <v>82</v>
      </c>
      <c r="B154">
        <v>410470025012</v>
      </c>
      <c r="C154">
        <v>8.8702599999999996E-3</v>
      </c>
    </row>
    <row r="155" spans="1:3" x14ac:dyDescent="0.25">
      <c r="A155">
        <v>82</v>
      </c>
      <c r="B155">
        <v>410470025021</v>
      </c>
      <c r="C155">
        <v>3.8557029999999999E-2</v>
      </c>
    </row>
    <row r="156" spans="1:3" x14ac:dyDescent="0.25">
      <c r="A156">
        <v>83</v>
      </c>
      <c r="B156">
        <v>410470025021</v>
      </c>
      <c r="C156">
        <v>0.99999999000000006</v>
      </c>
    </row>
    <row r="157" spans="1:3" x14ac:dyDescent="0.25">
      <c r="A157">
        <v>84</v>
      </c>
      <c r="B157">
        <v>410470025021</v>
      </c>
      <c r="C157">
        <v>1</v>
      </c>
    </row>
    <row r="158" spans="1:3" x14ac:dyDescent="0.25">
      <c r="A158">
        <v>85</v>
      </c>
      <c r="B158">
        <v>410470025011</v>
      </c>
      <c r="C158">
        <v>0.31790647999999999</v>
      </c>
    </row>
    <row r="159" spans="1:3" x14ac:dyDescent="0.25">
      <c r="A159">
        <v>85</v>
      </c>
      <c r="B159">
        <v>410470025021</v>
      </c>
      <c r="C159">
        <v>0.68209350000000002</v>
      </c>
    </row>
    <row r="160" spans="1:3" x14ac:dyDescent="0.25">
      <c r="A160">
        <v>86</v>
      </c>
      <c r="B160">
        <v>410470025011</v>
      </c>
      <c r="C160">
        <v>5.55428E-3</v>
      </c>
    </row>
    <row r="161" spans="1:3" x14ac:dyDescent="0.25">
      <c r="A161">
        <v>86</v>
      </c>
      <c r="B161">
        <v>410470025013</v>
      </c>
      <c r="C161">
        <v>0.39639688000000001</v>
      </c>
    </row>
    <row r="162" spans="1:3" x14ac:dyDescent="0.25">
      <c r="A162">
        <v>86</v>
      </c>
      <c r="B162">
        <v>410470025021</v>
      </c>
      <c r="C162">
        <v>0.59804884999999997</v>
      </c>
    </row>
    <row r="163" spans="1:3" x14ac:dyDescent="0.25">
      <c r="A163">
        <v>87</v>
      </c>
      <c r="B163">
        <v>410470025011</v>
      </c>
      <c r="C163">
        <v>0.99479881000000003</v>
      </c>
    </row>
    <row r="164" spans="1:3" x14ac:dyDescent="0.25">
      <c r="A164">
        <v>87</v>
      </c>
      <c r="B164">
        <v>410470025021</v>
      </c>
      <c r="C164">
        <v>5.2012300000000003E-3</v>
      </c>
    </row>
    <row r="165" spans="1:3" x14ac:dyDescent="0.25">
      <c r="A165">
        <v>88</v>
      </c>
      <c r="B165">
        <v>410470014011</v>
      </c>
      <c r="C165">
        <v>2.8179700000000004E-3</v>
      </c>
    </row>
    <row r="166" spans="1:3" x14ac:dyDescent="0.25">
      <c r="A166">
        <v>88</v>
      </c>
      <c r="B166">
        <v>410470025011</v>
      </c>
      <c r="C166">
        <v>0.20893719999999999</v>
      </c>
    </row>
    <row r="167" spans="1:3" x14ac:dyDescent="0.25">
      <c r="A167">
        <v>88</v>
      </c>
      <c r="B167">
        <v>410470025012</v>
      </c>
      <c r="C167">
        <v>0.38521124000000001</v>
      </c>
    </row>
    <row r="168" spans="1:3" x14ac:dyDescent="0.25">
      <c r="A168">
        <v>88</v>
      </c>
      <c r="B168">
        <v>410470025013</v>
      </c>
      <c r="C168">
        <v>4.0356639999999999E-2</v>
      </c>
    </row>
    <row r="169" spans="1:3" x14ac:dyDescent="0.25">
      <c r="A169">
        <v>88</v>
      </c>
      <c r="B169">
        <v>410470025021</v>
      </c>
      <c r="C169">
        <v>0.36267694</v>
      </c>
    </row>
    <row r="170" spans="1:3" x14ac:dyDescent="0.25">
      <c r="A170">
        <v>89</v>
      </c>
      <c r="B170">
        <v>410470025011</v>
      </c>
      <c r="C170">
        <v>0.50573058000000004</v>
      </c>
    </row>
    <row r="171" spans="1:3" x14ac:dyDescent="0.25">
      <c r="A171">
        <v>89</v>
      </c>
      <c r="B171">
        <v>410470025012</v>
      </c>
      <c r="C171">
        <v>1.6785599999999999E-3</v>
      </c>
    </row>
    <row r="172" spans="1:3" x14ac:dyDescent="0.25">
      <c r="A172">
        <v>89</v>
      </c>
      <c r="B172">
        <v>410470025013</v>
      </c>
      <c r="C172">
        <v>0.49259086000000002</v>
      </c>
    </row>
    <row r="173" spans="1:3" x14ac:dyDescent="0.25">
      <c r="A173">
        <v>90</v>
      </c>
      <c r="B173">
        <v>410470014011</v>
      </c>
      <c r="C173">
        <v>4.2224000000000003E-3</v>
      </c>
    </row>
    <row r="174" spans="1:3" x14ac:dyDescent="0.25">
      <c r="A174">
        <v>90</v>
      </c>
      <c r="B174">
        <v>410470015012</v>
      </c>
      <c r="C174">
        <v>1.9558000000000002E-3</v>
      </c>
    </row>
    <row r="175" spans="1:3" x14ac:dyDescent="0.25">
      <c r="A175">
        <v>90</v>
      </c>
      <c r="B175">
        <v>410470025012</v>
      </c>
      <c r="C175">
        <v>0.97525362000000004</v>
      </c>
    </row>
    <row r="176" spans="1:3" x14ac:dyDescent="0.25">
      <c r="A176">
        <v>90</v>
      </c>
      <c r="B176">
        <v>410470025013</v>
      </c>
      <c r="C176">
        <v>1.856816E-2</v>
      </c>
    </row>
    <row r="177" spans="1:3" x14ac:dyDescent="0.25">
      <c r="A177">
        <v>91</v>
      </c>
      <c r="B177">
        <v>410470015012</v>
      </c>
      <c r="C177">
        <v>3.101044E-2</v>
      </c>
    </row>
    <row r="178" spans="1:3" x14ac:dyDescent="0.25">
      <c r="A178">
        <v>91</v>
      </c>
      <c r="B178">
        <v>410470025012</v>
      </c>
      <c r="C178">
        <v>6.9835599999999998E-3</v>
      </c>
    </row>
    <row r="179" spans="1:3" x14ac:dyDescent="0.25">
      <c r="A179">
        <v>91</v>
      </c>
      <c r="B179">
        <v>410470025013</v>
      </c>
      <c r="C179">
        <v>0.96200599999999992</v>
      </c>
    </row>
    <row r="180" spans="1:3" x14ac:dyDescent="0.25">
      <c r="A180">
        <v>92</v>
      </c>
      <c r="B180">
        <v>410470015011</v>
      </c>
      <c r="C180">
        <v>0.96505129000000001</v>
      </c>
    </row>
    <row r="181" spans="1:3" x14ac:dyDescent="0.25">
      <c r="A181">
        <v>92</v>
      </c>
      <c r="B181">
        <v>410470015012</v>
      </c>
      <c r="C181">
        <v>7.3854400000000001E-3</v>
      </c>
    </row>
    <row r="182" spans="1:3" x14ac:dyDescent="0.25">
      <c r="A182">
        <v>92</v>
      </c>
      <c r="B182">
        <v>410470015022</v>
      </c>
      <c r="C182">
        <v>2.2953000000000001E-4</v>
      </c>
    </row>
    <row r="183" spans="1:3" x14ac:dyDescent="0.25">
      <c r="A183">
        <v>92</v>
      </c>
      <c r="B183">
        <v>410470025013</v>
      </c>
      <c r="C183">
        <v>3.0169400000000001E-3</v>
      </c>
    </row>
    <row r="184" spans="1:3" x14ac:dyDescent="0.25">
      <c r="A184">
        <v>92</v>
      </c>
      <c r="B184">
        <v>410470025021</v>
      </c>
      <c r="C184">
        <v>1.313977E-2</v>
      </c>
    </row>
    <row r="185" spans="1:3" x14ac:dyDescent="0.25">
      <c r="A185">
        <v>92</v>
      </c>
      <c r="B185">
        <v>410470025023</v>
      </c>
      <c r="C185">
        <v>1.1177029999999999E-2</v>
      </c>
    </row>
    <row r="186" spans="1:3" x14ac:dyDescent="0.25">
      <c r="A186">
        <v>94</v>
      </c>
      <c r="B186">
        <v>410470015011</v>
      </c>
      <c r="C186">
        <v>8.5228680000000001E-2</v>
      </c>
    </row>
    <row r="187" spans="1:3" x14ac:dyDescent="0.25">
      <c r="A187">
        <v>94</v>
      </c>
      <c r="B187">
        <v>410470015012</v>
      </c>
      <c r="C187">
        <v>0.89202898000000008</v>
      </c>
    </row>
    <row r="188" spans="1:3" x14ac:dyDescent="0.25">
      <c r="A188">
        <v>94</v>
      </c>
      <c r="B188">
        <v>410470015022</v>
      </c>
      <c r="C188">
        <v>1.9404000000000001E-4</v>
      </c>
    </row>
    <row r="189" spans="1:3" x14ac:dyDescent="0.25">
      <c r="A189">
        <v>94</v>
      </c>
      <c r="B189">
        <v>410470015023</v>
      </c>
      <c r="C189">
        <v>6.6738000000000008E-4</v>
      </c>
    </row>
    <row r="190" spans="1:3" x14ac:dyDescent="0.25">
      <c r="A190">
        <v>94</v>
      </c>
      <c r="B190">
        <v>410470025013</v>
      </c>
      <c r="C190">
        <v>2.188093E-2</v>
      </c>
    </row>
    <row r="191" spans="1:3" x14ac:dyDescent="0.25">
      <c r="A191">
        <v>95</v>
      </c>
      <c r="B191">
        <v>410470014011</v>
      </c>
      <c r="C191">
        <v>5.8217999999999996E-4</v>
      </c>
    </row>
    <row r="192" spans="1:3" x14ac:dyDescent="0.25">
      <c r="A192">
        <v>95</v>
      </c>
      <c r="B192">
        <v>410470015012</v>
      </c>
      <c r="C192">
        <v>0.44478602</v>
      </c>
    </row>
    <row r="193" spans="1:3" x14ac:dyDescent="0.25">
      <c r="A193">
        <v>95</v>
      </c>
      <c r="B193">
        <v>410470015013</v>
      </c>
      <c r="C193">
        <v>0.55112145000000001</v>
      </c>
    </row>
    <row r="194" spans="1:3" x14ac:dyDescent="0.25">
      <c r="A194">
        <v>95</v>
      </c>
      <c r="B194">
        <v>410470015023</v>
      </c>
      <c r="C194">
        <v>3.5343000000000001E-4</v>
      </c>
    </row>
    <row r="195" spans="1:3" x14ac:dyDescent="0.25">
      <c r="A195">
        <v>95</v>
      </c>
      <c r="B195">
        <v>410470025013</v>
      </c>
      <c r="C195">
        <v>3.1569900000000001E-3</v>
      </c>
    </row>
    <row r="196" spans="1:3" x14ac:dyDescent="0.25">
      <c r="A196">
        <v>100</v>
      </c>
      <c r="B196">
        <v>410470015011</v>
      </c>
      <c r="C196">
        <v>9.3491900000000003E-3</v>
      </c>
    </row>
    <row r="197" spans="1:3" x14ac:dyDescent="0.25">
      <c r="A197">
        <v>100</v>
      </c>
      <c r="B197">
        <v>410470015013</v>
      </c>
      <c r="C197">
        <v>5.5599999999999996E-5</v>
      </c>
    </row>
    <row r="198" spans="1:3" x14ac:dyDescent="0.25">
      <c r="A198">
        <v>100</v>
      </c>
      <c r="B198">
        <v>410470015021</v>
      </c>
      <c r="C198">
        <v>6.1563999999999998E-4</v>
      </c>
    </row>
    <row r="199" spans="1:3" x14ac:dyDescent="0.25">
      <c r="A199">
        <v>100</v>
      </c>
      <c r="B199">
        <v>410470015022</v>
      </c>
      <c r="C199">
        <v>0.98212255999999998</v>
      </c>
    </row>
    <row r="200" spans="1:3" x14ac:dyDescent="0.25">
      <c r="A200">
        <v>100</v>
      </c>
      <c r="B200">
        <v>410470015023</v>
      </c>
      <c r="C200">
        <v>3.64081E-3</v>
      </c>
    </row>
    <row r="201" spans="1:3" x14ac:dyDescent="0.25">
      <c r="A201">
        <v>100</v>
      </c>
      <c r="B201">
        <v>410470025023</v>
      </c>
      <c r="C201">
        <v>4.2161899999999999E-3</v>
      </c>
    </row>
    <row r="202" spans="1:3" x14ac:dyDescent="0.25">
      <c r="A202">
        <v>103</v>
      </c>
      <c r="B202">
        <v>410470015011</v>
      </c>
      <c r="C202">
        <v>9.3032E-4</v>
      </c>
    </row>
    <row r="203" spans="1:3" x14ac:dyDescent="0.25">
      <c r="A203">
        <v>103</v>
      </c>
      <c r="B203">
        <v>410470015012</v>
      </c>
      <c r="C203">
        <v>2.9584000000000001E-4</v>
      </c>
    </row>
    <row r="204" spans="1:3" x14ac:dyDescent="0.25">
      <c r="A204">
        <v>103</v>
      </c>
      <c r="B204">
        <v>410470015013</v>
      </c>
      <c r="C204">
        <v>0.2544807</v>
      </c>
    </row>
    <row r="205" spans="1:3" x14ac:dyDescent="0.25">
      <c r="A205">
        <v>103</v>
      </c>
      <c r="B205">
        <v>410470015021</v>
      </c>
      <c r="C205">
        <v>1.0723E-4</v>
      </c>
    </row>
    <row r="206" spans="1:3" x14ac:dyDescent="0.25">
      <c r="A206">
        <v>103</v>
      </c>
      <c r="B206">
        <v>410470015022</v>
      </c>
      <c r="C206">
        <v>0.11519562999999999</v>
      </c>
    </row>
    <row r="207" spans="1:3" x14ac:dyDescent="0.25">
      <c r="A207">
        <v>103</v>
      </c>
      <c r="B207">
        <v>410470015023</v>
      </c>
      <c r="C207">
        <v>0.62899024999999997</v>
      </c>
    </row>
    <row r="208" spans="1:3" x14ac:dyDescent="0.25">
      <c r="A208">
        <v>104</v>
      </c>
      <c r="B208">
        <v>410470014013</v>
      </c>
      <c r="C208">
        <v>1.307493E-2</v>
      </c>
    </row>
    <row r="209" spans="1:3" x14ac:dyDescent="0.25">
      <c r="A209">
        <v>104</v>
      </c>
      <c r="B209">
        <v>410470015013</v>
      </c>
      <c r="C209">
        <v>0.55301836999999998</v>
      </c>
    </row>
    <row r="210" spans="1:3" x14ac:dyDescent="0.25">
      <c r="A210">
        <v>104</v>
      </c>
      <c r="B210">
        <v>410470015021</v>
      </c>
      <c r="C210">
        <v>0.43390669000000004</v>
      </c>
    </row>
    <row r="211" spans="1:3" x14ac:dyDescent="0.25">
      <c r="A211">
        <v>107</v>
      </c>
      <c r="B211">
        <v>410470014012</v>
      </c>
      <c r="C211">
        <v>1.0429250000000001E-2</v>
      </c>
    </row>
    <row r="212" spans="1:3" x14ac:dyDescent="0.25">
      <c r="A212">
        <v>107</v>
      </c>
      <c r="B212">
        <v>410470014013</v>
      </c>
      <c r="C212">
        <v>0.98810151000000002</v>
      </c>
    </row>
    <row r="213" spans="1:3" x14ac:dyDescent="0.25">
      <c r="A213">
        <v>107</v>
      </c>
      <c r="B213">
        <v>410470014021</v>
      </c>
      <c r="C213">
        <v>5.8200000000000002E-6</v>
      </c>
    </row>
    <row r="214" spans="1:3" x14ac:dyDescent="0.25">
      <c r="A214">
        <v>107</v>
      </c>
      <c r="B214">
        <v>410470014022</v>
      </c>
      <c r="C214">
        <v>3.5156E-4</v>
      </c>
    </row>
    <row r="215" spans="1:3" x14ac:dyDescent="0.25">
      <c r="A215">
        <v>107</v>
      </c>
      <c r="B215">
        <v>410470015013</v>
      </c>
      <c r="C215">
        <v>1.1118300000000001E-3</v>
      </c>
    </row>
    <row r="216" spans="1:3" x14ac:dyDescent="0.25">
      <c r="A216">
        <v>110</v>
      </c>
      <c r="B216">
        <v>410470014012</v>
      </c>
      <c r="C216">
        <v>0.99624098999999999</v>
      </c>
    </row>
    <row r="217" spans="1:3" x14ac:dyDescent="0.25">
      <c r="A217">
        <v>110</v>
      </c>
      <c r="B217">
        <v>410470014021</v>
      </c>
      <c r="C217">
        <v>3.7589699999999999E-3</v>
      </c>
    </row>
    <row r="218" spans="1:3" x14ac:dyDescent="0.25">
      <c r="A218">
        <v>111</v>
      </c>
      <c r="B218">
        <v>410470014012</v>
      </c>
      <c r="C218">
        <v>8.7540949999999992E-2</v>
      </c>
    </row>
    <row r="219" spans="1:3" x14ac:dyDescent="0.25">
      <c r="A219">
        <v>111</v>
      </c>
      <c r="B219">
        <v>410470014021</v>
      </c>
      <c r="C219">
        <v>0.90249679999999999</v>
      </c>
    </row>
    <row r="220" spans="1:3" x14ac:dyDescent="0.25">
      <c r="A220">
        <v>111</v>
      </c>
      <c r="B220">
        <v>410470014022</v>
      </c>
      <c r="C220">
        <v>8.0299999999999994E-6</v>
      </c>
    </row>
    <row r="221" spans="1:3" x14ac:dyDescent="0.25">
      <c r="A221">
        <v>111</v>
      </c>
      <c r="B221">
        <v>410470014023</v>
      </c>
      <c r="C221">
        <v>7.7633099999999998E-3</v>
      </c>
    </row>
    <row r="222" spans="1:3" x14ac:dyDescent="0.25">
      <c r="A222">
        <v>111</v>
      </c>
      <c r="B222">
        <v>410530053002</v>
      </c>
      <c r="C222">
        <v>2.1909300000000002E-3</v>
      </c>
    </row>
    <row r="223" spans="1:3" x14ac:dyDescent="0.25">
      <c r="A223">
        <v>112</v>
      </c>
      <c r="B223">
        <v>410470014013</v>
      </c>
      <c r="C223">
        <v>2.5262800000000001E-3</v>
      </c>
    </row>
    <row r="224" spans="1:3" x14ac:dyDescent="0.25">
      <c r="A224">
        <v>112</v>
      </c>
      <c r="B224">
        <v>410470014021</v>
      </c>
      <c r="C224">
        <v>8.5261E-3</v>
      </c>
    </row>
    <row r="225" spans="1:3" x14ac:dyDescent="0.25">
      <c r="A225">
        <v>112</v>
      </c>
      <c r="B225">
        <v>410470014022</v>
      </c>
      <c r="C225">
        <v>0.98827118000000003</v>
      </c>
    </row>
    <row r="226" spans="1:3" x14ac:dyDescent="0.25">
      <c r="A226">
        <v>112</v>
      </c>
      <c r="B226">
        <v>410470014023</v>
      </c>
      <c r="C226">
        <v>6.7640000000000007E-4</v>
      </c>
    </row>
    <row r="227" spans="1:3" x14ac:dyDescent="0.25">
      <c r="A227">
        <v>114</v>
      </c>
      <c r="B227">
        <v>410470014013</v>
      </c>
      <c r="C227">
        <v>5.4830000000000002E-5</v>
      </c>
    </row>
    <row r="228" spans="1:3" x14ac:dyDescent="0.25">
      <c r="A228">
        <v>114</v>
      </c>
      <c r="B228">
        <v>410470014022</v>
      </c>
      <c r="C228">
        <v>6.0561600000000005E-3</v>
      </c>
    </row>
    <row r="229" spans="1:3" x14ac:dyDescent="0.25">
      <c r="A229">
        <v>114</v>
      </c>
      <c r="B229">
        <v>410470015013</v>
      </c>
      <c r="C229">
        <v>6.5129999999999995E-4</v>
      </c>
    </row>
    <row r="230" spans="1:3" x14ac:dyDescent="0.25">
      <c r="A230">
        <v>114</v>
      </c>
      <c r="B230">
        <v>410470015021</v>
      </c>
      <c r="C230">
        <v>0.53220387000000002</v>
      </c>
    </row>
    <row r="231" spans="1:3" x14ac:dyDescent="0.25">
      <c r="A231">
        <v>114</v>
      </c>
      <c r="B231">
        <v>410470015033</v>
      </c>
      <c r="C231">
        <v>0.46103386999999996</v>
      </c>
    </row>
    <row r="232" spans="1:3" x14ac:dyDescent="0.25">
      <c r="A232">
        <v>116</v>
      </c>
      <c r="B232">
        <v>410470015013</v>
      </c>
      <c r="C232">
        <v>2.6577000000000003E-4</v>
      </c>
    </row>
    <row r="233" spans="1:3" x14ac:dyDescent="0.25">
      <c r="A233">
        <v>116</v>
      </c>
      <c r="B233">
        <v>410470015021</v>
      </c>
      <c r="C233">
        <v>0.48510935000000005</v>
      </c>
    </row>
    <row r="234" spans="1:3" x14ac:dyDescent="0.25">
      <c r="A234">
        <v>116</v>
      </c>
      <c r="B234">
        <v>410470015022</v>
      </c>
      <c r="C234">
        <v>0.31354694</v>
      </c>
    </row>
    <row r="235" spans="1:3" x14ac:dyDescent="0.25">
      <c r="A235">
        <v>116</v>
      </c>
      <c r="B235">
        <v>410470015033</v>
      </c>
      <c r="C235">
        <v>0.20107796</v>
      </c>
    </row>
    <row r="236" spans="1:3" x14ac:dyDescent="0.25">
      <c r="A236">
        <v>117</v>
      </c>
      <c r="B236">
        <v>410470015031</v>
      </c>
      <c r="C236">
        <v>0.42055217</v>
      </c>
    </row>
    <row r="237" spans="1:3" x14ac:dyDescent="0.25">
      <c r="A237">
        <v>117</v>
      </c>
      <c r="B237">
        <v>410470015032</v>
      </c>
      <c r="C237">
        <v>7.7524720000000005E-2</v>
      </c>
    </row>
    <row r="238" spans="1:3" x14ac:dyDescent="0.25">
      <c r="A238">
        <v>117</v>
      </c>
      <c r="B238">
        <v>410470015033</v>
      </c>
      <c r="C238">
        <v>0.50192311000000001</v>
      </c>
    </row>
    <row r="239" spans="1:3" x14ac:dyDescent="0.25">
      <c r="A239">
        <v>118</v>
      </c>
      <c r="B239">
        <v>410470004001</v>
      </c>
      <c r="C239">
        <v>9.7836000000000017E-4</v>
      </c>
    </row>
    <row r="240" spans="1:3" x14ac:dyDescent="0.25">
      <c r="A240">
        <v>118</v>
      </c>
      <c r="B240">
        <v>410470014022</v>
      </c>
      <c r="C240">
        <v>7.2893000000000003E-4</v>
      </c>
    </row>
    <row r="241" spans="1:3" x14ac:dyDescent="0.25">
      <c r="A241">
        <v>118</v>
      </c>
      <c r="B241">
        <v>410470014023</v>
      </c>
      <c r="C241">
        <v>1.54468E-2</v>
      </c>
    </row>
    <row r="242" spans="1:3" x14ac:dyDescent="0.25">
      <c r="A242">
        <v>118</v>
      </c>
      <c r="B242">
        <v>410470015031</v>
      </c>
      <c r="C242">
        <v>0.17871445000000002</v>
      </c>
    </row>
    <row r="243" spans="1:3" x14ac:dyDescent="0.25">
      <c r="A243">
        <v>118</v>
      </c>
      <c r="B243">
        <v>410470015032</v>
      </c>
      <c r="C243">
        <v>0.73604971000000008</v>
      </c>
    </row>
    <row r="244" spans="1:3" x14ac:dyDescent="0.25">
      <c r="A244">
        <v>118</v>
      </c>
      <c r="B244">
        <v>410470015033</v>
      </c>
      <c r="C244">
        <v>6.8081779999999995E-2</v>
      </c>
    </row>
    <row r="245" spans="1:3" x14ac:dyDescent="0.25">
      <c r="A245">
        <v>120</v>
      </c>
      <c r="B245">
        <v>410470004001</v>
      </c>
      <c r="C245">
        <v>1.8429319999999999E-2</v>
      </c>
    </row>
    <row r="246" spans="1:3" x14ac:dyDescent="0.25">
      <c r="A246">
        <v>120</v>
      </c>
      <c r="B246">
        <v>410470014021</v>
      </c>
      <c r="C246">
        <v>8.8339999999999998E-5</v>
      </c>
    </row>
    <row r="247" spans="1:3" x14ac:dyDescent="0.25">
      <c r="A247">
        <v>120</v>
      </c>
      <c r="B247">
        <v>410470014022</v>
      </c>
      <c r="C247">
        <v>2.9577999999999999E-4</v>
      </c>
    </row>
    <row r="248" spans="1:3" x14ac:dyDescent="0.25">
      <c r="A248">
        <v>120</v>
      </c>
      <c r="B248">
        <v>410470014023</v>
      </c>
      <c r="C248">
        <v>0.97600617999999995</v>
      </c>
    </row>
    <row r="249" spans="1:3" x14ac:dyDescent="0.25">
      <c r="A249">
        <v>120</v>
      </c>
      <c r="B249">
        <v>410530052022</v>
      </c>
      <c r="C249">
        <v>1.6836899999999998E-3</v>
      </c>
    </row>
    <row r="250" spans="1:3" x14ac:dyDescent="0.25">
      <c r="A250">
        <v>120</v>
      </c>
      <c r="B250">
        <v>410530053002</v>
      </c>
      <c r="C250">
        <v>3.4966999999999997E-3</v>
      </c>
    </row>
    <row r="251" spans="1:3" x14ac:dyDescent="0.25">
      <c r="A251">
        <v>124</v>
      </c>
      <c r="B251">
        <v>410470004001</v>
      </c>
      <c r="C251">
        <v>0.98376209999999997</v>
      </c>
    </row>
    <row r="252" spans="1:3" x14ac:dyDescent="0.25">
      <c r="A252">
        <v>124</v>
      </c>
      <c r="B252">
        <v>410470014023</v>
      </c>
      <c r="C252">
        <v>7.3578000000000001E-4</v>
      </c>
    </row>
    <row r="253" spans="1:3" x14ac:dyDescent="0.25">
      <c r="A253">
        <v>124</v>
      </c>
      <c r="B253">
        <v>410530052022</v>
      </c>
      <c r="C253">
        <v>1.5502149999999999E-2</v>
      </c>
    </row>
    <row r="254" spans="1:3" x14ac:dyDescent="0.25">
      <c r="A254">
        <v>125</v>
      </c>
      <c r="B254">
        <v>410470004001</v>
      </c>
      <c r="C254">
        <v>0.57239600999999996</v>
      </c>
    </row>
    <row r="255" spans="1:3" x14ac:dyDescent="0.25">
      <c r="A255">
        <v>125</v>
      </c>
      <c r="B255">
        <v>410470004002</v>
      </c>
      <c r="C255">
        <v>0.41989206000000001</v>
      </c>
    </row>
    <row r="256" spans="1:3" x14ac:dyDescent="0.25">
      <c r="A256">
        <v>125</v>
      </c>
      <c r="B256">
        <v>410470015032</v>
      </c>
      <c r="C256">
        <v>7.7118899999999999E-3</v>
      </c>
    </row>
    <row r="257" spans="1:3" x14ac:dyDescent="0.25">
      <c r="A257">
        <v>126</v>
      </c>
      <c r="B257">
        <v>410470004001</v>
      </c>
      <c r="C257">
        <v>4.7234799999999995E-3</v>
      </c>
    </row>
    <row r="258" spans="1:3" x14ac:dyDescent="0.25">
      <c r="A258">
        <v>126</v>
      </c>
      <c r="B258">
        <v>410470004002</v>
      </c>
      <c r="C258">
        <v>0.97539714</v>
      </c>
    </row>
    <row r="259" spans="1:3" x14ac:dyDescent="0.25">
      <c r="A259">
        <v>126</v>
      </c>
      <c r="B259">
        <v>410470015031</v>
      </c>
      <c r="C259">
        <v>4.6374800000000002E-3</v>
      </c>
    </row>
    <row r="260" spans="1:3" x14ac:dyDescent="0.25">
      <c r="A260">
        <v>126</v>
      </c>
      <c r="B260">
        <v>410470015032</v>
      </c>
      <c r="C260">
        <v>1.5241860000000001E-2</v>
      </c>
    </row>
    <row r="261" spans="1:3" x14ac:dyDescent="0.25">
      <c r="A261">
        <v>128</v>
      </c>
      <c r="B261">
        <v>410470004002</v>
      </c>
      <c r="C261">
        <v>7.4250599999999998E-3</v>
      </c>
    </row>
    <row r="262" spans="1:3" x14ac:dyDescent="0.25">
      <c r="A262">
        <v>128</v>
      </c>
      <c r="B262">
        <v>410470015031</v>
      </c>
      <c r="C262">
        <v>0.27631868999999998</v>
      </c>
    </row>
    <row r="263" spans="1:3" x14ac:dyDescent="0.25">
      <c r="A263">
        <v>128</v>
      </c>
      <c r="B263">
        <v>410470015032</v>
      </c>
      <c r="C263">
        <v>0.47284781999999997</v>
      </c>
    </row>
    <row r="264" spans="1:3" x14ac:dyDescent="0.25">
      <c r="A264">
        <v>128</v>
      </c>
      <c r="B264">
        <v>410470015033</v>
      </c>
      <c r="C264">
        <v>0.24340845999999999</v>
      </c>
    </row>
    <row r="265" spans="1:3" x14ac:dyDescent="0.25">
      <c r="A265">
        <v>129</v>
      </c>
      <c r="B265">
        <v>410470025021</v>
      </c>
      <c r="C265">
        <v>0.99999995999999991</v>
      </c>
    </row>
    <row r="266" spans="1:3" x14ac:dyDescent="0.25">
      <c r="A266">
        <v>130</v>
      </c>
      <c r="B266">
        <v>410470025021</v>
      </c>
      <c r="C266">
        <v>9.5736299999999996E-3</v>
      </c>
    </row>
    <row r="267" spans="1:3" x14ac:dyDescent="0.25">
      <c r="A267">
        <v>130</v>
      </c>
      <c r="B267">
        <v>410470025022</v>
      </c>
      <c r="C267">
        <v>0.99042636000000006</v>
      </c>
    </row>
    <row r="268" spans="1:3" x14ac:dyDescent="0.25">
      <c r="A268">
        <v>131</v>
      </c>
      <c r="B268">
        <v>410470025021</v>
      </c>
      <c r="C268">
        <v>0.91876384999999994</v>
      </c>
    </row>
    <row r="269" spans="1:3" x14ac:dyDescent="0.25">
      <c r="A269">
        <v>131</v>
      </c>
      <c r="B269">
        <v>410470025022</v>
      </c>
      <c r="C269">
        <v>2.0110200000000001E-3</v>
      </c>
    </row>
    <row r="270" spans="1:3" x14ac:dyDescent="0.25">
      <c r="A270">
        <v>131</v>
      </c>
      <c r="B270">
        <v>410470025023</v>
      </c>
      <c r="C270">
        <v>7.9225110000000001E-2</v>
      </c>
    </row>
    <row r="271" spans="1:3" x14ac:dyDescent="0.25">
      <c r="A271">
        <v>132</v>
      </c>
      <c r="B271">
        <v>410470025021</v>
      </c>
      <c r="C271">
        <v>1.6818E-3</v>
      </c>
    </row>
    <row r="272" spans="1:3" x14ac:dyDescent="0.25">
      <c r="A272">
        <v>132</v>
      </c>
      <c r="B272">
        <v>410470025022</v>
      </c>
      <c r="C272">
        <v>0.99831822000000003</v>
      </c>
    </row>
    <row r="273" spans="1:3" x14ac:dyDescent="0.25">
      <c r="A273">
        <v>133</v>
      </c>
      <c r="B273">
        <v>410470025021</v>
      </c>
      <c r="C273">
        <v>4.1160000000000003E-4</v>
      </c>
    </row>
    <row r="274" spans="1:3" x14ac:dyDescent="0.25">
      <c r="A274">
        <v>133</v>
      </c>
      <c r="B274">
        <v>410470025022</v>
      </c>
      <c r="C274">
        <v>0.99847054999999996</v>
      </c>
    </row>
    <row r="275" spans="1:3" x14ac:dyDescent="0.25">
      <c r="A275">
        <v>133</v>
      </c>
      <c r="B275">
        <v>410470026001</v>
      </c>
      <c r="C275">
        <v>1.1059800000000001E-3</v>
      </c>
    </row>
    <row r="276" spans="1:3" x14ac:dyDescent="0.25">
      <c r="A276">
        <v>133</v>
      </c>
      <c r="B276">
        <v>410470026002</v>
      </c>
      <c r="C276">
        <v>1.184E-5</v>
      </c>
    </row>
    <row r="277" spans="1:3" x14ac:dyDescent="0.25">
      <c r="A277">
        <v>134</v>
      </c>
      <c r="B277">
        <v>410470025022</v>
      </c>
      <c r="C277">
        <v>0.99917995999999998</v>
      </c>
    </row>
    <row r="278" spans="1:3" x14ac:dyDescent="0.25">
      <c r="A278">
        <v>134</v>
      </c>
      <c r="B278">
        <v>410470025023</v>
      </c>
      <c r="C278">
        <v>8.2003999999999996E-4</v>
      </c>
    </row>
    <row r="279" spans="1:3" x14ac:dyDescent="0.25">
      <c r="A279">
        <v>135</v>
      </c>
      <c r="B279">
        <v>410470016011</v>
      </c>
      <c r="C279">
        <v>9.1004899999999993E-3</v>
      </c>
    </row>
    <row r="280" spans="1:3" x14ac:dyDescent="0.25">
      <c r="A280">
        <v>135</v>
      </c>
      <c r="B280">
        <v>410470016012</v>
      </c>
      <c r="C280">
        <v>4.9534000000000004E-4</v>
      </c>
    </row>
    <row r="281" spans="1:3" x14ac:dyDescent="0.25">
      <c r="A281">
        <v>135</v>
      </c>
      <c r="B281">
        <v>410470025021</v>
      </c>
      <c r="C281">
        <v>8.3210999999999997E-3</v>
      </c>
    </row>
    <row r="282" spans="1:3" x14ac:dyDescent="0.25">
      <c r="A282">
        <v>135</v>
      </c>
      <c r="B282">
        <v>410470025023</v>
      </c>
      <c r="C282">
        <v>0.98208309999999999</v>
      </c>
    </row>
    <row r="283" spans="1:3" x14ac:dyDescent="0.25">
      <c r="A283">
        <v>136</v>
      </c>
      <c r="B283">
        <v>410470016012</v>
      </c>
      <c r="C283">
        <v>3.9203099999999998E-3</v>
      </c>
    </row>
    <row r="284" spans="1:3" x14ac:dyDescent="0.25">
      <c r="A284">
        <v>136</v>
      </c>
      <c r="B284">
        <v>410470025022</v>
      </c>
      <c r="C284">
        <v>3.0250799999999999E-3</v>
      </c>
    </row>
    <row r="285" spans="1:3" x14ac:dyDescent="0.25">
      <c r="A285">
        <v>136</v>
      </c>
      <c r="B285">
        <v>410470025023</v>
      </c>
      <c r="C285">
        <v>0.99305466999999992</v>
      </c>
    </row>
    <row r="286" spans="1:3" x14ac:dyDescent="0.25">
      <c r="A286">
        <v>137</v>
      </c>
      <c r="B286">
        <v>410470016012</v>
      </c>
      <c r="C286">
        <v>1.0999999999999999E-7</v>
      </c>
    </row>
    <row r="287" spans="1:3" x14ac:dyDescent="0.25">
      <c r="A287">
        <v>137</v>
      </c>
      <c r="B287">
        <v>410470016031</v>
      </c>
      <c r="C287">
        <v>3.8096600000000003E-3</v>
      </c>
    </row>
    <row r="288" spans="1:3" x14ac:dyDescent="0.25">
      <c r="A288">
        <v>137</v>
      </c>
      <c r="B288">
        <v>410470025022</v>
      </c>
      <c r="C288">
        <v>2.176051E-2</v>
      </c>
    </row>
    <row r="289" spans="1:3" x14ac:dyDescent="0.25">
      <c r="A289">
        <v>137</v>
      </c>
      <c r="B289">
        <v>410470025023</v>
      </c>
      <c r="C289">
        <v>0.97442969000000002</v>
      </c>
    </row>
    <row r="290" spans="1:3" x14ac:dyDescent="0.25">
      <c r="A290">
        <v>138</v>
      </c>
      <c r="B290">
        <v>410470016031</v>
      </c>
      <c r="C290">
        <v>6.4800000000000003E-5</v>
      </c>
    </row>
    <row r="291" spans="1:3" x14ac:dyDescent="0.25">
      <c r="A291">
        <v>138</v>
      </c>
      <c r="B291">
        <v>410470025022</v>
      </c>
      <c r="C291">
        <v>0.9826893699999999</v>
      </c>
    </row>
    <row r="292" spans="1:3" x14ac:dyDescent="0.25">
      <c r="A292">
        <v>138</v>
      </c>
      <c r="B292">
        <v>410470025023</v>
      </c>
      <c r="C292">
        <v>2.8779999999999999E-5</v>
      </c>
    </row>
    <row r="293" spans="1:3" x14ac:dyDescent="0.25">
      <c r="A293">
        <v>138</v>
      </c>
      <c r="B293">
        <v>410470026001</v>
      </c>
      <c r="C293">
        <v>1.7217050000000001E-2</v>
      </c>
    </row>
    <row r="294" spans="1:3" x14ac:dyDescent="0.25">
      <c r="A294">
        <v>139</v>
      </c>
      <c r="B294">
        <v>410470016031</v>
      </c>
      <c r="C294">
        <v>0.99724762999999994</v>
      </c>
    </row>
    <row r="295" spans="1:3" x14ac:dyDescent="0.25">
      <c r="A295">
        <v>139</v>
      </c>
      <c r="B295">
        <v>410470016033</v>
      </c>
      <c r="C295">
        <v>4.2360000000000001E-5</v>
      </c>
    </row>
    <row r="296" spans="1:3" x14ac:dyDescent="0.25">
      <c r="A296">
        <v>139</v>
      </c>
      <c r="B296">
        <v>410470025022</v>
      </c>
      <c r="C296">
        <v>1.2803300000000001E-3</v>
      </c>
    </row>
    <row r="297" spans="1:3" x14ac:dyDescent="0.25">
      <c r="A297">
        <v>139</v>
      </c>
      <c r="B297">
        <v>410470026001</v>
      </c>
      <c r="C297">
        <v>1.4296600000000001E-3</v>
      </c>
    </row>
    <row r="298" spans="1:3" x14ac:dyDescent="0.25">
      <c r="A298">
        <v>140</v>
      </c>
      <c r="B298">
        <v>410470016012</v>
      </c>
      <c r="C298">
        <v>0.64469261</v>
      </c>
    </row>
    <row r="299" spans="1:3" x14ac:dyDescent="0.25">
      <c r="A299">
        <v>140</v>
      </c>
      <c r="B299">
        <v>410470016013</v>
      </c>
      <c r="C299">
        <v>3.5639999999999998E-5</v>
      </c>
    </row>
    <row r="300" spans="1:3" x14ac:dyDescent="0.25">
      <c r="A300">
        <v>140</v>
      </c>
      <c r="B300">
        <v>410470016014</v>
      </c>
      <c r="C300">
        <v>0.11008317999999999</v>
      </c>
    </row>
    <row r="301" spans="1:3" x14ac:dyDescent="0.25">
      <c r="A301">
        <v>140</v>
      </c>
      <c r="B301">
        <v>410470016031</v>
      </c>
      <c r="C301">
        <v>0.24065924999999999</v>
      </c>
    </row>
    <row r="302" spans="1:3" x14ac:dyDescent="0.25">
      <c r="A302">
        <v>140</v>
      </c>
      <c r="B302">
        <v>410470016032</v>
      </c>
      <c r="C302">
        <v>3.3990299999999999E-3</v>
      </c>
    </row>
    <row r="303" spans="1:3" x14ac:dyDescent="0.25">
      <c r="A303">
        <v>140</v>
      </c>
      <c r="B303">
        <v>410470025022</v>
      </c>
      <c r="C303">
        <v>2.5731000000000001E-4</v>
      </c>
    </row>
    <row r="304" spans="1:3" x14ac:dyDescent="0.25">
      <c r="A304">
        <v>140</v>
      </c>
      <c r="B304">
        <v>410470025023</v>
      </c>
      <c r="C304">
        <v>8.7299000000000003E-4</v>
      </c>
    </row>
    <row r="305" spans="1:3" x14ac:dyDescent="0.25">
      <c r="A305">
        <v>141</v>
      </c>
      <c r="B305">
        <v>410470016011</v>
      </c>
      <c r="C305">
        <v>0.73139465999999997</v>
      </c>
    </row>
    <row r="306" spans="1:3" x14ac:dyDescent="0.25">
      <c r="A306">
        <v>141</v>
      </c>
      <c r="B306">
        <v>410470016012</v>
      </c>
      <c r="C306">
        <v>1.017915E-2</v>
      </c>
    </row>
    <row r="307" spans="1:3" x14ac:dyDescent="0.25">
      <c r="A307">
        <v>141</v>
      </c>
      <c r="B307">
        <v>410470016013</v>
      </c>
      <c r="C307">
        <v>0.18564691</v>
      </c>
    </row>
    <row r="308" spans="1:3" x14ac:dyDescent="0.25">
      <c r="A308">
        <v>141</v>
      </c>
      <c r="B308">
        <v>410470016021</v>
      </c>
      <c r="C308">
        <v>7.2678889999999996E-2</v>
      </c>
    </row>
    <row r="309" spans="1:3" x14ac:dyDescent="0.25">
      <c r="A309">
        <v>141</v>
      </c>
      <c r="B309">
        <v>410470016025</v>
      </c>
      <c r="C309">
        <v>1.0041E-4</v>
      </c>
    </row>
    <row r="310" spans="1:3" x14ac:dyDescent="0.25">
      <c r="A310">
        <v>143</v>
      </c>
      <c r="B310">
        <v>410470016011</v>
      </c>
      <c r="C310">
        <v>0.95407062999999992</v>
      </c>
    </row>
    <row r="311" spans="1:3" x14ac:dyDescent="0.25">
      <c r="A311">
        <v>143</v>
      </c>
      <c r="B311">
        <v>410470016012</v>
      </c>
      <c r="C311">
        <v>2.7695999999999997E-3</v>
      </c>
    </row>
    <row r="312" spans="1:3" x14ac:dyDescent="0.25">
      <c r="A312">
        <v>143</v>
      </c>
      <c r="B312">
        <v>410470025023</v>
      </c>
      <c r="C312">
        <v>4.3159720000000006E-2</v>
      </c>
    </row>
    <row r="313" spans="1:3" x14ac:dyDescent="0.25">
      <c r="A313">
        <v>144</v>
      </c>
      <c r="B313">
        <v>410470004003</v>
      </c>
      <c r="C313">
        <v>2.7309999999999998E-5</v>
      </c>
    </row>
    <row r="314" spans="1:3" x14ac:dyDescent="0.25">
      <c r="A314">
        <v>144</v>
      </c>
      <c r="B314">
        <v>410470016011</v>
      </c>
      <c r="C314">
        <v>0.95345276000000001</v>
      </c>
    </row>
    <row r="315" spans="1:3" x14ac:dyDescent="0.25">
      <c r="A315">
        <v>144</v>
      </c>
      <c r="B315">
        <v>410470016021</v>
      </c>
      <c r="C315">
        <v>4.6519950000000004E-2</v>
      </c>
    </row>
    <row r="316" spans="1:3" x14ac:dyDescent="0.25">
      <c r="A316">
        <v>146</v>
      </c>
      <c r="B316">
        <v>410470016012</v>
      </c>
      <c r="C316">
        <v>7.0182640000000004E-2</v>
      </c>
    </row>
    <row r="317" spans="1:3" x14ac:dyDescent="0.25">
      <c r="A317">
        <v>146</v>
      </c>
      <c r="B317">
        <v>410470016013</v>
      </c>
      <c r="C317">
        <v>0.48880893999999997</v>
      </c>
    </row>
    <row r="318" spans="1:3" x14ac:dyDescent="0.25">
      <c r="A318">
        <v>146</v>
      </c>
      <c r="B318">
        <v>410470016014</v>
      </c>
      <c r="C318">
        <v>0.34871197999999998</v>
      </c>
    </row>
    <row r="319" spans="1:3" x14ac:dyDescent="0.25">
      <c r="A319">
        <v>146</v>
      </c>
      <c r="B319">
        <v>410470016024</v>
      </c>
      <c r="C319">
        <v>4.0634000000000004E-4</v>
      </c>
    </row>
    <row r="320" spans="1:3" x14ac:dyDescent="0.25">
      <c r="A320">
        <v>146</v>
      </c>
      <c r="B320">
        <v>410470016025</v>
      </c>
      <c r="C320">
        <v>8.9248709999999995E-2</v>
      </c>
    </row>
    <row r="321" spans="1:3" x14ac:dyDescent="0.25">
      <c r="A321">
        <v>146</v>
      </c>
      <c r="B321">
        <v>410470016032</v>
      </c>
      <c r="C321">
        <v>2.6413599999999997E-3</v>
      </c>
    </row>
    <row r="322" spans="1:3" x14ac:dyDescent="0.25">
      <c r="A322">
        <v>147</v>
      </c>
      <c r="B322">
        <v>410470016013</v>
      </c>
      <c r="C322">
        <v>7.4923260000000005E-2</v>
      </c>
    </row>
    <row r="323" spans="1:3" x14ac:dyDescent="0.25">
      <c r="A323">
        <v>147</v>
      </c>
      <c r="B323">
        <v>410470016014</v>
      </c>
      <c r="C323">
        <v>4.2476999999999999E-4</v>
      </c>
    </row>
    <row r="324" spans="1:3" x14ac:dyDescent="0.25">
      <c r="A324">
        <v>147</v>
      </c>
      <c r="B324">
        <v>410470016023</v>
      </c>
      <c r="C324">
        <v>1.529E-4</v>
      </c>
    </row>
    <row r="325" spans="1:3" x14ac:dyDescent="0.25">
      <c r="A325">
        <v>147</v>
      </c>
      <c r="B325">
        <v>410470016024</v>
      </c>
      <c r="C325">
        <v>0.22788672999999998</v>
      </c>
    </row>
    <row r="326" spans="1:3" x14ac:dyDescent="0.25">
      <c r="A326">
        <v>147</v>
      </c>
      <c r="B326">
        <v>410470016031</v>
      </c>
      <c r="C326">
        <v>1.6303419999999999E-2</v>
      </c>
    </row>
    <row r="327" spans="1:3" x14ac:dyDescent="0.25">
      <c r="A327">
        <v>147</v>
      </c>
      <c r="B327">
        <v>410470016032</v>
      </c>
      <c r="C327">
        <v>0.68029121999999997</v>
      </c>
    </row>
    <row r="328" spans="1:3" x14ac:dyDescent="0.25">
      <c r="A328">
        <v>147</v>
      </c>
      <c r="B328">
        <v>410470016033</v>
      </c>
      <c r="C328">
        <v>1.7710000000000002E-5</v>
      </c>
    </row>
    <row r="329" spans="1:3" x14ac:dyDescent="0.25">
      <c r="A329">
        <v>148</v>
      </c>
      <c r="B329">
        <v>410470016023</v>
      </c>
      <c r="C329">
        <v>0.36764474999999996</v>
      </c>
    </row>
    <row r="330" spans="1:3" x14ac:dyDescent="0.25">
      <c r="A330">
        <v>148</v>
      </c>
      <c r="B330">
        <v>410470016024</v>
      </c>
      <c r="C330">
        <v>8.8048E-4</v>
      </c>
    </row>
    <row r="331" spans="1:3" x14ac:dyDescent="0.25">
      <c r="A331">
        <v>148</v>
      </c>
      <c r="B331">
        <v>410470016031</v>
      </c>
      <c r="C331">
        <v>1.1092299999999999E-2</v>
      </c>
    </row>
    <row r="332" spans="1:3" x14ac:dyDescent="0.25">
      <c r="A332">
        <v>148</v>
      </c>
      <c r="B332">
        <v>410470016032</v>
      </c>
      <c r="C332">
        <v>1.06284E-3</v>
      </c>
    </row>
    <row r="333" spans="1:3" x14ac:dyDescent="0.25">
      <c r="A333">
        <v>148</v>
      </c>
      <c r="B333">
        <v>410470016033</v>
      </c>
      <c r="C333">
        <v>0.61722763999999997</v>
      </c>
    </row>
    <row r="334" spans="1:3" x14ac:dyDescent="0.25">
      <c r="A334">
        <v>148</v>
      </c>
      <c r="B334">
        <v>410470016034</v>
      </c>
      <c r="C334">
        <v>2.0919900000000002E-3</v>
      </c>
    </row>
    <row r="335" spans="1:3" x14ac:dyDescent="0.25">
      <c r="A335">
        <v>149</v>
      </c>
      <c r="B335">
        <v>410470016023</v>
      </c>
      <c r="C335">
        <v>5.5194500000000004E-3</v>
      </c>
    </row>
    <row r="336" spans="1:3" x14ac:dyDescent="0.25">
      <c r="A336">
        <v>149</v>
      </c>
      <c r="B336">
        <v>410470016024</v>
      </c>
      <c r="C336">
        <v>4.7131200000000003E-3</v>
      </c>
    </row>
    <row r="337" spans="1:3" x14ac:dyDescent="0.25">
      <c r="A337">
        <v>149</v>
      </c>
      <c r="B337">
        <v>410470016025</v>
      </c>
      <c r="C337">
        <v>0.98965069999999999</v>
      </c>
    </row>
    <row r="338" spans="1:3" x14ac:dyDescent="0.25">
      <c r="A338">
        <v>149</v>
      </c>
      <c r="B338">
        <v>410470016042</v>
      </c>
      <c r="C338">
        <v>1.1674E-4</v>
      </c>
    </row>
    <row r="339" spans="1:3" x14ac:dyDescent="0.25">
      <c r="A339">
        <v>150</v>
      </c>
      <c r="B339">
        <v>410470016021</v>
      </c>
      <c r="C339">
        <v>0.57744996000000004</v>
      </c>
    </row>
    <row r="340" spans="1:3" x14ac:dyDescent="0.25">
      <c r="A340">
        <v>150</v>
      </c>
      <c r="B340">
        <v>410470016022</v>
      </c>
      <c r="C340">
        <v>0.39738807999999998</v>
      </c>
    </row>
    <row r="341" spans="1:3" x14ac:dyDescent="0.25">
      <c r="A341">
        <v>150</v>
      </c>
      <c r="B341">
        <v>410470016025</v>
      </c>
      <c r="C341">
        <v>2.5161920000000001E-2</v>
      </c>
    </row>
    <row r="342" spans="1:3" x14ac:dyDescent="0.25">
      <c r="A342">
        <v>151</v>
      </c>
      <c r="B342">
        <v>410470016022</v>
      </c>
      <c r="C342">
        <v>0.97672336000000004</v>
      </c>
    </row>
    <row r="343" spans="1:3" x14ac:dyDescent="0.25">
      <c r="A343">
        <v>151</v>
      </c>
      <c r="B343">
        <v>410470016025</v>
      </c>
      <c r="C343">
        <v>2.178016E-2</v>
      </c>
    </row>
    <row r="344" spans="1:3" x14ac:dyDescent="0.25">
      <c r="A344">
        <v>151</v>
      </c>
      <c r="B344">
        <v>410470016041</v>
      </c>
      <c r="C344">
        <v>1.4690700000000001E-3</v>
      </c>
    </row>
    <row r="345" spans="1:3" x14ac:dyDescent="0.25">
      <c r="A345">
        <v>151</v>
      </c>
      <c r="B345">
        <v>410470016042</v>
      </c>
      <c r="C345">
        <v>2.7480000000000001E-5</v>
      </c>
    </row>
    <row r="346" spans="1:3" x14ac:dyDescent="0.25">
      <c r="A346">
        <v>152</v>
      </c>
      <c r="B346">
        <v>410470016031</v>
      </c>
      <c r="C346">
        <v>0.99596790999999996</v>
      </c>
    </row>
    <row r="347" spans="1:3" x14ac:dyDescent="0.25">
      <c r="A347">
        <v>152</v>
      </c>
      <c r="B347">
        <v>410470026001</v>
      </c>
      <c r="C347">
        <v>4.0320800000000004E-3</v>
      </c>
    </row>
    <row r="348" spans="1:3" x14ac:dyDescent="0.25">
      <c r="A348">
        <v>153</v>
      </c>
      <c r="B348">
        <v>410470016031</v>
      </c>
      <c r="C348">
        <v>0.99624657999999999</v>
      </c>
    </row>
    <row r="349" spans="1:3" x14ac:dyDescent="0.25">
      <c r="A349">
        <v>153</v>
      </c>
      <c r="B349">
        <v>410470016034</v>
      </c>
      <c r="C349">
        <v>2.4144999999999999E-4</v>
      </c>
    </row>
    <row r="350" spans="1:3" x14ac:dyDescent="0.25">
      <c r="A350">
        <v>153</v>
      </c>
      <c r="B350">
        <v>410470017031</v>
      </c>
      <c r="C350">
        <v>4.1685000000000002E-4</v>
      </c>
    </row>
    <row r="351" spans="1:3" x14ac:dyDescent="0.25">
      <c r="A351">
        <v>153</v>
      </c>
      <c r="B351">
        <v>410470026001</v>
      </c>
      <c r="C351">
        <v>3.0951099999999999E-3</v>
      </c>
    </row>
    <row r="352" spans="1:3" x14ac:dyDescent="0.25">
      <c r="A352">
        <v>154</v>
      </c>
      <c r="B352">
        <v>410470016023</v>
      </c>
      <c r="C352">
        <v>3.8464E-4</v>
      </c>
    </row>
    <row r="353" spans="1:3" x14ac:dyDescent="0.25">
      <c r="A353">
        <v>154</v>
      </c>
      <c r="B353">
        <v>410470016031</v>
      </c>
      <c r="C353">
        <v>0.17478144000000001</v>
      </c>
    </row>
    <row r="354" spans="1:3" x14ac:dyDescent="0.25">
      <c r="A354">
        <v>154</v>
      </c>
      <c r="B354">
        <v>410470016033</v>
      </c>
      <c r="C354">
        <v>3.1466499999999995E-3</v>
      </c>
    </row>
    <row r="355" spans="1:3" x14ac:dyDescent="0.25">
      <c r="A355">
        <v>154</v>
      </c>
      <c r="B355">
        <v>410470016034</v>
      </c>
      <c r="C355">
        <v>0.32268722999999999</v>
      </c>
    </row>
    <row r="356" spans="1:3" x14ac:dyDescent="0.25">
      <c r="A356">
        <v>154</v>
      </c>
      <c r="B356">
        <v>410470016043</v>
      </c>
      <c r="C356">
        <v>0.32145141999999999</v>
      </c>
    </row>
    <row r="357" spans="1:3" x14ac:dyDescent="0.25">
      <c r="A357">
        <v>154</v>
      </c>
      <c r="B357">
        <v>410470016044</v>
      </c>
      <c r="C357">
        <v>0.17659063</v>
      </c>
    </row>
    <row r="358" spans="1:3" x14ac:dyDescent="0.25">
      <c r="A358">
        <v>154</v>
      </c>
      <c r="B358">
        <v>410470017022</v>
      </c>
      <c r="C358">
        <v>9.5801000000000002E-4</v>
      </c>
    </row>
    <row r="359" spans="1:3" x14ac:dyDescent="0.25">
      <c r="A359">
        <v>155</v>
      </c>
      <c r="B359">
        <v>410470016023</v>
      </c>
      <c r="C359">
        <v>1.5745899999999998E-3</v>
      </c>
    </row>
    <row r="360" spans="1:3" x14ac:dyDescent="0.25">
      <c r="A360">
        <v>155</v>
      </c>
      <c r="B360">
        <v>410470016025</v>
      </c>
      <c r="C360">
        <v>1.2164599999999999E-3</v>
      </c>
    </row>
    <row r="361" spans="1:3" x14ac:dyDescent="0.25">
      <c r="A361">
        <v>155</v>
      </c>
      <c r="B361">
        <v>410470016042</v>
      </c>
      <c r="C361">
        <v>2.7570670000000002E-2</v>
      </c>
    </row>
    <row r="362" spans="1:3" x14ac:dyDescent="0.25">
      <c r="A362">
        <v>155</v>
      </c>
      <c r="B362">
        <v>410470016043</v>
      </c>
      <c r="C362">
        <v>0.50655412</v>
      </c>
    </row>
    <row r="363" spans="1:3" x14ac:dyDescent="0.25">
      <c r="A363">
        <v>155</v>
      </c>
      <c r="B363">
        <v>410470016044</v>
      </c>
      <c r="C363">
        <v>0.46132545999999996</v>
      </c>
    </row>
    <row r="364" spans="1:3" x14ac:dyDescent="0.25">
      <c r="A364">
        <v>155</v>
      </c>
      <c r="B364">
        <v>410470017011</v>
      </c>
      <c r="C364">
        <v>2.6361000000000001E-4</v>
      </c>
    </row>
    <row r="365" spans="1:3" x14ac:dyDescent="0.25">
      <c r="A365">
        <v>155</v>
      </c>
      <c r="B365">
        <v>410470017022</v>
      </c>
      <c r="C365">
        <v>1.4950900000000001E-3</v>
      </c>
    </row>
    <row r="366" spans="1:3" x14ac:dyDescent="0.25">
      <c r="A366">
        <v>156</v>
      </c>
      <c r="B366">
        <v>410470016025</v>
      </c>
      <c r="C366">
        <v>3.8677000000000004E-4</v>
      </c>
    </row>
    <row r="367" spans="1:3" x14ac:dyDescent="0.25">
      <c r="A367">
        <v>156</v>
      </c>
      <c r="B367">
        <v>410470016041</v>
      </c>
      <c r="C367">
        <v>0.14841762999999999</v>
      </c>
    </row>
    <row r="368" spans="1:3" x14ac:dyDescent="0.25">
      <c r="A368">
        <v>156</v>
      </c>
      <c r="B368">
        <v>410470016042</v>
      </c>
      <c r="C368">
        <v>0.83812876000000003</v>
      </c>
    </row>
    <row r="369" spans="1:3" x14ac:dyDescent="0.25">
      <c r="A369">
        <v>156</v>
      </c>
      <c r="B369">
        <v>410470016043</v>
      </c>
      <c r="C369">
        <v>2.4339800000000001E-3</v>
      </c>
    </row>
    <row r="370" spans="1:3" x14ac:dyDescent="0.25">
      <c r="A370">
        <v>156</v>
      </c>
      <c r="B370">
        <v>410470016044</v>
      </c>
      <c r="C370">
        <v>1.0632839999999999E-2</v>
      </c>
    </row>
    <row r="371" spans="1:3" x14ac:dyDescent="0.25">
      <c r="A371">
        <v>158</v>
      </c>
      <c r="B371">
        <v>410470016022</v>
      </c>
      <c r="C371">
        <v>9.4573000000000009E-4</v>
      </c>
    </row>
    <row r="372" spans="1:3" x14ac:dyDescent="0.25">
      <c r="A372">
        <v>158</v>
      </c>
      <c r="B372">
        <v>410470016025</v>
      </c>
      <c r="C372">
        <v>4.5999999999999999E-7</v>
      </c>
    </row>
    <row r="373" spans="1:3" x14ac:dyDescent="0.25">
      <c r="A373">
        <v>158</v>
      </c>
      <c r="B373">
        <v>410470016041</v>
      </c>
      <c r="C373">
        <v>0.98247434</v>
      </c>
    </row>
    <row r="374" spans="1:3" x14ac:dyDescent="0.25">
      <c r="A374">
        <v>158</v>
      </c>
      <c r="B374">
        <v>410470016042</v>
      </c>
      <c r="C374">
        <v>1.6579429999999999E-2</v>
      </c>
    </row>
    <row r="375" spans="1:3" x14ac:dyDescent="0.25">
      <c r="A375">
        <v>162</v>
      </c>
      <c r="B375">
        <v>410470016042</v>
      </c>
      <c r="C375">
        <v>0.98878849000000002</v>
      </c>
    </row>
    <row r="376" spans="1:3" x14ac:dyDescent="0.25">
      <c r="A376">
        <v>162</v>
      </c>
      <c r="B376">
        <v>410470016043</v>
      </c>
      <c r="C376">
        <v>1.1045480000000002E-2</v>
      </c>
    </row>
    <row r="377" spans="1:3" x14ac:dyDescent="0.25">
      <c r="A377">
        <v>162</v>
      </c>
      <c r="B377">
        <v>410470017011</v>
      </c>
      <c r="C377">
        <v>1.6608999999999998E-4</v>
      </c>
    </row>
    <row r="378" spans="1:3" x14ac:dyDescent="0.25">
      <c r="A378">
        <v>164</v>
      </c>
      <c r="B378">
        <v>410470016041</v>
      </c>
      <c r="C378">
        <v>3.1283399999999999E-3</v>
      </c>
    </row>
    <row r="379" spans="1:3" x14ac:dyDescent="0.25">
      <c r="A379">
        <v>164</v>
      </c>
      <c r="B379">
        <v>410470016042</v>
      </c>
      <c r="C379">
        <v>1.0138199999999999E-3</v>
      </c>
    </row>
    <row r="380" spans="1:3" x14ac:dyDescent="0.25">
      <c r="A380">
        <v>164</v>
      </c>
      <c r="B380">
        <v>410470017011</v>
      </c>
      <c r="C380">
        <v>0.99013324999999996</v>
      </c>
    </row>
    <row r="381" spans="1:3" x14ac:dyDescent="0.25">
      <c r="A381">
        <v>164</v>
      </c>
      <c r="B381">
        <v>410470017012</v>
      </c>
      <c r="C381">
        <v>6.9800000000000009E-6</v>
      </c>
    </row>
    <row r="382" spans="1:3" x14ac:dyDescent="0.25">
      <c r="A382">
        <v>164</v>
      </c>
      <c r="B382">
        <v>410470017022</v>
      </c>
      <c r="C382">
        <v>5.7114900000000005E-3</v>
      </c>
    </row>
    <row r="383" spans="1:3" x14ac:dyDescent="0.25">
      <c r="A383">
        <v>164</v>
      </c>
      <c r="B383">
        <v>410470017023</v>
      </c>
      <c r="C383">
        <v>6.0599999999999996E-6</v>
      </c>
    </row>
    <row r="384" spans="1:3" x14ac:dyDescent="0.25">
      <c r="A384">
        <v>168</v>
      </c>
      <c r="B384">
        <v>410470016031</v>
      </c>
      <c r="C384">
        <v>5.5435800000000002E-3</v>
      </c>
    </row>
    <row r="385" spans="1:3" x14ac:dyDescent="0.25">
      <c r="A385">
        <v>168</v>
      </c>
      <c r="B385">
        <v>410470016043</v>
      </c>
      <c r="C385">
        <v>8.4378999999999997E-4</v>
      </c>
    </row>
    <row r="386" spans="1:3" x14ac:dyDescent="0.25">
      <c r="A386">
        <v>168</v>
      </c>
      <c r="B386">
        <v>410470017022</v>
      </c>
      <c r="C386">
        <v>0.98733607000000001</v>
      </c>
    </row>
    <row r="387" spans="1:3" x14ac:dyDescent="0.25">
      <c r="A387">
        <v>168</v>
      </c>
      <c r="B387">
        <v>410470017031</v>
      </c>
      <c r="C387">
        <v>6.2765800000000004E-3</v>
      </c>
    </row>
    <row r="388" spans="1:3" x14ac:dyDescent="0.25">
      <c r="A388">
        <v>169</v>
      </c>
      <c r="B388">
        <v>410470016031</v>
      </c>
      <c r="C388">
        <v>4.8780500000000001E-3</v>
      </c>
    </row>
    <row r="389" spans="1:3" x14ac:dyDescent="0.25">
      <c r="A389">
        <v>169</v>
      </c>
      <c r="B389">
        <v>410470017031</v>
      </c>
      <c r="C389">
        <v>0.9951219</v>
      </c>
    </row>
    <row r="390" spans="1:3" x14ac:dyDescent="0.25">
      <c r="A390">
        <v>170</v>
      </c>
      <c r="B390">
        <v>410470016031</v>
      </c>
      <c r="C390">
        <v>2.8279999999999999E-4</v>
      </c>
    </row>
    <row r="391" spans="1:3" x14ac:dyDescent="0.25">
      <c r="A391">
        <v>170</v>
      </c>
      <c r="B391">
        <v>410470017031</v>
      </c>
      <c r="C391">
        <v>0.99866148999999993</v>
      </c>
    </row>
    <row r="392" spans="1:3" x14ac:dyDescent="0.25">
      <c r="A392">
        <v>170</v>
      </c>
      <c r="B392">
        <v>410470026001</v>
      </c>
      <c r="C392">
        <v>1.05568E-3</v>
      </c>
    </row>
    <row r="393" spans="1:3" x14ac:dyDescent="0.25">
      <c r="A393">
        <v>171</v>
      </c>
      <c r="B393">
        <v>410470017031</v>
      </c>
      <c r="C393">
        <v>1</v>
      </c>
    </row>
    <row r="394" spans="1:3" x14ac:dyDescent="0.25">
      <c r="A394">
        <v>172</v>
      </c>
      <c r="B394">
        <v>410470017021</v>
      </c>
      <c r="C394">
        <v>0.40529367999999999</v>
      </c>
    </row>
    <row r="395" spans="1:3" x14ac:dyDescent="0.25">
      <c r="A395">
        <v>172</v>
      </c>
      <c r="B395">
        <v>410470017022</v>
      </c>
      <c r="C395">
        <v>4.0946129999999997E-2</v>
      </c>
    </row>
    <row r="396" spans="1:3" x14ac:dyDescent="0.25">
      <c r="A396">
        <v>172</v>
      </c>
      <c r="B396">
        <v>410470017031</v>
      </c>
      <c r="C396">
        <v>6.9785799999999999E-3</v>
      </c>
    </row>
    <row r="397" spans="1:3" x14ac:dyDescent="0.25">
      <c r="A397">
        <v>172</v>
      </c>
      <c r="B397">
        <v>410470017032</v>
      </c>
      <c r="C397">
        <v>8.2218199999999995E-3</v>
      </c>
    </row>
    <row r="398" spans="1:3" x14ac:dyDescent="0.25">
      <c r="A398">
        <v>172</v>
      </c>
      <c r="B398">
        <v>410470017033</v>
      </c>
      <c r="C398">
        <v>0.53855976999999999</v>
      </c>
    </row>
    <row r="399" spans="1:3" x14ac:dyDescent="0.25">
      <c r="A399">
        <v>173</v>
      </c>
      <c r="B399">
        <v>410470017011</v>
      </c>
      <c r="C399">
        <v>3.4610299999999999E-3</v>
      </c>
    </row>
    <row r="400" spans="1:3" x14ac:dyDescent="0.25">
      <c r="A400">
        <v>173</v>
      </c>
      <c r="B400">
        <v>410470017012</v>
      </c>
      <c r="C400">
        <v>0.53370065</v>
      </c>
    </row>
    <row r="401" spans="1:3" x14ac:dyDescent="0.25">
      <c r="A401">
        <v>173</v>
      </c>
      <c r="B401">
        <v>410470017013</v>
      </c>
      <c r="C401">
        <v>1.4028000000000001E-4</v>
      </c>
    </row>
    <row r="402" spans="1:3" x14ac:dyDescent="0.25">
      <c r="A402">
        <v>173</v>
      </c>
      <c r="B402">
        <v>410470017021</v>
      </c>
      <c r="C402">
        <v>3.9480599999999998E-3</v>
      </c>
    </row>
    <row r="403" spans="1:3" x14ac:dyDescent="0.25">
      <c r="A403">
        <v>173</v>
      </c>
      <c r="B403">
        <v>410470017022</v>
      </c>
      <c r="C403">
        <v>4.3435000000000001E-4</v>
      </c>
    </row>
    <row r="404" spans="1:3" x14ac:dyDescent="0.25">
      <c r="A404">
        <v>173</v>
      </c>
      <c r="B404">
        <v>410470017023</v>
      </c>
      <c r="C404">
        <v>0.45705652000000002</v>
      </c>
    </row>
    <row r="405" spans="1:3" x14ac:dyDescent="0.25">
      <c r="A405">
        <v>173</v>
      </c>
      <c r="B405">
        <v>410470017032</v>
      </c>
      <c r="C405">
        <v>1.25913E-3</v>
      </c>
    </row>
    <row r="406" spans="1:3" x14ac:dyDescent="0.25">
      <c r="A406">
        <v>180</v>
      </c>
      <c r="B406">
        <v>410470017012</v>
      </c>
      <c r="C406">
        <v>0.18116655000000001</v>
      </c>
    </row>
    <row r="407" spans="1:3" x14ac:dyDescent="0.25">
      <c r="A407">
        <v>180</v>
      </c>
      <c r="B407">
        <v>410470017013</v>
      </c>
      <c r="C407">
        <v>0.41431071000000003</v>
      </c>
    </row>
    <row r="408" spans="1:3" x14ac:dyDescent="0.25">
      <c r="A408">
        <v>180</v>
      </c>
      <c r="B408">
        <v>410470017031</v>
      </c>
      <c r="C408">
        <v>1.6709799999999999E-3</v>
      </c>
    </row>
    <row r="409" spans="1:3" x14ac:dyDescent="0.25">
      <c r="A409">
        <v>180</v>
      </c>
      <c r="B409">
        <v>410470017032</v>
      </c>
      <c r="C409">
        <v>0.39649830999999996</v>
      </c>
    </row>
    <row r="410" spans="1:3" x14ac:dyDescent="0.25">
      <c r="A410">
        <v>180</v>
      </c>
      <c r="B410">
        <v>410470018011</v>
      </c>
      <c r="C410">
        <v>6.3534300000000002E-3</v>
      </c>
    </row>
    <row r="411" spans="1:3" x14ac:dyDescent="0.25">
      <c r="A411">
        <v>185</v>
      </c>
      <c r="B411">
        <v>410470017031</v>
      </c>
      <c r="C411">
        <v>0.99975655000000008</v>
      </c>
    </row>
    <row r="412" spans="1:3" x14ac:dyDescent="0.25">
      <c r="A412">
        <v>185</v>
      </c>
      <c r="B412">
        <v>410470026001</v>
      </c>
      <c r="C412">
        <v>2.4344000000000001E-4</v>
      </c>
    </row>
    <row r="413" spans="1:3" x14ac:dyDescent="0.25">
      <c r="A413">
        <v>186</v>
      </c>
      <c r="B413">
        <v>410470017031</v>
      </c>
      <c r="C413">
        <v>1.081127E-2</v>
      </c>
    </row>
    <row r="414" spans="1:3" x14ac:dyDescent="0.25">
      <c r="A414">
        <v>186</v>
      </c>
      <c r="B414">
        <v>410470017032</v>
      </c>
      <c r="C414">
        <v>0.98918862000000007</v>
      </c>
    </row>
    <row r="415" spans="1:3" x14ac:dyDescent="0.25">
      <c r="A415">
        <v>189</v>
      </c>
      <c r="B415">
        <v>410470017013</v>
      </c>
      <c r="C415">
        <v>3.1305999999999999E-4</v>
      </c>
    </row>
    <row r="416" spans="1:3" x14ac:dyDescent="0.25">
      <c r="A416">
        <v>189</v>
      </c>
      <c r="B416">
        <v>410470017031</v>
      </c>
      <c r="C416">
        <v>1.0945E-4</v>
      </c>
    </row>
    <row r="417" spans="1:3" x14ac:dyDescent="0.25">
      <c r="A417">
        <v>189</v>
      </c>
      <c r="B417">
        <v>410470017032</v>
      </c>
      <c r="C417">
        <v>7.6923699999999996E-3</v>
      </c>
    </row>
    <row r="418" spans="1:3" x14ac:dyDescent="0.25">
      <c r="A418">
        <v>189</v>
      </c>
      <c r="B418">
        <v>410470018011</v>
      </c>
      <c r="C418">
        <v>0.9824659</v>
      </c>
    </row>
    <row r="419" spans="1:3" x14ac:dyDescent="0.25">
      <c r="A419">
        <v>189</v>
      </c>
      <c r="B419">
        <v>410470018012</v>
      </c>
      <c r="C419">
        <v>2.1039999999999999E-4</v>
      </c>
    </row>
    <row r="420" spans="1:3" x14ac:dyDescent="0.25">
      <c r="A420">
        <v>189</v>
      </c>
      <c r="B420">
        <v>410470018014</v>
      </c>
      <c r="C420">
        <v>4.4716000000000001E-3</v>
      </c>
    </row>
    <row r="421" spans="1:3" x14ac:dyDescent="0.25">
      <c r="A421">
        <v>189</v>
      </c>
      <c r="B421">
        <v>410470018021</v>
      </c>
      <c r="C421">
        <v>1.84114E-3</v>
      </c>
    </row>
    <row r="422" spans="1:3" x14ac:dyDescent="0.25">
      <c r="A422">
        <v>189</v>
      </c>
      <c r="B422">
        <v>410470018022</v>
      </c>
      <c r="C422">
        <v>2.8961799999999999E-3</v>
      </c>
    </row>
    <row r="423" spans="1:3" x14ac:dyDescent="0.25">
      <c r="A423">
        <v>193</v>
      </c>
      <c r="B423">
        <v>410470017031</v>
      </c>
      <c r="C423">
        <v>7.511269000000001E-2</v>
      </c>
    </row>
    <row r="424" spans="1:3" x14ac:dyDescent="0.25">
      <c r="A424">
        <v>193</v>
      </c>
      <c r="B424">
        <v>410470018021</v>
      </c>
      <c r="C424">
        <v>0.92397225999999999</v>
      </c>
    </row>
    <row r="425" spans="1:3" x14ac:dyDescent="0.25">
      <c r="A425">
        <v>193</v>
      </c>
      <c r="B425">
        <v>410470026001</v>
      </c>
      <c r="C425">
        <v>9.1497999999999992E-4</v>
      </c>
    </row>
    <row r="426" spans="1:3" x14ac:dyDescent="0.25">
      <c r="A426">
        <v>194</v>
      </c>
      <c r="B426">
        <v>410470018011</v>
      </c>
      <c r="C426">
        <v>4.1837999999999999E-4</v>
      </c>
    </row>
    <row r="427" spans="1:3" x14ac:dyDescent="0.25">
      <c r="A427">
        <v>194</v>
      </c>
      <c r="B427">
        <v>410470018012</v>
      </c>
      <c r="C427">
        <v>0.98207334000000002</v>
      </c>
    </row>
    <row r="428" spans="1:3" x14ac:dyDescent="0.25">
      <c r="A428">
        <v>194</v>
      </c>
      <c r="B428">
        <v>410470018013</v>
      </c>
      <c r="C428">
        <v>4.8801899999999995E-3</v>
      </c>
    </row>
    <row r="429" spans="1:3" x14ac:dyDescent="0.25">
      <c r="A429">
        <v>194</v>
      </c>
      <c r="B429">
        <v>410470018014</v>
      </c>
      <c r="C429">
        <v>4.3061700000000007E-3</v>
      </c>
    </row>
    <row r="430" spans="1:3" x14ac:dyDescent="0.25">
      <c r="A430">
        <v>194</v>
      </c>
      <c r="B430">
        <v>410470018024</v>
      </c>
      <c r="C430">
        <v>2.5857900000000001E-3</v>
      </c>
    </row>
    <row r="431" spans="1:3" x14ac:dyDescent="0.25">
      <c r="A431">
        <v>194</v>
      </c>
      <c r="B431">
        <v>410470018031</v>
      </c>
      <c r="C431">
        <v>5.3959999999999998E-5</v>
      </c>
    </row>
    <row r="432" spans="1:3" x14ac:dyDescent="0.25">
      <c r="A432">
        <v>194</v>
      </c>
      <c r="B432">
        <v>410470018032</v>
      </c>
      <c r="C432">
        <v>5.6821800000000002E-3</v>
      </c>
    </row>
    <row r="433" spans="1:3" x14ac:dyDescent="0.25">
      <c r="A433">
        <v>196</v>
      </c>
      <c r="B433">
        <v>410470018011</v>
      </c>
      <c r="C433">
        <v>4.6329999999999999E-5</v>
      </c>
    </row>
    <row r="434" spans="1:3" x14ac:dyDescent="0.25">
      <c r="A434">
        <v>196</v>
      </c>
      <c r="B434">
        <v>410470018012</v>
      </c>
      <c r="C434">
        <v>3.76142E-2</v>
      </c>
    </row>
    <row r="435" spans="1:3" x14ac:dyDescent="0.25">
      <c r="A435">
        <v>196</v>
      </c>
      <c r="B435">
        <v>410470018013</v>
      </c>
      <c r="C435">
        <v>0.19659141000000002</v>
      </c>
    </row>
    <row r="436" spans="1:3" x14ac:dyDescent="0.25">
      <c r="A436">
        <v>196</v>
      </c>
      <c r="B436">
        <v>410470018014</v>
      </c>
      <c r="C436">
        <v>0.13960941999999998</v>
      </c>
    </row>
    <row r="437" spans="1:3" x14ac:dyDescent="0.25">
      <c r="A437">
        <v>196</v>
      </c>
      <c r="B437">
        <v>410470018021</v>
      </c>
      <c r="C437">
        <v>6.3117340000000008E-2</v>
      </c>
    </row>
    <row r="438" spans="1:3" x14ac:dyDescent="0.25">
      <c r="A438">
        <v>196</v>
      </c>
      <c r="B438">
        <v>410470018022</v>
      </c>
      <c r="C438">
        <v>7.4780659999999999E-2</v>
      </c>
    </row>
    <row r="439" spans="1:3" x14ac:dyDescent="0.25">
      <c r="A439">
        <v>196</v>
      </c>
      <c r="B439">
        <v>410470018023</v>
      </c>
      <c r="C439">
        <v>9.6764729999999993E-2</v>
      </c>
    </row>
    <row r="440" spans="1:3" x14ac:dyDescent="0.25">
      <c r="A440">
        <v>196</v>
      </c>
      <c r="B440">
        <v>410470018024</v>
      </c>
      <c r="C440">
        <v>0.20245982999999998</v>
      </c>
    </row>
    <row r="441" spans="1:3" x14ac:dyDescent="0.25">
      <c r="A441">
        <v>196</v>
      </c>
      <c r="B441">
        <v>410470018025</v>
      </c>
      <c r="C441">
        <v>0.18759008999999999</v>
      </c>
    </row>
    <row r="442" spans="1:3" x14ac:dyDescent="0.25">
      <c r="A442">
        <v>196</v>
      </c>
      <c r="B442">
        <v>410470018031</v>
      </c>
      <c r="C442">
        <v>1.42596E-3</v>
      </c>
    </row>
    <row r="443" spans="1:3" x14ac:dyDescent="0.25">
      <c r="A443">
        <v>200</v>
      </c>
      <c r="B443">
        <v>410470018013</v>
      </c>
      <c r="C443">
        <v>3.8599000000000001E-4</v>
      </c>
    </row>
    <row r="444" spans="1:3" x14ac:dyDescent="0.25">
      <c r="A444">
        <v>200</v>
      </c>
      <c r="B444">
        <v>410470018024</v>
      </c>
      <c r="C444">
        <v>0.97846423999999999</v>
      </c>
    </row>
    <row r="445" spans="1:3" x14ac:dyDescent="0.25">
      <c r="A445">
        <v>200</v>
      </c>
      <c r="B445">
        <v>410470018025</v>
      </c>
      <c r="C445">
        <v>7.5254600000000003E-3</v>
      </c>
    </row>
    <row r="446" spans="1:3" x14ac:dyDescent="0.25">
      <c r="A446">
        <v>200</v>
      </c>
      <c r="B446">
        <v>410470018031</v>
      </c>
      <c r="C446">
        <v>1.362433E-2</v>
      </c>
    </row>
    <row r="447" spans="1:3" x14ac:dyDescent="0.25">
      <c r="A447">
        <v>204</v>
      </c>
      <c r="B447">
        <v>410470018021</v>
      </c>
      <c r="C447">
        <v>0.96829081000000006</v>
      </c>
    </row>
    <row r="448" spans="1:3" x14ac:dyDescent="0.25">
      <c r="A448">
        <v>204</v>
      </c>
      <c r="B448">
        <v>410470018024</v>
      </c>
      <c r="C448">
        <v>1.4581500000000001E-3</v>
      </c>
    </row>
    <row r="449" spans="1:3" x14ac:dyDescent="0.25">
      <c r="A449">
        <v>204</v>
      </c>
      <c r="B449">
        <v>410470018031</v>
      </c>
      <c r="C449">
        <v>2.3768000000000001E-4</v>
      </c>
    </row>
    <row r="450" spans="1:3" x14ac:dyDescent="0.25">
      <c r="A450">
        <v>204</v>
      </c>
      <c r="B450">
        <v>410470018032</v>
      </c>
      <c r="C450">
        <v>2.7623099999999998E-2</v>
      </c>
    </row>
    <row r="451" spans="1:3" x14ac:dyDescent="0.25">
      <c r="A451">
        <v>204</v>
      </c>
      <c r="B451">
        <v>410470027005</v>
      </c>
      <c r="C451">
        <v>2.3902999999999997E-3</v>
      </c>
    </row>
    <row r="452" spans="1:3" x14ac:dyDescent="0.25">
      <c r="A452">
        <v>205</v>
      </c>
      <c r="B452">
        <v>410470018021</v>
      </c>
      <c r="C452">
        <v>0.99643114999999993</v>
      </c>
    </row>
    <row r="453" spans="1:3" x14ac:dyDescent="0.25">
      <c r="A453">
        <v>205</v>
      </c>
      <c r="B453">
        <v>410470018024</v>
      </c>
      <c r="C453">
        <v>4.4598000000000001E-4</v>
      </c>
    </row>
    <row r="454" spans="1:3" x14ac:dyDescent="0.25">
      <c r="A454">
        <v>205</v>
      </c>
      <c r="B454">
        <v>410470018025</v>
      </c>
      <c r="C454">
        <v>1.6549999999999999E-5</v>
      </c>
    </row>
    <row r="455" spans="1:3" x14ac:dyDescent="0.25">
      <c r="A455">
        <v>205</v>
      </c>
      <c r="B455">
        <v>410470027005</v>
      </c>
      <c r="C455">
        <v>3.1063099999999997E-3</v>
      </c>
    </row>
    <row r="456" spans="1:3" x14ac:dyDescent="0.25">
      <c r="A456">
        <v>206</v>
      </c>
      <c r="B456">
        <v>410470018021</v>
      </c>
      <c r="C456">
        <v>0.99941166999999997</v>
      </c>
    </row>
    <row r="457" spans="1:3" x14ac:dyDescent="0.25">
      <c r="A457">
        <v>206</v>
      </c>
      <c r="B457">
        <v>410470018025</v>
      </c>
      <c r="C457">
        <v>3.1839999999999999E-4</v>
      </c>
    </row>
    <row r="458" spans="1:3" x14ac:dyDescent="0.25">
      <c r="A458">
        <v>206</v>
      </c>
      <c r="B458">
        <v>410470026001</v>
      </c>
      <c r="C458">
        <v>2.5000000000000002E-6</v>
      </c>
    </row>
    <row r="459" spans="1:3" x14ac:dyDescent="0.25">
      <c r="A459">
        <v>206</v>
      </c>
      <c r="B459">
        <v>410470027005</v>
      </c>
      <c r="C459">
        <v>2.6744000000000003E-4</v>
      </c>
    </row>
    <row r="460" spans="1:3" x14ac:dyDescent="0.25">
      <c r="A460">
        <v>207</v>
      </c>
      <c r="B460">
        <v>410470018021</v>
      </c>
      <c r="C460">
        <v>6.5500000000000006E-5</v>
      </c>
    </row>
    <row r="461" spans="1:3" x14ac:dyDescent="0.25">
      <c r="A461">
        <v>207</v>
      </c>
      <c r="B461">
        <v>410470018032</v>
      </c>
      <c r="C461">
        <v>8.9739999999999991E-5</v>
      </c>
    </row>
    <row r="462" spans="1:3" x14ac:dyDescent="0.25">
      <c r="A462">
        <v>207</v>
      </c>
      <c r="B462">
        <v>410470026001</v>
      </c>
      <c r="C462">
        <v>4.0999999999999999E-7</v>
      </c>
    </row>
    <row r="463" spans="1:3" x14ac:dyDescent="0.25">
      <c r="A463">
        <v>207</v>
      </c>
      <c r="B463">
        <v>410470027001</v>
      </c>
      <c r="C463">
        <v>1.49949E-3</v>
      </c>
    </row>
    <row r="464" spans="1:3" x14ac:dyDescent="0.25">
      <c r="A464">
        <v>207</v>
      </c>
      <c r="B464">
        <v>410470027004</v>
      </c>
      <c r="C464">
        <v>7.8848999999999998E-4</v>
      </c>
    </row>
    <row r="465" spans="1:3" x14ac:dyDescent="0.25">
      <c r="A465">
        <v>207</v>
      </c>
      <c r="B465">
        <v>410470027005</v>
      </c>
      <c r="C465">
        <v>0.99755634999999998</v>
      </c>
    </row>
    <row r="466" spans="1:3" x14ac:dyDescent="0.25">
      <c r="A466">
        <v>211</v>
      </c>
      <c r="B466">
        <v>410470004003</v>
      </c>
      <c r="C466">
        <v>0.58538511999999998</v>
      </c>
    </row>
    <row r="467" spans="1:3" x14ac:dyDescent="0.25">
      <c r="A467">
        <v>211</v>
      </c>
      <c r="B467">
        <v>410470015022</v>
      </c>
      <c r="C467">
        <v>0.38455897999999999</v>
      </c>
    </row>
    <row r="468" spans="1:3" x14ac:dyDescent="0.25">
      <c r="A468">
        <v>211</v>
      </c>
      <c r="B468">
        <v>410470015033</v>
      </c>
      <c r="C468">
        <v>3.0918999999999999E-4</v>
      </c>
    </row>
    <row r="469" spans="1:3" x14ac:dyDescent="0.25">
      <c r="A469">
        <v>211</v>
      </c>
      <c r="B469">
        <v>410470016011</v>
      </c>
      <c r="C469">
        <v>1.9410179999999999E-2</v>
      </c>
    </row>
    <row r="470" spans="1:3" x14ac:dyDescent="0.25">
      <c r="A470">
        <v>211</v>
      </c>
      <c r="B470">
        <v>410470025023</v>
      </c>
      <c r="C470">
        <v>1.033655E-2</v>
      </c>
    </row>
    <row r="471" spans="1:3" x14ac:dyDescent="0.25">
      <c r="A471">
        <v>212</v>
      </c>
      <c r="B471">
        <v>410470004003</v>
      </c>
      <c r="C471">
        <v>0.96474908999999998</v>
      </c>
    </row>
    <row r="472" spans="1:3" x14ac:dyDescent="0.25">
      <c r="A472">
        <v>212</v>
      </c>
      <c r="B472">
        <v>410470005023</v>
      </c>
      <c r="C472">
        <v>1.7045629999999999E-2</v>
      </c>
    </row>
    <row r="473" spans="1:3" x14ac:dyDescent="0.25">
      <c r="A473">
        <v>212</v>
      </c>
      <c r="B473">
        <v>410470016011</v>
      </c>
      <c r="C473">
        <v>1.8205249999999999E-2</v>
      </c>
    </row>
    <row r="474" spans="1:3" x14ac:dyDescent="0.25">
      <c r="A474">
        <v>213</v>
      </c>
      <c r="B474">
        <v>410470004003</v>
      </c>
      <c r="C474">
        <v>8.3424199999999997E-3</v>
      </c>
    </row>
    <row r="475" spans="1:3" x14ac:dyDescent="0.25">
      <c r="A475">
        <v>213</v>
      </c>
      <c r="B475">
        <v>410470005023</v>
      </c>
      <c r="C475">
        <v>0.97386910999999998</v>
      </c>
    </row>
    <row r="476" spans="1:3" x14ac:dyDescent="0.25">
      <c r="A476">
        <v>213</v>
      </c>
      <c r="B476">
        <v>410470016011</v>
      </c>
      <c r="C476">
        <v>1.2424200000000002E-3</v>
      </c>
    </row>
    <row r="477" spans="1:3" x14ac:dyDescent="0.25">
      <c r="A477">
        <v>213</v>
      </c>
      <c r="B477">
        <v>410470016021</v>
      </c>
      <c r="C477">
        <v>1.39682E-2</v>
      </c>
    </row>
    <row r="478" spans="1:3" x14ac:dyDescent="0.25">
      <c r="A478">
        <v>213</v>
      </c>
      <c r="B478">
        <v>410470016022</v>
      </c>
      <c r="C478">
        <v>2.5778800000000003E-3</v>
      </c>
    </row>
    <row r="479" spans="1:3" x14ac:dyDescent="0.25">
      <c r="A479">
        <v>214</v>
      </c>
      <c r="B479">
        <v>410470005011</v>
      </c>
      <c r="C479">
        <v>7.1411000000000001E-4</v>
      </c>
    </row>
    <row r="480" spans="1:3" x14ac:dyDescent="0.25">
      <c r="A480">
        <v>214</v>
      </c>
      <c r="B480">
        <v>410470005021</v>
      </c>
      <c r="C480">
        <v>3.9240000000000004E-5</v>
      </c>
    </row>
    <row r="481" spans="1:3" x14ac:dyDescent="0.25">
      <c r="A481">
        <v>214</v>
      </c>
      <c r="B481">
        <v>410470005022</v>
      </c>
      <c r="C481">
        <v>0.50798924000000001</v>
      </c>
    </row>
    <row r="482" spans="1:3" x14ac:dyDescent="0.25">
      <c r="A482">
        <v>214</v>
      </c>
      <c r="B482">
        <v>410470005023</v>
      </c>
      <c r="C482">
        <v>0.48805610999999999</v>
      </c>
    </row>
    <row r="483" spans="1:3" x14ac:dyDescent="0.25">
      <c r="A483">
        <v>214</v>
      </c>
      <c r="B483">
        <v>410470016022</v>
      </c>
      <c r="C483">
        <v>3.2013700000000003E-3</v>
      </c>
    </row>
    <row r="484" spans="1:3" x14ac:dyDescent="0.25">
      <c r="A484">
        <v>220</v>
      </c>
      <c r="B484">
        <v>410470003001</v>
      </c>
      <c r="C484">
        <v>1.31258E-3</v>
      </c>
    </row>
    <row r="485" spans="1:3" x14ac:dyDescent="0.25">
      <c r="A485">
        <v>220</v>
      </c>
      <c r="B485">
        <v>410470004003</v>
      </c>
      <c r="C485">
        <v>0.95695706999999997</v>
      </c>
    </row>
    <row r="486" spans="1:3" x14ac:dyDescent="0.25">
      <c r="A486">
        <v>220</v>
      </c>
      <c r="B486">
        <v>410470005021</v>
      </c>
      <c r="C486">
        <v>1.188089E-2</v>
      </c>
    </row>
    <row r="487" spans="1:3" x14ac:dyDescent="0.25">
      <c r="A487">
        <v>220</v>
      </c>
      <c r="B487">
        <v>410470005022</v>
      </c>
      <c r="C487">
        <v>4.10211E-3</v>
      </c>
    </row>
    <row r="488" spans="1:3" x14ac:dyDescent="0.25">
      <c r="A488">
        <v>220</v>
      </c>
      <c r="B488">
        <v>410470005023</v>
      </c>
      <c r="C488">
        <v>2.5747279999999997E-2</v>
      </c>
    </row>
    <row r="489" spans="1:3" x14ac:dyDescent="0.25">
      <c r="A489">
        <v>221</v>
      </c>
      <c r="B489">
        <v>410470004002</v>
      </c>
      <c r="C489">
        <v>7.2879899999999994E-3</v>
      </c>
    </row>
    <row r="490" spans="1:3" x14ac:dyDescent="0.25">
      <c r="A490">
        <v>221</v>
      </c>
      <c r="B490">
        <v>410470004003</v>
      </c>
      <c r="C490">
        <v>0.990703</v>
      </c>
    </row>
    <row r="491" spans="1:3" x14ac:dyDescent="0.25">
      <c r="A491">
        <v>221</v>
      </c>
      <c r="B491">
        <v>410470015033</v>
      </c>
      <c r="C491">
        <v>2.0090099999999999E-3</v>
      </c>
    </row>
    <row r="492" spans="1:3" x14ac:dyDescent="0.25">
      <c r="A492">
        <v>222</v>
      </c>
      <c r="B492">
        <v>410470004002</v>
      </c>
      <c r="C492">
        <v>0.72929310999999997</v>
      </c>
    </row>
    <row r="493" spans="1:3" x14ac:dyDescent="0.25">
      <c r="A493">
        <v>222</v>
      </c>
      <c r="B493">
        <v>410470015022</v>
      </c>
      <c r="C493">
        <v>5.6488099999999998E-3</v>
      </c>
    </row>
    <row r="494" spans="1:3" x14ac:dyDescent="0.25">
      <c r="A494">
        <v>222</v>
      </c>
      <c r="B494">
        <v>410470015031</v>
      </c>
      <c r="C494">
        <v>5.4243E-4</v>
      </c>
    </row>
    <row r="495" spans="1:3" x14ac:dyDescent="0.25">
      <c r="A495">
        <v>222</v>
      </c>
      <c r="B495">
        <v>410470015033</v>
      </c>
      <c r="C495">
        <v>0.26451574999999999</v>
      </c>
    </row>
    <row r="496" spans="1:3" x14ac:dyDescent="0.25">
      <c r="A496">
        <v>223</v>
      </c>
      <c r="B496">
        <v>410470004002</v>
      </c>
      <c r="C496">
        <v>0.99984433999999989</v>
      </c>
    </row>
    <row r="497" spans="1:3" x14ac:dyDescent="0.25">
      <c r="A497">
        <v>223</v>
      </c>
      <c r="B497">
        <v>410470004003</v>
      </c>
      <c r="C497">
        <v>1.5563999999999999E-4</v>
      </c>
    </row>
    <row r="498" spans="1:3" x14ac:dyDescent="0.25">
      <c r="A498">
        <v>224</v>
      </c>
      <c r="B498">
        <v>410470004002</v>
      </c>
      <c r="C498">
        <v>0.99891012000000001</v>
      </c>
    </row>
    <row r="499" spans="1:3" x14ac:dyDescent="0.25">
      <c r="A499">
        <v>224</v>
      </c>
      <c r="B499">
        <v>410470004003</v>
      </c>
      <c r="C499">
        <v>1.0899100000000001E-3</v>
      </c>
    </row>
    <row r="500" spans="1:3" x14ac:dyDescent="0.25">
      <c r="A500">
        <v>225</v>
      </c>
      <c r="B500">
        <v>410470004001</v>
      </c>
      <c r="C500">
        <v>0.99682640000000011</v>
      </c>
    </row>
    <row r="501" spans="1:3" x14ac:dyDescent="0.25">
      <c r="A501">
        <v>225</v>
      </c>
      <c r="B501">
        <v>410470004002</v>
      </c>
      <c r="C501">
        <v>3.1734099999999998E-3</v>
      </c>
    </row>
    <row r="502" spans="1:3" x14ac:dyDescent="0.25">
      <c r="A502">
        <v>226</v>
      </c>
      <c r="B502">
        <v>410470003003</v>
      </c>
      <c r="C502">
        <v>0.10037485</v>
      </c>
    </row>
    <row r="503" spans="1:3" x14ac:dyDescent="0.25">
      <c r="A503">
        <v>226</v>
      </c>
      <c r="B503">
        <v>410470004001</v>
      </c>
      <c r="C503">
        <v>0.87669421999999997</v>
      </c>
    </row>
    <row r="504" spans="1:3" x14ac:dyDescent="0.25">
      <c r="A504">
        <v>226</v>
      </c>
      <c r="B504">
        <v>410530052022</v>
      </c>
      <c r="C504">
        <v>2.2931E-2</v>
      </c>
    </row>
    <row r="505" spans="1:3" x14ac:dyDescent="0.25">
      <c r="A505">
        <v>227</v>
      </c>
      <c r="B505">
        <v>410470002001</v>
      </c>
      <c r="C505">
        <v>2.79101E-3</v>
      </c>
    </row>
    <row r="506" spans="1:3" x14ac:dyDescent="0.25">
      <c r="A506">
        <v>227</v>
      </c>
      <c r="B506">
        <v>410470003003</v>
      </c>
      <c r="C506">
        <v>0.92412631000000001</v>
      </c>
    </row>
    <row r="507" spans="1:3" x14ac:dyDescent="0.25">
      <c r="A507">
        <v>227</v>
      </c>
      <c r="B507">
        <v>410470003004</v>
      </c>
      <c r="C507">
        <v>4.6683899999999997E-3</v>
      </c>
    </row>
    <row r="508" spans="1:3" x14ac:dyDescent="0.25">
      <c r="A508">
        <v>227</v>
      </c>
      <c r="B508">
        <v>410470004001</v>
      </c>
      <c r="C508">
        <v>2.7074E-4</v>
      </c>
    </row>
    <row r="509" spans="1:3" x14ac:dyDescent="0.25">
      <c r="A509">
        <v>227</v>
      </c>
      <c r="B509">
        <v>410530052022</v>
      </c>
      <c r="C509">
        <v>6.8143529999999994E-2</v>
      </c>
    </row>
    <row r="510" spans="1:3" x14ac:dyDescent="0.25">
      <c r="A510">
        <v>229</v>
      </c>
      <c r="B510">
        <v>410470003003</v>
      </c>
      <c r="C510">
        <v>1.4023199999999999E-3</v>
      </c>
    </row>
    <row r="511" spans="1:3" x14ac:dyDescent="0.25">
      <c r="A511">
        <v>229</v>
      </c>
      <c r="B511">
        <v>410470003004</v>
      </c>
      <c r="C511">
        <v>1.641E-5</v>
      </c>
    </row>
    <row r="512" spans="1:3" x14ac:dyDescent="0.25">
      <c r="A512">
        <v>229</v>
      </c>
      <c r="B512">
        <v>410470004001</v>
      </c>
      <c r="C512">
        <v>0.98953444000000002</v>
      </c>
    </row>
    <row r="513" spans="1:3" x14ac:dyDescent="0.25">
      <c r="A513">
        <v>229</v>
      </c>
      <c r="B513">
        <v>410470004002</v>
      </c>
      <c r="C513">
        <v>9.0469299999999999E-3</v>
      </c>
    </row>
    <row r="514" spans="1:3" x14ac:dyDescent="0.25">
      <c r="A514">
        <v>230</v>
      </c>
      <c r="B514">
        <v>410470003004</v>
      </c>
      <c r="C514">
        <v>2.3030999999999998E-4</v>
      </c>
    </row>
    <row r="515" spans="1:3" x14ac:dyDescent="0.25">
      <c r="A515">
        <v>230</v>
      </c>
      <c r="B515">
        <v>410470004002</v>
      </c>
      <c r="C515">
        <v>0.80480474000000002</v>
      </c>
    </row>
    <row r="516" spans="1:3" x14ac:dyDescent="0.25">
      <c r="A516">
        <v>230</v>
      </c>
      <c r="B516">
        <v>410470004003</v>
      </c>
      <c r="C516">
        <v>0.19496490999999999</v>
      </c>
    </row>
    <row r="517" spans="1:3" x14ac:dyDescent="0.25">
      <c r="A517">
        <v>231</v>
      </c>
      <c r="B517">
        <v>410470003001</v>
      </c>
      <c r="C517">
        <v>2.1270400000000002E-3</v>
      </c>
    </row>
    <row r="518" spans="1:3" x14ac:dyDescent="0.25">
      <c r="A518">
        <v>231</v>
      </c>
      <c r="B518">
        <v>410470003004</v>
      </c>
      <c r="C518">
        <v>0.99664627999999988</v>
      </c>
    </row>
    <row r="519" spans="1:3" x14ac:dyDescent="0.25">
      <c r="A519">
        <v>231</v>
      </c>
      <c r="B519">
        <v>410470004002</v>
      </c>
      <c r="C519">
        <v>8.1607000000000001E-4</v>
      </c>
    </row>
    <row r="520" spans="1:3" x14ac:dyDescent="0.25">
      <c r="A520">
        <v>231</v>
      </c>
      <c r="B520">
        <v>410470004003</v>
      </c>
      <c r="C520">
        <v>4.1043000000000004E-4</v>
      </c>
    </row>
    <row r="521" spans="1:3" x14ac:dyDescent="0.25">
      <c r="A521">
        <v>232</v>
      </c>
      <c r="B521">
        <v>410470002001</v>
      </c>
      <c r="C521">
        <v>2.0745299999999998E-3</v>
      </c>
    </row>
    <row r="522" spans="1:3" x14ac:dyDescent="0.25">
      <c r="A522">
        <v>232</v>
      </c>
      <c r="B522">
        <v>410470002003</v>
      </c>
      <c r="C522">
        <v>5.4745E-4</v>
      </c>
    </row>
    <row r="523" spans="1:3" x14ac:dyDescent="0.25">
      <c r="A523">
        <v>232</v>
      </c>
      <c r="B523">
        <v>410470003001</v>
      </c>
      <c r="C523">
        <v>8.4038599999999991E-3</v>
      </c>
    </row>
    <row r="524" spans="1:3" x14ac:dyDescent="0.25">
      <c r="A524">
        <v>232</v>
      </c>
      <c r="B524">
        <v>410470003002</v>
      </c>
      <c r="C524">
        <v>0.15347168</v>
      </c>
    </row>
    <row r="525" spans="1:3" x14ac:dyDescent="0.25">
      <c r="A525">
        <v>232</v>
      </c>
      <c r="B525">
        <v>410470003003</v>
      </c>
      <c r="C525">
        <v>3.3619999999999999E-4</v>
      </c>
    </row>
    <row r="526" spans="1:3" x14ac:dyDescent="0.25">
      <c r="A526">
        <v>232</v>
      </c>
      <c r="B526">
        <v>410470003004</v>
      </c>
      <c r="C526">
        <v>0.83516627999999993</v>
      </c>
    </row>
    <row r="527" spans="1:3" x14ac:dyDescent="0.25">
      <c r="A527">
        <v>233</v>
      </c>
      <c r="B527">
        <v>410470003001</v>
      </c>
      <c r="C527">
        <v>0.99753657000000007</v>
      </c>
    </row>
    <row r="528" spans="1:3" x14ac:dyDescent="0.25">
      <c r="A528">
        <v>233</v>
      </c>
      <c r="B528">
        <v>410470003002</v>
      </c>
      <c r="C528">
        <v>1.19144E-3</v>
      </c>
    </row>
    <row r="529" spans="1:3" x14ac:dyDescent="0.25">
      <c r="A529">
        <v>233</v>
      </c>
      <c r="B529">
        <v>410470003004</v>
      </c>
      <c r="C529">
        <v>1.27202E-3</v>
      </c>
    </row>
    <row r="530" spans="1:3" x14ac:dyDescent="0.25">
      <c r="A530">
        <v>234</v>
      </c>
      <c r="B530">
        <v>410470003001</v>
      </c>
      <c r="C530">
        <v>0.99351502999999997</v>
      </c>
    </row>
    <row r="531" spans="1:3" x14ac:dyDescent="0.25">
      <c r="A531">
        <v>234</v>
      </c>
      <c r="B531">
        <v>410470003004</v>
      </c>
      <c r="C531">
        <v>1.3289599999999999E-3</v>
      </c>
    </row>
    <row r="532" spans="1:3" x14ac:dyDescent="0.25">
      <c r="A532">
        <v>234</v>
      </c>
      <c r="B532">
        <v>410470004003</v>
      </c>
      <c r="C532">
        <v>5.1560300000000007E-3</v>
      </c>
    </row>
    <row r="533" spans="1:3" x14ac:dyDescent="0.25">
      <c r="A533">
        <v>235</v>
      </c>
      <c r="B533">
        <v>410470003001</v>
      </c>
      <c r="C533">
        <v>4.6719600000000002E-3</v>
      </c>
    </row>
    <row r="534" spans="1:3" x14ac:dyDescent="0.25">
      <c r="A534">
        <v>235</v>
      </c>
      <c r="B534">
        <v>410470004002</v>
      </c>
      <c r="C534">
        <v>7.8856599999999992E-3</v>
      </c>
    </row>
    <row r="535" spans="1:3" x14ac:dyDescent="0.25">
      <c r="A535">
        <v>235</v>
      </c>
      <c r="B535">
        <v>410470004003</v>
      </c>
      <c r="C535">
        <v>0.98744237999999995</v>
      </c>
    </row>
    <row r="536" spans="1:3" x14ac:dyDescent="0.25">
      <c r="A536">
        <v>236</v>
      </c>
      <c r="B536">
        <v>410470003001</v>
      </c>
      <c r="C536">
        <v>3.5243440000000001E-2</v>
      </c>
    </row>
    <row r="537" spans="1:3" x14ac:dyDescent="0.25">
      <c r="A537">
        <v>236</v>
      </c>
      <c r="B537">
        <v>410470005011</v>
      </c>
      <c r="C537">
        <v>9.9909600000000001E-3</v>
      </c>
    </row>
    <row r="538" spans="1:3" x14ac:dyDescent="0.25">
      <c r="A538">
        <v>236</v>
      </c>
      <c r="B538">
        <v>410470005021</v>
      </c>
      <c r="C538">
        <v>0.95476566000000007</v>
      </c>
    </row>
    <row r="539" spans="1:3" x14ac:dyDescent="0.25">
      <c r="A539">
        <v>237</v>
      </c>
      <c r="B539">
        <v>410470005011</v>
      </c>
      <c r="C539">
        <v>2.29035E-3</v>
      </c>
    </row>
    <row r="540" spans="1:3" x14ac:dyDescent="0.25">
      <c r="A540">
        <v>237</v>
      </c>
      <c r="B540">
        <v>410470005021</v>
      </c>
      <c r="C540">
        <v>0.77585481999999995</v>
      </c>
    </row>
    <row r="541" spans="1:3" x14ac:dyDescent="0.25">
      <c r="A541">
        <v>237</v>
      </c>
      <c r="B541">
        <v>410470005022</v>
      </c>
      <c r="C541">
        <v>0.22185482000000001</v>
      </c>
    </row>
    <row r="542" spans="1:3" x14ac:dyDescent="0.25">
      <c r="A542">
        <v>238</v>
      </c>
      <c r="B542">
        <v>410470002001</v>
      </c>
      <c r="C542">
        <v>0.88804174000000002</v>
      </c>
    </row>
    <row r="543" spans="1:3" x14ac:dyDescent="0.25">
      <c r="A543">
        <v>238</v>
      </c>
      <c r="B543">
        <v>410470002002</v>
      </c>
      <c r="C543">
        <v>1.6939399999999999E-3</v>
      </c>
    </row>
    <row r="544" spans="1:3" x14ac:dyDescent="0.25">
      <c r="A544">
        <v>238</v>
      </c>
      <c r="B544">
        <v>410470002003</v>
      </c>
      <c r="C544">
        <v>9.2651699999999997E-3</v>
      </c>
    </row>
    <row r="545" spans="1:3" x14ac:dyDescent="0.25">
      <c r="A545">
        <v>238</v>
      </c>
      <c r="B545">
        <v>410470003003</v>
      </c>
      <c r="C545">
        <v>4.712794E-2</v>
      </c>
    </row>
    <row r="546" spans="1:3" x14ac:dyDescent="0.25">
      <c r="A546">
        <v>238</v>
      </c>
      <c r="B546">
        <v>410530052022</v>
      </c>
      <c r="C546">
        <v>5.3871200000000001E-2</v>
      </c>
    </row>
    <row r="547" spans="1:3" x14ac:dyDescent="0.25">
      <c r="A547">
        <v>242</v>
      </c>
      <c r="B547">
        <v>410470002003</v>
      </c>
      <c r="C547">
        <v>2.3939500000000002E-3</v>
      </c>
    </row>
    <row r="548" spans="1:3" x14ac:dyDescent="0.25">
      <c r="A548">
        <v>242</v>
      </c>
      <c r="B548">
        <v>410470003001</v>
      </c>
      <c r="C548">
        <v>0.46675637000000003</v>
      </c>
    </row>
    <row r="549" spans="1:3" x14ac:dyDescent="0.25">
      <c r="A549">
        <v>242</v>
      </c>
      <c r="B549">
        <v>410470003002</v>
      </c>
      <c r="C549">
        <v>0.52988947000000008</v>
      </c>
    </row>
    <row r="550" spans="1:3" x14ac:dyDescent="0.25">
      <c r="A550">
        <v>242</v>
      </c>
      <c r="B550">
        <v>410470006001</v>
      </c>
      <c r="C550">
        <v>9.5242999999999999E-4</v>
      </c>
    </row>
    <row r="551" spans="1:3" x14ac:dyDescent="0.25">
      <c r="A551">
        <v>242</v>
      </c>
      <c r="B551">
        <v>410470006002</v>
      </c>
      <c r="C551">
        <v>7.8399999999999995E-6</v>
      </c>
    </row>
    <row r="552" spans="1:3" x14ac:dyDescent="0.25">
      <c r="A552">
        <v>243</v>
      </c>
      <c r="B552">
        <v>410470003001</v>
      </c>
      <c r="C552">
        <v>3.5548280000000002E-2</v>
      </c>
    </row>
    <row r="553" spans="1:3" x14ac:dyDescent="0.25">
      <c r="A553">
        <v>243</v>
      </c>
      <c r="B553">
        <v>410470005011</v>
      </c>
      <c r="C553">
        <v>0.95830634000000003</v>
      </c>
    </row>
    <row r="554" spans="1:3" x14ac:dyDescent="0.25">
      <c r="A554">
        <v>243</v>
      </c>
      <c r="B554">
        <v>410470005021</v>
      </c>
      <c r="C554">
        <v>2.8691200000000002E-3</v>
      </c>
    </row>
    <row r="555" spans="1:3" x14ac:dyDescent="0.25">
      <c r="A555">
        <v>243</v>
      </c>
      <c r="B555">
        <v>410470006001</v>
      </c>
      <c r="C555">
        <v>3.2761600000000002E-3</v>
      </c>
    </row>
    <row r="556" spans="1:3" x14ac:dyDescent="0.25">
      <c r="A556">
        <v>244</v>
      </c>
      <c r="B556">
        <v>410470003001</v>
      </c>
      <c r="C556">
        <v>3.3269999999999998E-5</v>
      </c>
    </row>
    <row r="557" spans="1:3" x14ac:dyDescent="0.25">
      <c r="A557">
        <v>244</v>
      </c>
      <c r="B557">
        <v>410470003002</v>
      </c>
      <c r="C557">
        <v>6.9607300000000009E-3</v>
      </c>
    </row>
    <row r="558" spans="1:3" x14ac:dyDescent="0.25">
      <c r="A558">
        <v>244</v>
      </c>
      <c r="B558">
        <v>410470005011</v>
      </c>
      <c r="C558">
        <v>7.7221099999999999E-3</v>
      </c>
    </row>
    <row r="559" spans="1:3" x14ac:dyDescent="0.25">
      <c r="A559">
        <v>244</v>
      </c>
      <c r="B559">
        <v>410470006001</v>
      </c>
      <c r="C559">
        <v>0.98161535</v>
      </c>
    </row>
    <row r="560" spans="1:3" x14ac:dyDescent="0.25">
      <c r="A560">
        <v>244</v>
      </c>
      <c r="B560">
        <v>410470006002</v>
      </c>
      <c r="C560">
        <v>3.66848E-3</v>
      </c>
    </row>
    <row r="561" spans="1:3" x14ac:dyDescent="0.25">
      <c r="A561">
        <v>245</v>
      </c>
      <c r="B561">
        <v>410470002003</v>
      </c>
      <c r="C561">
        <v>4.9303200000000002E-3</v>
      </c>
    </row>
    <row r="562" spans="1:3" x14ac:dyDescent="0.25">
      <c r="A562">
        <v>245</v>
      </c>
      <c r="B562">
        <v>410470006001</v>
      </c>
      <c r="C562">
        <v>6.3379999999999993E-5</v>
      </c>
    </row>
    <row r="563" spans="1:3" x14ac:dyDescent="0.25">
      <c r="A563">
        <v>245</v>
      </c>
      <c r="B563">
        <v>410470006002</v>
      </c>
      <c r="C563">
        <v>0.98707890000000009</v>
      </c>
    </row>
    <row r="564" spans="1:3" x14ac:dyDescent="0.25">
      <c r="A564">
        <v>245</v>
      </c>
      <c r="B564">
        <v>410470006003</v>
      </c>
      <c r="C564">
        <v>7.9273999999999994E-3</v>
      </c>
    </row>
    <row r="565" spans="1:3" x14ac:dyDescent="0.25">
      <c r="A565">
        <v>246</v>
      </c>
      <c r="B565">
        <v>410470002003</v>
      </c>
      <c r="C565">
        <v>0.99760441</v>
      </c>
    </row>
    <row r="566" spans="1:3" x14ac:dyDescent="0.25">
      <c r="A566">
        <v>246</v>
      </c>
      <c r="B566">
        <v>410470006002</v>
      </c>
      <c r="C566">
        <v>2.3956099999999998E-3</v>
      </c>
    </row>
    <row r="567" spans="1:3" x14ac:dyDescent="0.25">
      <c r="A567">
        <v>249</v>
      </c>
      <c r="B567">
        <v>410470002001</v>
      </c>
      <c r="C567">
        <v>6.3153999999999997E-3</v>
      </c>
    </row>
    <row r="568" spans="1:3" x14ac:dyDescent="0.25">
      <c r="A568">
        <v>249</v>
      </c>
      <c r="B568">
        <v>410470002002</v>
      </c>
      <c r="C568">
        <v>0.97633692999999999</v>
      </c>
    </row>
    <row r="569" spans="1:3" x14ac:dyDescent="0.25">
      <c r="A569">
        <v>249</v>
      </c>
      <c r="B569">
        <v>410470002003</v>
      </c>
      <c r="C569">
        <v>1.2711140000000001E-2</v>
      </c>
    </row>
    <row r="570" spans="1:3" x14ac:dyDescent="0.25">
      <c r="A570">
        <v>249</v>
      </c>
      <c r="B570">
        <v>410470013001</v>
      </c>
      <c r="C570">
        <v>4.6365299999999998E-3</v>
      </c>
    </row>
    <row r="571" spans="1:3" x14ac:dyDescent="0.25">
      <c r="A571">
        <v>254</v>
      </c>
      <c r="B571">
        <v>410470002003</v>
      </c>
      <c r="C571">
        <v>8.0074399999999993E-3</v>
      </c>
    </row>
    <row r="572" spans="1:3" x14ac:dyDescent="0.25">
      <c r="A572">
        <v>254</v>
      </c>
      <c r="B572">
        <v>410470006002</v>
      </c>
      <c r="C572">
        <v>9.2820000000000009E-5</v>
      </c>
    </row>
    <row r="573" spans="1:3" x14ac:dyDescent="0.25">
      <c r="A573">
        <v>254</v>
      </c>
      <c r="B573">
        <v>410470006003</v>
      </c>
      <c r="C573">
        <v>0.94135319999999989</v>
      </c>
    </row>
    <row r="574" spans="1:3" x14ac:dyDescent="0.25">
      <c r="A574">
        <v>254</v>
      </c>
      <c r="B574">
        <v>410470007012</v>
      </c>
      <c r="C574">
        <v>4.4133969999999995E-2</v>
      </c>
    </row>
    <row r="575" spans="1:3" x14ac:dyDescent="0.25">
      <c r="A575">
        <v>254</v>
      </c>
      <c r="B575">
        <v>410470007013</v>
      </c>
      <c r="C575">
        <v>7.0499999999999992E-5</v>
      </c>
    </row>
    <row r="576" spans="1:3" x14ac:dyDescent="0.25">
      <c r="A576">
        <v>254</v>
      </c>
      <c r="B576">
        <v>410470009005</v>
      </c>
      <c r="C576">
        <v>3.1813000000000002E-3</v>
      </c>
    </row>
    <row r="577" spans="1:3" x14ac:dyDescent="0.25">
      <c r="A577">
        <v>254</v>
      </c>
      <c r="B577">
        <v>410470009006</v>
      </c>
      <c r="C577">
        <v>8.0741999999999999E-4</v>
      </c>
    </row>
    <row r="578" spans="1:3" x14ac:dyDescent="0.25">
      <c r="A578">
        <v>254</v>
      </c>
      <c r="B578">
        <v>410470009007</v>
      </c>
      <c r="C578">
        <v>2.3533200000000003E-3</v>
      </c>
    </row>
    <row r="579" spans="1:3" x14ac:dyDescent="0.25">
      <c r="A579">
        <v>256</v>
      </c>
      <c r="B579">
        <v>410470002003</v>
      </c>
      <c r="C579">
        <v>6.8233900000000004E-3</v>
      </c>
    </row>
    <row r="580" spans="1:3" x14ac:dyDescent="0.25">
      <c r="A580">
        <v>256</v>
      </c>
      <c r="B580">
        <v>410470006003</v>
      </c>
      <c r="C580">
        <v>4.22479E-3</v>
      </c>
    </row>
    <row r="581" spans="1:3" x14ac:dyDescent="0.25">
      <c r="A581">
        <v>256</v>
      </c>
      <c r="B581">
        <v>410470009001</v>
      </c>
      <c r="C581">
        <v>8.1873999999999998E-4</v>
      </c>
    </row>
    <row r="582" spans="1:3" x14ac:dyDescent="0.25">
      <c r="A582">
        <v>256</v>
      </c>
      <c r="B582">
        <v>410470009004</v>
      </c>
      <c r="C582">
        <v>3.7425700000000002E-3</v>
      </c>
    </row>
    <row r="583" spans="1:3" x14ac:dyDescent="0.25">
      <c r="A583">
        <v>256</v>
      </c>
      <c r="B583">
        <v>410470009005</v>
      </c>
      <c r="C583">
        <v>0.48901935000000002</v>
      </c>
    </row>
    <row r="584" spans="1:3" x14ac:dyDescent="0.25">
      <c r="A584">
        <v>256</v>
      </c>
      <c r="B584">
        <v>410470009006</v>
      </c>
      <c r="C584">
        <v>8.4341999999999993E-3</v>
      </c>
    </row>
    <row r="585" spans="1:3" x14ac:dyDescent="0.25">
      <c r="A585">
        <v>256</v>
      </c>
      <c r="B585">
        <v>410470009007</v>
      </c>
      <c r="C585">
        <v>0.48693702</v>
      </c>
    </row>
    <row r="586" spans="1:3" x14ac:dyDescent="0.25">
      <c r="A586">
        <v>257</v>
      </c>
      <c r="B586">
        <v>410470009003</v>
      </c>
      <c r="C586">
        <v>0.40509327000000001</v>
      </c>
    </row>
    <row r="587" spans="1:3" x14ac:dyDescent="0.25">
      <c r="A587">
        <v>257</v>
      </c>
      <c r="B587">
        <v>410470009004</v>
      </c>
      <c r="C587">
        <v>0.59490681000000001</v>
      </c>
    </row>
    <row r="588" spans="1:3" x14ac:dyDescent="0.25">
      <c r="A588">
        <v>258</v>
      </c>
      <c r="B588">
        <v>410470009002</v>
      </c>
      <c r="C588">
        <v>7.2925420000000005E-2</v>
      </c>
    </row>
    <row r="589" spans="1:3" x14ac:dyDescent="0.25">
      <c r="A589">
        <v>258</v>
      </c>
      <c r="B589">
        <v>410470009003</v>
      </c>
      <c r="C589">
        <v>0.84392201999999994</v>
      </c>
    </row>
    <row r="590" spans="1:3" x14ac:dyDescent="0.25">
      <c r="A590">
        <v>258</v>
      </c>
      <c r="B590">
        <v>410470010001</v>
      </c>
      <c r="C590">
        <v>8.2080629999999988E-2</v>
      </c>
    </row>
    <row r="591" spans="1:3" x14ac:dyDescent="0.25">
      <c r="A591">
        <v>258</v>
      </c>
      <c r="B591">
        <v>410470010002</v>
      </c>
      <c r="C591">
        <v>1.0718100000000001E-3</v>
      </c>
    </row>
    <row r="592" spans="1:3" x14ac:dyDescent="0.25">
      <c r="A592">
        <v>259</v>
      </c>
      <c r="B592">
        <v>410470002003</v>
      </c>
      <c r="C592">
        <v>3.0760909999999999E-2</v>
      </c>
    </row>
    <row r="593" spans="1:3" x14ac:dyDescent="0.25">
      <c r="A593">
        <v>259</v>
      </c>
      <c r="B593">
        <v>410470009003</v>
      </c>
      <c r="C593">
        <v>0.53997636000000004</v>
      </c>
    </row>
    <row r="594" spans="1:3" x14ac:dyDescent="0.25">
      <c r="A594">
        <v>259</v>
      </c>
      <c r="B594">
        <v>410470009004</v>
      </c>
      <c r="C594">
        <v>0.40588662999999997</v>
      </c>
    </row>
    <row r="595" spans="1:3" x14ac:dyDescent="0.25">
      <c r="A595">
        <v>259</v>
      </c>
      <c r="B595">
        <v>410470009007</v>
      </c>
      <c r="C595">
        <v>2.5465700000000002E-3</v>
      </c>
    </row>
    <row r="596" spans="1:3" x14ac:dyDescent="0.25">
      <c r="A596">
        <v>259</v>
      </c>
      <c r="B596">
        <v>410470010002</v>
      </c>
      <c r="C596">
        <v>2.0636139999999997E-2</v>
      </c>
    </row>
    <row r="597" spans="1:3" x14ac:dyDescent="0.25">
      <c r="A597">
        <v>259</v>
      </c>
      <c r="B597">
        <v>410470012001</v>
      </c>
      <c r="C597">
        <v>1.9345000000000001E-4</v>
      </c>
    </row>
    <row r="598" spans="1:3" x14ac:dyDescent="0.25">
      <c r="A598">
        <v>260</v>
      </c>
      <c r="B598">
        <v>410470002002</v>
      </c>
      <c r="C598">
        <v>3.5055900000000003E-3</v>
      </c>
    </row>
    <row r="599" spans="1:3" x14ac:dyDescent="0.25">
      <c r="A599">
        <v>260</v>
      </c>
      <c r="B599">
        <v>410470002003</v>
      </c>
      <c r="C599">
        <v>0.99379441999999996</v>
      </c>
    </row>
    <row r="600" spans="1:3" x14ac:dyDescent="0.25">
      <c r="A600">
        <v>260</v>
      </c>
      <c r="B600">
        <v>410470012001</v>
      </c>
      <c r="C600">
        <v>2.69995E-3</v>
      </c>
    </row>
    <row r="601" spans="1:3" x14ac:dyDescent="0.25">
      <c r="A601">
        <v>261</v>
      </c>
      <c r="B601">
        <v>410470002002</v>
      </c>
      <c r="C601">
        <v>7.8421499999999991E-3</v>
      </c>
    </row>
    <row r="602" spans="1:3" x14ac:dyDescent="0.25">
      <c r="A602">
        <v>261</v>
      </c>
      <c r="B602">
        <v>410470002003</v>
      </c>
      <c r="C602">
        <v>0.99194056000000008</v>
      </c>
    </row>
    <row r="603" spans="1:3" x14ac:dyDescent="0.25">
      <c r="A603">
        <v>261</v>
      </c>
      <c r="B603">
        <v>410470012001</v>
      </c>
      <c r="C603">
        <v>2.174E-4</v>
      </c>
    </row>
    <row r="604" spans="1:3" x14ac:dyDescent="0.25">
      <c r="A604">
        <v>279</v>
      </c>
      <c r="B604">
        <v>410470002002</v>
      </c>
      <c r="C604">
        <v>1.06897E-3</v>
      </c>
    </row>
    <row r="605" spans="1:3" x14ac:dyDescent="0.25">
      <c r="A605">
        <v>279</v>
      </c>
      <c r="B605">
        <v>410470002003</v>
      </c>
      <c r="C605">
        <v>0.99893091000000001</v>
      </c>
    </row>
    <row r="606" spans="1:3" x14ac:dyDescent="0.25">
      <c r="A606">
        <v>280</v>
      </c>
      <c r="B606">
        <v>410470002003</v>
      </c>
      <c r="C606">
        <v>0.99999995999999991</v>
      </c>
    </row>
    <row r="607" spans="1:3" x14ac:dyDescent="0.25">
      <c r="A607">
        <v>281</v>
      </c>
      <c r="B607">
        <v>410470002002</v>
      </c>
      <c r="C607">
        <v>0.25274603000000001</v>
      </c>
    </row>
    <row r="608" spans="1:3" x14ac:dyDescent="0.25">
      <c r="A608">
        <v>281</v>
      </c>
      <c r="B608">
        <v>410470002003</v>
      </c>
      <c r="C608">
        <v>0.74525649000000005</v>
      </c>
    </row>
    <row r="609" spans="1:3" x14ac:dyDescent="0.25">
      <c r="A609">
        <v>281</v>
      </c>
      <c r="B609">
        <v>410470013001</v>
      </c>
      <c r="C609">
        <v>1.9975399999999999E-3</v>
      </c>
    </row>
    <row r="610" spans="1:3" x14ac:dyDescent="0.25">
      <c r="A610">
        <v>282</v>
      </c>
      <c r="B610">
        <v>410470005011</v>
      </c>
      <c r="C610">
        <v>0.88893564000000003</v>
      </c>
    </row>
    <row r="611" spans="1:3" x14ac:dyDescent="0.25">
      <c r="A611">
        <v>282</v>
      </c>
      <c r="B611">
        <v>410470005021</v>
      </c>
      <c r="C611">
        <v>8.2554999999999998E-4</v>
      </c>
    </row>
    <row r="612" spans="1:3" x14ac:dyDescent="0.25">
      <c r="A612">
        <v>282</v>
      </c>
      <c r="B612">
        <v>410470006001</v>
      </c>
      <c r="C612">
        <v>0.11023882</v>
      </c>
    </row>
    <row r="613" spans="1:3" x14ac:dyDescent="0.25">
      <c r="A613">
        <v>283</v>
      </c>
      <c r="B613">
        <v>410470005011</v>
      </c>
      <c r="C613">
        <v>0.9795491300000001</v>
      </c>
    </row>
    <row r="614" spans="1:3" x14ac:dyDescent="0.25">
      <c r="A614">
        <v>283</v>
      </c>
      <c r="B614">
        <v>410470005012</v>
      </c>
      <c r="C614">
        <v>2.0029040000000001E-2</v>
      </c>
    </row>
    <row r="615" spans="1:3" x14ac:dyDescent="0.25">
      <c r="A615">
        <v>283</v>
      </c>
      <c r="B615">
        <v>410470005022</v>
      </c>
      <c r="C615">
        <v>4.2176999999999997E-4</v>
      </c>
    </row>
    <row r="616" spans="1:3" x14ac:dyDescent="0.25">
      <c r="A616">
        <v>284</v>
      </c>
      <c r="B616">
        <v>410470005012</v>
      </c>
      <c r="C616">
        <v>0.98869708000000001</v>
      </c>
    </row>
    <row r="617" spans="1:3" x14ac:dyDescent="0.25">
      <c r="A617">
        <v>284</v>
      </c>
      <c r="B617">
        <v>410470005022</v>
      </c>
      <c r="C617">
        <v>7.3598000000000001E-4</v>
      </c>
    </row>
    <row r="618" spans="1:3" x14ac:dyDescent="0.25">
      <c r="A618">
        <v>284</v>
      </c>
      <c r="B618">
        <v>410470005023</v>
      </c>
      <c r="C618">
        <v>2.0313700000000002E-3</v>
      </c>
    </row>
    <row r="619" spans="1:3" x14ac:dyDescent="0.25">
      <c r="A619">
        <v>284</v>
      </c>
      <c r="B619">
        <v>410470016022</v>
      </c>
      <c r="C619">
        <v>1.7229999999999999E-5</v>
      </c>
    </row>
    <row r="620" spans="1:3" x14ac:dyDescent="0.25">
      <c r="A620">
        <v>284</v>
      </c>
      <c r="B620">
        <v>410470016041</v>
      </c>
      <c r="C620">
        <v>8.5183900000000007E-3</v>
      </c>
    </row>
    <row r="621" spans="1:3" x14ac:dyDescent="0.25">
      <c r="A621">
        <v>285</v>
      </c>
      <c r="B621">
        <v>410470006001</v>
      </c>
      <c r="C621">
        <v>0.98656312000000002</v>
      </c>
    </row>
    <row r="622" spans="1:3" x14ac:dyDescent="0.25">
      <c r="A622">
        <v>285</v>
      </c>
      <c r="B622">
        <v>410470006002</v>
      </c>
      <c r="C622">
        <v>7.2034600000000001E-3</v>
      </c>
    </row>
    <row r="623" spans="1:3" x14ac:dyDescent="0.25">
      <c r="A623">
        <v>285</v>
      </c>
      <c r="B623">
        <v>410470007011</v>
      </c>
      <c r="C623">
        <v>6.2334000000000001E-3</v>
      </c>
    </row>
    <row r="624" spans="1:3" x14ac:dyDescent="0.25">
      <c r="A624">
        <v>286</v>
      </c>
      <c r="B624">
        <v>410470005011</v>
      </c>
      <c r="C624">
        <v>1.1693700000000001E-3</v>
      </c>
    </row>
    <row r="625" spans="1:3" x14ac:dyDescent="0.25">
      <c r="A625">
        <v>286</v>
      </c>
      <c r="B625">
        <v>410470005012</v>
      </c>
      <c r="C625">
        <v>2.3784399999999999E-3</v>
      </c>
    </row>
    <row r="626" spans="1:3" x14ac:dyDescent="0.25">
      <c r="A626">
        <v>286</v>
      </c>
      <c r="B626">
        <v>410470006001</v>
      </c>
      <c r="C626">
        <v>5.898333E-2</v>
      </c>
    </row>
    <row r="627" spans="1:3" x14ac:dyDescent="0.25">
      <c r="A627">
        <v>286</v>
      </c>
      <c r="B627">
        <v>410470007011</v>
      </c>
      <c r="C627">
        <v>0.83390691000000006</v>
      </c>
    </row>
    <row r="628" spans="1:3" x14ac:dyDescent="0.25">
      <c r="A628">
        <v>286</v>
      </c>
      <c r="B628">
        <v>410470007012</v>
      </c>
      <c r="C628">
        <v>9.2753580000000002E-2</v>
      </c>
    </row>
    <row r="629" spans="1:3" x14ac:dyDescent="0.25">
      <c r="A629">
        <v>286</v>
      </c>
      <c r="B629">
        <v>410470016041</v>
      </c>
      <c r="C629">
        <v>7.2800000000000006E-6</v>
      </c>
    </row>
    <row r="630" spans="1:3" x14ac:dyDescent="0.25">
      <c r="A630">
        <v>286</v>
      </c>
      <c r="B630">
        <v>410470017011</v>
      </c>
      <c r="C630">
        <v>1.86188E-3</v>
      </c>
    </row>
    <row r="631" spans="1:3" x14ac:dyDescent="0.25">
      <c r="A631">
        <v>286</v>
      </c>
      <c r="B631">
        <v>410470017012</v>
      </c>
      <c r="C631">
        <v>8.9392299999999994E-3</v>
      </c>
    </row>
    <row r="632" spans="1:3" x14ac:dyDescent="0.25">
      <c r="A632">
        <v>289</v>
      </c>
      <c r="B632">
        <v>410470006002</v>
      </c>
      <c r="C632">
        <v>0.97662149999999992</v>
      </c>
    </row>
    <row r="633" spans="1:3" x14ac:dyDescent="0.25">
      <c r="A633">
        <v>289</v>
      </c>
      <c r="B633">
        <v>410470006003</v>
      </c>
      <c r="C633">
        <v>1.1337079999999999E-2</v>
      </c>
    </row>
    <row r="634" spans="1:3" x14ac:dyDescent="0.25">
      <c r="A634">
        <v>289</v>
      </c>
      <c r="B634">
        <v>410470007011</v>
      </c>
      <c r="C634">
        <v>5.1524700000000001E-3</v>
      </c>
    </row>
    <row r="635" spans="1:3" x14ac:dyDescent="0.25">
      <c r="A635">
        <v>289</v>
      </c>
      <c r="B635">
        <v>410470007012</v>
      </c>
      <c r="C635">
        <v>6.8889299999999997E-3</v>
      </c>
    </row>
    <row r="636" spans="1:3" x14ac:dyDescent="0.25">
      <c r="A636">
        <v>290</v>
      </c>
      <c r="B636">
        <v>410470006002</v>
      </c>
      <c r="C636">
        <v>4.1427E-4</v>
      </c>
    </row>
    <row r="637" spans="1:3" x14ac:dyDescent="0.25">
      <c r="A637">
        <v>290</v>
      </c>
      <c r="B637">
        <v>410470007011</v>
      </c>
      <c r="C637">
        <v>0.45756745000000004</v>
      </c>
    </row>
    <row r="638" spans="1:3" x14ac:dyDescent="0.25">
      <c r="A638">
        <v>290</v>
      </c>
      <c r="B638">
        <v>410470007012</v>
      </c>
      <c r="C638">
        <v>0.54201832999999999</v>
      </c>
    </row>
    <row r="639" spans="1:3" x14ac:dyDescent="0.25">
      <c r="A639">
        <v>294</v>
      </c>
      <c r="B639">
        <v>410470007012</v>
      </c>
      <c r="C639">
        <v>0.99986481999999999</v>
      </c>
    </row>
    <row r="640" spans="1:3" x14ac:dyDescent="0.25">
      <c r="A640">
        <v>294</v>
      </c>
      <c r="B640">
        <v>410470007013</v>
      </c>
      <c r="C640">
        <v>1.3521E-4</v>
      </c>
    </row>
    <row r="641" spans="1:3" x14ac:dyDescent="0.25">
      <c r="A641">
        <v>295</v>
      </c>
      <c r="B641">
        <v>410470007012</v>
      </c>
      <c r="C641">
        <v>0.99917462000000001</v>
      </c>
    </row>
    <row r="642" spans="1:3" x14ac:dyDescent="0.25">
      <c r="A642">
        <v>295</v>
      </c>
      <c r="B642">
        <v>410470007013</v>
      </c>
      <c r="C642">
        <v>8.252E-4</v>
      </c>
    </row>
    <row r="643" spans="1:3" x14ac:dyDescent="0.25">
      <c r="A643">
        <v>296</v>
      </c>
      <c r="B643">
        <v>410470007012</v>
      </c>
      <c r="C643">
        <v>0.86910357000000005</v>
      </c>
    </row>
    <row r="644" spans="1:3" x14ac:dyDescent="0.25">
      <c r="A644">
        <v>296</v>
      </c>
      <c r="B644">
        <v>410470017012</v>
      </c>
      <c r="C644">
        <v>0.13066433</v>
      </c>
    </row>
    <row r="645" spans="1:3" x14ac:dyDescent="0.25">
      <c r="A645">
        <v>296</v>
      </c>
      <c r="B645">
        <v>410470017013</v>
      </c>
      <c r="C645">
        <v>2.3222E-4</v>
      </c>
    </row>
    <row r="646" spans="1:3" x14ac:dyDescent="0.25">
      <c r="A646">
        <v>298</v>
      </c>
      <c r="B646">
        <v>410470006003</v>
      </c>
      <c r="C646">
        <v>3.6440000000000003E-5</v>
      </c>
    </row>
    <row r="647" spans="1:3" x14ac:dyDescent="0.25">
      <c r="A647">
        <v>298</v>
      </c>
      <c r="B647">
        <v>410470007013</v>
      </c>
      <c r="C647">
        <v>0.28343734000000004</v>
      </c>
    </row>
    <row r="648" spans="1:3" x14ac:dyDescent="0.25">
      <c r="A648">
        <v>298</v>
      </c>
      <c r="B648">
        <v>410470009001</v>
      </c>
      <c r="C648">
        <v>6.7281299999999997E-3</v>
      </c>
    </row>
    <row r="649" spans="1:3" x14ac:dyDescent="0.25">
      <c r="A649">
        <v>298</v>
      </c>
      <c r="B649">
        <v>410470009006</v>
      </c>
      <c r="C649">
        <v>0.70957683000000005</v>
      </c>
    </row>
    <row r="650" spans="1:3" x14ac:dyDescent="0.25">
      <c r="A650">
        <v>298</v>
      </c>
      <c r="B650">
        <v>410470010003</v>
      </c>
      <c r="C650">
        <v>2.2135999999999998E-4</v>
      </c>
    </row>
    <row r="651" spans="1:3" x14ac:dyDescent="0.25">
      <c r="A651">
        <v>299</v>
      </c>
      <c r="B651">
        <v>410470006003</v>
      </c>
      <c r="C651">
        <v>2.4479999999999999E-5</v>
      </c>
    </row>
    <row r="652" spans="1:3" x14ac:dyDescent="0.25">
      <c r="A652">
        <v>299</v>
      </c>
      <c r="B652">
        <v>410470007012</v>
      </c>
      <c r="C652">
        <v>2.8571E-4</v>
      </c>
    </row>
    <row r="653" spans="1:3" x14ac:dyDescent="0.25">
      <c r="A653">
        <v>299</v>
      </c>
      <c r="B653">
        <v>410470007013</v>
      </c>
      <c r="C653">
        <v>0.99755965000000002</v>
      </c>
    </row>
    <row r="654" spans="1:3" x14ac:dyDescent="0.25">
      <c r="A654">
        <v>299</v>
      </c>
      <c r="B654">
        <v>410470010003</v>
      </c>
      <c r="C654">
        <v>2.13013E-3</v>
      </c>
    </row>
    <row r="655" spans="1:3" x14ac:dyDescent="0.25">
      <c r="A655">
        <v>300</v>
      </c>
      <c r="B655">
        <v>410470007012</v>
      </c>
      <c r="C655">
        <v>0.60277296999999996</v>
      </c>
    </row>
    <row r="656" spans="1:3" x14ac:dyDescent="0.25">
      <c r="A656">
        <v>300</v>
      </c>
      <c r="B656">
        <v>410470007013</v>
      </c>
      <c r="C656">
        <v>0.36158684000000002</v>
      </c>
    </row>
    <row r="657" spans="1:3" x14ac:dyDescent="0.25">
      <c r="A657">
        <v>300</v>
      </c>
      <c r="B657">
        <v>410470017013</v>
      </c>
      <c r="C657">
        <v>2.5203920000000001E-2</v>
      </c>
    </row>
    <row r="658" spans="1:3" x14ac:dyDescent="0.25">
      <c r="A658">
        <v>300</v>
      </c>
      <c r="B658">
        <v>410470018011</v>
      </c>
      <c r="C658">
        <v>1.0436240000000001E-2</v>
      </c>
    </row>
    <row r="659" spans="1:3" x14ac:dyDescent="0.25">
      <c r="A659">
        <v>301</v>
      </c>
      <c r="B659">
        <v>410470009001</v>
      </c>
      <c r="C659">
        <v>0.31338953000000003</v>
      </c>
    </row>
    <row r="660" spans="1:3" x14ac:dyDescent="0.25">
      <c r="A660">
        <v>301</v>
      </c>
      <c r="B660">
        <v>410470009002</v>
      </c>
      <c r="C660">
        <v>0.21687946</v>
      </c>
    </row>
    <row r="661" spans="1:3" x14ac:dyDescent="0.25">
      <c r="A661">
        <v>301</v>
      </c>
      <c r="B661">
        <v>410470009003</v>
      </c>
      <c r="C661">
        <v>0.21571172</v>
      </c>
    </row>
    <row r="662" spans="1:3" x14ac:dyDescent="0.25">
      <c r="A662">
        <v>301</v>
      </c>
      <c r="B662">
        <v>410470009004</v>
      </c>
      <c r="C662">
        <v>0.25401922999999998</v>
      </c>
    </row>
    <row r="663" spans="1:3" x14ac:dyDescent="0.25">
      <c r="A663">
        <v>302</v>
      </c>
      <c r="B663">
        <v>410470007013</v>
      </c>
      <c r="C663">
        <v>1.4035999999999999E-4</v>
      </c>
    </row>
    <row r="664" spans="1:3" x14ac:dyDescent="0.25">
      <c r="A664">
        <v>302</v>
      </c>
      <c r="B664">
        <v>410470009001</v>
      </c>
      <c r="C664">
        <v>0.81434639000000009</v>
      </c>
    </row>
    <row r="665" spans="1:3" x14ac:dyDescent="0.25">
      <c r="A665">
        <v>302</v>
      </c>
      <c r="B665">
        <v>410470010003</v>
      </c>
      <c r="C665">
        <v>0.18551327000000001</v>
      </c>
    </row>
    <row r="666" spans="1:3" x14ac:dyDescent="0.25">
      <c r="A666">
        <v>303</v>
      </c>
      <c r="B666">
        <v>410470009001</v>
      </c>
      <c r="C666">
        <v>0.16712387000000001</v>
      </c>
    </row>
    <row r="667" spans="1:3" x14ac:dyDescent="0.25">
      <c r="A667">
        <v>303</v>
      </c>
      <c r="B667">
        <v>410470009002</v>
      </c>
      <c r="C667">
        <v>0.64908044000000009</v>
      </c>
    </row>
    <row r="668" spans="1:3" x14ac:dyDescent="0.25">
      <c r="A668">
        <v>303</v>
      </c>
      <c r="B668">
        <v>410470010003</v>
      </c>
      <c r="C668">
        <v>0.18379573000000002</v>
      </c>
    </row>
    <row r="669" spans="1:3" x14ac:dyDescent="0.25">
      <c r="A669">
        <v>304</v>
      </c>
      <c r="B669">
        <v>410470007013</v>
      </c>
      <c r="C669">
        <v>2.11583E-3</v>
      </c>
    </row>
    <row r="670" spans="1:3" x14ac:dyDescent="0.25">
      <c r="A670">
        <v>304</v>
      </c>
      <c r="B670">
        <v>410470009002</v>
      </c>
      <c r="C670">
        <v>3.4539999999999998E-5</v>
      </c>
    </row>
    <row r="671" spans="1:3" x14ac:dyDescent="0.25">
      <c r="A671">
        <v>304</v>
      </c>
      <c r="B671">
        <v>410470010003</v>
      </c>
      <c r="C671">
        <v>0.99051385999999997</v>
      </c>
    </row>
    <row r="672" spans="1:3" x14ac:dyDescent="0.25">
      <c r="A672">
        <v>304</v>
      </c>
      <c r="B672">
        <v>410470018011</v>
      </c>
      <c r="C672">
        <v>7.9999999999999996E-6</v>
      </c>
    </row>
    <row r="673" spans="1:3" x14ac:dyDescent="0.25">
      <c r="A673">
        <v>304</v>
      </c>
      <c r="B673">
        <v>410470018012</v>
      </c>
      <c r="C673">
        <v>7.2970999999999999E-3</v>
      </c>
    </row>
    <row r="674" spans="1:3" x14ac:dyDescent="0.25">
      <c r="A674">
        <v>304</v>
      </c>
      <c r="B674">
        <v>410470018032</v>
      </c>
      <c r="C674">
        <v>3.0639999999999998E-5</v>
      </c>
    </row>
    <row r="675" spans="1:3" x14ac:dyDescent="0.25">
      <c r="A675">
        <v>309</v>
      </c>
      <c r="B675">
        <v>410470002002</v>
      </c>
      <c r="C675">
        <v>4.3231299999999997E-3</v>
      </c>
    </row>
    <row r="676" spans="1:3" x14ac:dyDescent="0.25">
      <c r="A676">
        <v>309</v>
      </c>
      <c r="B676">
        <v>410470002003</v>
      </c>
      <c r="C676">
        <v>1.1812599999999999E-2</v>
      </c>
    </row>
    <row r="677" spans="1:3" x14ac:dyDescent="0.25">
      <c r="A677">
        <v>309</v>
      </c>
      <c r="B677">
        <v>410470012001</v>
      </c>
      <c r="C677">
        <v>2.1336699999999998E-3</v>
      </c>
    </row>
    <row r="678" spans="1:3" x14ac:dyDescent="0.25">
      <c r="A678">
        <v>309</v>
      </c>
      <c r="B678">
        <v>410470013001</v>
      </c>
      <c r="C678">
        <v>5.313085E-2</v>
      </c>
    </row>
    <row r="679" spans="1:3" x14ac:dyDescent="0.25">
      <c r="A679">
        <v>309</v>
      </c>
      <c r="B679">
        <v>410470013002</v>
      </c>
      <c r="C679">
        <v>0.92859978999999992</v>
      </c>
    </row>
    <row r="680" spans="1:3" x14ac:dyDescent="0.25">
      <c r="A680">
        <v>310</v>
      </c>
      <c r="B680">
        <v>410470002003</v>
      </c>
      <c r="C680">
        <v>3.1513499999999998E-3</v>
      </c>
    </row>
    <row r="681" spans="1:3" x14ac:dyDescent="0.25">
      <c r="A681">
        <v>310</v>
      </c>
      <c r="B681">
        <v>410470012001</v>
      </c>
      <c r="C681">
        <v>0.99549763000000002</v>
      </c>
    </row>
    <row r="682" spans="1:3" x14ac:dyDescent="0.25">
      <c r="A682">
        <v>310</v>
      </c>
      <c r="B682">
        <v>410470012002</v>
      </c>
      <c r="C682">
        <v>4.1107999999999997E-4</v>
      </c>
    </row>
    <row r="683" spans="1:3" x14ac:dyDescent="0.25">
      <c r="A683">
        <v>310</v>
      </c>
      <c r="B683">
        <v>410470013001</v>
      </c>
      <c r="C683">
        <v>3.4299999999999998E-6</v>
      </c>
    </row>
    <row r="684" spans="1:3" x14ac:dyDescent="0.25">
      <c r="A684">
        <v>310</v>
      </c>
      <c r="B684">
        <v>410470013002</v>
      </c>
      <c r="C684">
        <v>9.3647999999999995E-4</v>
      </c>
    </row>
    <row r="685" spans="1:3" x14ac:dyDescent="0.25">
      <c r="A685">
        <v>312</v>
      </c>
      <c r="B685">
        <v>410470010001</v>
      </c>
      <c r="C685">
        <v>2.8851199999999997E-3</v>
      </c>
    </row>
    <row r="686" spans="1:3" x14ac:dyDescent="0.25">
      <c r="A686">
        <v>312</v>
      </c>
      <c r="B686">
        <v>410470010002</v>
      </c>
      <c r="C686">
        <v>0.96110997999999992</v>
      </c>
    </row>
    <row r="687" spans="1:3" x14ac:dyDescent="0.25">
      <c r="A687">
        <v>312</v>
      </c>
      <c r="B687">
        <v>410470012001</v>
      </c>
      <c r="C687">
        <v>2.1377320000000002E-2</v>
      </c>
    </row>
    <row r="688" spans="1:3" x14ac:dyDescent="0.25">
      <c r="A688">
        <v>312</v>
      </c>
      <c r="B688">
        <v>410470012002</v>
      </c>
      <c r="C688">
        <v>1.46275E-2</v>
      </c>
    </row>
    <row r="689" spans="1:3" x14ac:dyDescent="0.25">
      <c r="A689">
        <v>313</v>
      </c>
      <c r="B689">
        <v>410470009002</v>
      </c>
      <c r="C689">
        <v>5.3410899999999997E-3</v>
      </c>
    </row>
    <row r="690" spans="1:3" x14ac:dyDescent="0.25">
      <c r="A690">
        <v>313</v>
      </c>
      <c r="B690">
        <v>410470009003</v>
      </c>
      <c r="C690">
        <v>3.5714000000000004E-4</v>
      </c>
    </row>
    <row r="691" spans="1:3" x14ac:dyDescent="0.25">
      <c r="A691">
        <v>313</v>
      </c>
      <c r="B691">
        <v>410470010001</v>
      </c>
      <c r="C691">
        <v>0.98213413999999999</v>
      </c>
    </row>
    <row r="692" spans="1:3" x14ac:dyDescent="0.25">
      <c r="A692">
        <v>313</v>
      </c>
      <c r="B692">
        <v>410470010002</v>
      </c>
      <c r="C692">
        <v>1.201875E-2</v>
      </c>
    </row>
    <row r="693" spans="1:3" x14ac:dyDescent="0.25">
      <c r="A693">
        <v>313</v>
      </c>
      <c r="B693">
        <v>410470010003</v>
      </c>
      <c r="C693">
        <v>1.4888999999999999E-4</v>
      </c>
    </row>
    <row r="694" spans="1:3" x14ac:dyDescent="0.25">
      <c r="A694">
        <v>314</v>
      </c>
      <c r="B694">
        <v>410470012001</v>
      </c>
      <c r="C694">
        <v>1.3867999999999999E-4</v>
      </c>
    </row>
    <row r="695" spans="1:3" x14ac:dyDescent="0.25">
      <c r="A695">
        <v>314</v>
      </c>
      <c r="B695">
        <v>410470013001</v>
      </c>
      <c r="C695">
        <v>0.49244773000000003</v>
      </c>
    </row>
    <row r="696" spans="1:3" x14ac:dyDescent="0.25">
      <c r="A696">
        <v>314</v>
      </c>
      <c r="B696">
        <v>410470013002</v>
      </c>
      <c r="C696">
        <v>0.50741362000000001</v>
      </c>
    </row>
    <row r="697" spans="1:3" x14ac:dyDescent="0.25">
      <c r="A697">
        <v>322</v>
      </c>
      <c r="B697">
        <v>410470013001</v>
      </c>
      <c r="C697">
        <v>0.55662434999999999</v>
      </c>
    </row>
    <row r="698" spans="1:3" x14ac:dyDescent="0.25">
      <c r="A698">
        <v>322</v>
      </c>
      <c r="B698">
        <v>410470013003</v>
      </c>
      <c r="C698">
        <v>0.43578259000000003</v>
      </c>
    </row>
    <row r="699" spans="1:3" x14ac:dyDescent="0.25">
      <c r="A699">
        <v>322</v>
      </c>
      <c r="B699">
        <v>410470022011</v>
      </c>
      <c r="C699">
        <v>7.5931000000000002E-3</v>
      </c>
    </row>
    <row r="700" spans="1:3" x14ac:dyDescent="0.25">
      <c r="A700">
        <v>323</v>
      </c>
      <c r="B700">
        <v>410470013001</v>
      </c>
      <c r="C700">
        <v>6.7850999999999996E-3</v>
      </c>
    </row>
    <row r="701" spans="1:3" x14ac:dyDescent="0.25">
      <c r="A701">
        <v>323</v>
      </c>
      <c r="B701">
        <v>410470013003</v>
      </c>
      <c r="C701">
        <v>0.9869396399999999</v>
      </c>
    </row>
    <row r="702" spans="1:3" x14ac:dyDescent="0.25">
      <c r="A702">
        <v>323</v>
      </c>
      <c r="B702">
        <v>410470021011</v>
      </c>
      <c r="C702">
        <v>2.1925899999999999E-3</v>
      </c>
    </row>
    <row r="703" spans="1:3" x14ac:dyDescent="0.25">
      <c r="A703">
        <v>323</v>
      </c>
      <c r="B703">
        <v>410470022011</v>
      </c>
      <c r="C703">
        <v>4.0827099999999998E-3</v>
      </c>
    </row>
    <row r="704" spans="1:3" x14ac:dyDescent="0.25">
      <c r="A704">
        <v>324</v>
      </c>
      <c r="B704">
        <v>410470011001</v>
      </c>
      <c r="C704">
        <v>1.1026E-3</v>
      </c>
    </row>
    <row r="705" spans="1:3" x14ac:dyDescent="0.25">
      <c r="A705">
        <v>324</v>
      </c>
      <c r="B705">
        <v>410470011003</v>
      </c>
      <c r="C705">
        <v>4.6286E-4</v>
      </c>
    </row>
    <row r="706" spans="1:3" x14ac:dyDescent="0.25">
      <c r="A706">
        <v>324</v>
      </c>
      <c r="B706">
        <v>410470012001</v>
      </c>
      <c r="C706">
        <v>2.2706000000000002E-3</v>
      </c>
    </row>
    <row r="707" spans="1:3" x14ac:dyDescent="0.25">
      <c r="A707">
        <v>324</v>
      </c>
      <c r="B707">
        <v>410470012002</v>
      </c>
      <c r="C707">
        <v>0.99234658999999992</v>
      </c>
    </row>
    <row r="708" spans="1:3" x14ac:dyDescent="0.25">
      <c r="A708">
        <v>324</v>
      </c>
      <c r="B708">
        <v>410470013001</v>
      </c>
      <c r="C708">
        <v>1.48485E-3</v>
      </c>
    </row>
    <row r="709" spans="1:3" x14ac:dyDescent="0.25">
      <c r="A709">
        <v>324</v>
      </c>
      <c r="B709">
        <v>410470013003</v>
      </c>
      <c r="C709">
        <v>2.3325199999999998E-3</v>
      </c>
    </row>
    <row r="710" spans="1:3" x14ac:dyDescent="0.25">
      <c r="A710">
        <v>330</v>
      </c>
      <c r="B710">
        <v>410470010002</v>
      </c>
      <c r="C710">
        <v>0.91743814999999995</v>
      </c>
    </row>
    <row r="711" spans="1:3" x14ac:dyDescent="0.25">
      <c r="A711">
        <v>330</v>
      </c>
      <c r="B711">
        <v>410470010003</v>
      </c>
      <c r="C711">
        <v>7.4615070000000006E-2</v>
      </c>
    </row>
    <row r="712" spans="1:3" x14ac:dyDescent="0.25">
      <c r="A712">
        <v>330</v>
      </c>
      <c r="B712">
        <v>410470011001</v>
      </c>
      <c r="C712">
        <v>5.8050900000000006E-3</v>
      </c>
    </row>
    <row r="713" spans="1:3" x14ac:dyDescent="0.25">
      <c r="A713">
        <v>330</v>
      </c>
      <c r="B713">
        <v>410470011002</v>
      </c>
      <c r="C713">
        <v>2.14167E-3</v>
      </c>
    </row>
    <row r="714" spans="1:3" x14ac:dyDescent="0.25">
      <c r="A714">
        <v>332</v>
      </c>
      <c r="B714">
        <v>410470013001</v>
      </c>
      <c r="C714">
        <v>0.98780018999999997</v>
      </c>
    </row>
    <row r="715" spans="1:3" x14ac:dyDescent="0.25">
      <c r="A715">
        <v>332</v>
      </c>
      <c r="B715">
        <v>410470022011</v>
      </c>
      <c r="C715">
        <v>1.219981E-2</v>
      </c>
    </row>
    <row r="716" spans="1:3" x14ac:dyDescent="0.25">
      <c r="A716">
        <v>333</v>
      </c>
      <c r="B716">
        <v>410470013001</v>
      </c>
      <c r="C716">
        <v>6.7581999999999998E-3</v>
      </c>
    </row>
    <row r="717" spans="1:3" x14ac:dyDescent="0.25">
      <c r="A717">
        <v>333</v>
      </c>
      <c r="B717">
        <v>410470022011</v>
      </c>
      <c r="C717">
        <v>0.96566587999999998</v>
      </c>
    </row>
    <row r="718" spans="1:3" x14ac:dyDescent="0.25">
      <c r="A718">
        <v>333</v>
      </c>
      <c r="B718">
        <v>410470022021</v>
      </c>
      <c r="C718">
        <v>6.9305799999999996E-3</v>
      </c>
    </row>
    <row r="719" spans="1:3" x14ac:dyDescent="0.25">
      <c r="A719">
        <v>333</v>
      </c>
      <c r="B719">
        <v>410470024001</v>
      </c>
      <c r="C719">
        <v>2.0645359999999998E-2</v>
      </c>
    </row>
    <row r="720" spans="1:3" x14ac:dyDescent="0.25">
      <c r="A720">
        <v>334</v>
      </c>
      <c r="B720">
        <v>410470013003</v>
      </c>
      <c r="C720">
        <v>7.1246000000000005E-4</v>
      </c>
    </row>
    <row r="721" spans="1:3" x14ac:dyDescent="0.25">
      <c r="A721">
        <v>334</v>
      </c>
      <c r="B721">
        <v>410470021011</v>
      </c>
      <c r="C721">
        <v>1.7718999999999998E-4</v>
      </c>
    </row>
    <row r="722" spans="1:3" x14ac:dyDescent="0.25">
      <c r="A722">
        <v>334</v>
      </c>
      <c r="B722">
        <v>410470022011</v>
      </c>
      <c r="C722">
        <v>0.57378487999999994</v>
      </c>
    </row>
    <row r="723" spans="1:3" x14ac:dyDescent="0.25">
      <c r="A723">
        <v>334</v>
      </c>
      <c r="B723">
        <v>410470022012</v>
      </c>
      <c r="C723">
        <v>0.41879562999999997</v>
      </c>
    </row>
    <row r="724" spans="1:3" x14ac:dyDescent="0.25">
      <c r="A724">
        <v>334</v>
      </c>
      <c r="B724">
        <v>410470022021</v>
      </c>
      <c r="C724">
        <v>2.72873E-3</v>
      </c>
    </row>
    <row r="725" spans="1:3" x14ac:dyDescent="0.25">
      <c r="A725">
        <v>334</v>
      </c>
      <c r="B725">
        <v>410470022022</v>
      </c>
      <c r="C725">
        <v>3.8010899999999996E-3</v>
      </c>
    </row>
    <row r="726" spans="1:3" x14ac:dyDescent="0.25">
      <c r="A726">
        <v>335</v>
      </c>
      <c r="B726">
        <v>410470013003</v>
      </c>
      <c r="C726">
        <v>1.8900000000000001E-6</v>
      </c>
    </row>
    <row r="727" spans="1:3" x14ac:dyDescent="0.25">
      <c r="A727">
        <v>335</v>
      </c>
      <c r="B727">
        <v>410470021011</v>
      </c>
      <c r="C727">
        <v>0.56448005000000001</v>
      </c>
    </row>
    <row r="728" spans="1:3" x14ac:dyDescent="0.25">
      <c r="A728">
        <v>335</v>
      </c>
      <c r="B728">
        <v>410470021012</v>
      </c>
      <c r="C728">
        <v>0.40956248000000001</v>
      </c>
    </row>
    <row r="729" spans="1:3" x14ac:dyDescent="0.25">
      <c r="A729">
        <v>335</v>
      </c>
      <c r="B729">
        <v>410470021021</v>
      </c>
      <c r="C729">
        <v>1.2334700000000001E-2</v>
      </c>
    </row>
    <row r="730" spans="1:3" x14ac:dyDescent="0.25">
      <c r="A730">
        <v>335</v>
      </c>
      <c r="B730">
        <v>410470022011</v>
      </c>
      <c r="C730">
        <v>2.5658299999999998E-3</v>
      </c>
    </row>
    <row r="731" spans="1:3" x14ac:dyDescent="0.25">
      <c r="A731">
        <v>335</v>
      </c>
      <c r="B731">
        <v>410470022012</v>
      </c>
      <c r="C731">
        <v>3.3440599999999998E-3</v>
      </c>
    </row>
    <row r="732" spans="1:3" x14ac:dyDescent="0.25">
      <c r="A732">
        <v>335</v>
      </c>
      <c r="B732">
        <v>410470022021</v>
      </c>
      <c r="C732">
        <v>1.5321000000000001E-4</v>
      </c>
    </row>
    <row r="733" spans="1:3" x14ac:dyDescent="0.25">
      <c r="A733">
        <v>335</v>
      </c>
      <c r="B733">
        <v>410470022022</v>
      </c>
      <c r="C733">
        <v>7.5577700000000001E-3</v>
      </c>
    </row>
    <row r="734" spans="1:3" x14ac:dyDescent="0.25">
      <c r="A734">
        <v>336</v>
      </c>
      <c r="B734">
        <v>410470011001</v>
      </c>
      <c r="C734">
        <v>0.17601979000000001</v>
      </c>
    </row>
    <row r="735" spans="1:3" x14ac:dyDescent="0.25">
      <c r="A735">
        <v>336</v>
      </c>
      <c r="B735">
        <v>410470011002</v>
      </c>
      <c r="C735">
        <v>3.34702E-3</v>
      </c>
    </row>
    <row r="736" spans="1:3" x14ac:dyDescent="0.25">
      <c r="A736">
        <v>336</v>
      </c>
      <c r="B736">
        <v>410470011003</v>
      </c>
      <c r="C736">
        <v>0.80982343000000001</v>
      </c>
    </row>
    <row r="737" spans="1:3" x14ac:dyDescent="0.25">
      <c r="A737">
        <v>336</v>
      </c>
      <c r="B737">
        <v>410470012002</v>
      </c>
      <c r="C737">
        <v>1.42355E-3</v>
      </c>
    </row>
    <row r="738" spans="1:3" x14ac:dyDescent="0.25">
      <c r="A738">
        <v>336</v>
      </c>
      <c r="B738">
        <v>410470013003</v>
      </c>
      <c r="C738">
        <v>1.4987999999999999E-4</v>
      </c>
    </row>
    <row r="739" spans="1:3" x14ac:dyDescent="0.25">
      <c r="A739">
        <v>336</v>
      </c>
      <c r="B739">
        <v>410470021011</v>
      </c>
      <c r="C739">
        <v>9.2363099999999993E-3</v>
      </c>
    </row>
    <row r="740" spans="1:3" x14ac:dyDescent="0.25">
      <c r="A740">
        <v>338</v>
      </c>
      <c r="B740">
        <v>410470010002</v>
      </c>
      <c r="C740">
        <v>0.14594670000000001</v>
      </c>
    </row>
    <row r="741" spans="1:3" x14ac:dyDescent="0.25">
      <c r="A741">
        <v>338</v>
      </c>
      <c r="B741">
        <v>410470011001</v>
      </c>
      <c r="C741">
        <v>0.83776656999999999</v>
      </c>
    </row>
    <row r="742" spans="1:3" x14ac:dyDescent="0.25">
      <c r="A742">
        <v>338</v>
      </c>
      <c r="B742">
        <v>410470011002</v>
      </c>
      <c r="C742">
        <v>1.0539369999999999E-2</v>
      </c>
    </row>
    <row r="743" spans="1:3" x14ac:dyDescent="0.25">
      <c r="A743">
        <v>338</v>
      </c>
      <c r="B743">
        <v>410470011003</v>
      </c>
      <c r="C743">
        <v>1.6039900000000002E-3</v>
      </c>
    </row>
    <row r="744" spans="1:3" x14ac:dyDescent="0.25">
      <c r="A744">
        <v>338</v>
      </c>
      <c r="B744">
        <v>410470012002</v>
      </c>
      <c r="C744">
        <v>4.1434100000000001E-3</v>
      </c>
    </row>
    <row r="745" spans="1:3" x14ac:dyDescent="0.25">
      <c r="A745">
        <v>345</v>
      </c>
      <c r="B745">
        <v>410470024001</v>
      </c>
      <c r="C745">
        <v>0.99839490999999991</v>
      </c>
    </row>
    <row r="746" spans="1:3" x14ac:dyDescent="0.25">
      <c r="A746">
        <v>345</v>
      </c>
      <c r="B746">
        <v>410470024002</v>
      </c>
      <c r="C746">
        <v>1.60508E-3</v>
      </c>
    </row>
    <row r="747" spans="1:3" x14ac:dyDescent="0.25">
      <c r="A747">
        <v>346</v>
      </c>
      <c r="B747">
        <v>410470022021</v>
      </c>
      <c r="C747">
        <v>0.95815876</v>
      </c>
    </row>
    <row r="748" spans="1:3" x14ac:dyDescent="0.25">
      <c r="A748">
        <v>346</v>
      </c>
      <c r="B748">
        <v>410470024001</v>
      </c>
      <c r="C748">
        <v>4.1841280000000002E-2</v>
      </c>
    </row>
    <row r="749" spans="1:3" x14ac:dyDescent="0.25">
      <c r="A749">
        <v>347</v>
      </c>
      <c r="B749">
        <v>410470022011</v>
      </c>
      <c r="C749">
        <v>3.5836900000000001E-3</v>
      </c>
    </row>
    <row r="750" spans="1:3" x14ac:dyDescent="0.25">
      <c r="A750">
        <v>347</v>
      </c>
      <c r="B750">
        <v>410470022012</v>
      </c>
      <c r="C750">
        <v>8.1465999999999993E-4</v>
      </c>
    </row>
    <row r="751" spans="1:3" x14ac:dyDescent="0.25">
      <c r="A751">
        <v>347</v>
      </c>
      <c r="B751">
        <v>410470022021</v>
      </c>
      <c r="C751">
        <v>0.52122475000000001</v>
      </c>
    </row>
    <row r="752" spans="1:3" x14ac:dyDescent="0.25">
      <c r="A752">
        <v>347</v>
      </c>
      <c r="B752">
        <v>410470022022</v>
      </c>
      <c r="C752">
        <v>0.47437686999999995</v>
      </c>
    </row>
    <row r="753" spans="1:3" x14ac:dyDescent="0.25">
      <c r="A753">
        <v>350</v>
      </c>
      <c r="B753">
        <v>410470010003</v>
      </c>
      <c r="C753">
        <v>6.846932E-2</v>
      </c>
    </row>
    <row r="754" spans="1:3" x14ac:dyDescent="0.25">
      <c r="A754">
        <v>350</v>
      </c>
      <c r="B754">
        <v>410470011001</v>
      </c>
      <c r="C754">
        <v>3.0000000000000004E-8</v>
      </c>
    </row>
    <row r="755" spans="1:3" x14ac:dyDescent="0.25">
      <c r="A755">
        <v>350</v>
      </c>
      <c r="B755">
        <v>410470011002</v>
      </c>
      <c r="C755">
        <v>0.91831512999999998</v>
      </c>
    </row>
    <row r="756" spans="1:3" x14ac:dyDescent="0.25">
      <c r="A756">
        <v>350</v>
      </c>
      <c r="B756">
        <v>410470011003</v>
      </c>
      <c r="C756">
        <v>5.7967999999999995E-4</v>
      </c>
    </row>
    <row r="757" spans="1:3" x14ac:dyDescent="0.25">
      <c r="A757">
        <v>350</v>
      </c>
      <c r="B757">
        <v>410470020001</v>
      </c>
      <c r="C757">
        <v>1.5051999999999999E-3</v>
      </c>
    </row>
    <row r="758" spans="1:3" x14ac:dyDescent="0.25">
      <c r="A758">
        <v>350</v>
      </c>
      <c r="B758">
        <v>410470021011</v>
      </c>
      <c r="C758">
        <v>5.22537E-3</v>
      </c>
    </row>
    <row r="759" spans="1:3" x14ac:dyDescent="0.25">
      <c r="A759">
        <v>350</v>
      </c>
      <c r="B759">
        <v>410470021012</v>
      </c>
      <c r="C759">
        <v>1.3783799999999998E-3</v>
      </c>
    </row>
    <row r="760" spans="1:3" x14ac:dyDescent="0.25">
      <c r="A760">
        <v>350</v>
      </c>
      <c r="B760">
        <v>410470021021</v>
      </c>
      <c r="C760">
        <v>4.5268499999999998E-3</v>
      </c>
    </row>
    <row r="761" spans="1:3" x14ac:dyDescent="0.25">
      <c r="A761">
        <v>354</v>
      </c>
      <c r="B761">
        <v>410470010001</v>
      </c>
      <c r="C761">
        <v>1.7049000000000003E-4</v>
      </c>
    </row>
    <row r="762" spans="1:3" x14ac:dyDescent="0.25">
      <c r="A762">
        <v>354</v>
      </c>
      <c r="B762">
        <v>410470010002</v>
      </c>
      <c r="C762">
        <v>6.1032000000000002E-4</v>
      </c>
    </row>
    <row r="763" spans="1:3" x14ac:dyDescent="0.25">
      <c r="A763">
        <v>354</v>
      </c>
      <c r="B763">
        <v>410470010003</v>
      </c>
      <c r="C763">
        <v>0.99060451000000005</v>
      </c>
    </row>
    <row r="764" spans="1:3" x14ac:dyDescent="0.25">
      <c r="A764">
        <v>354</v>
      </c>
      <c r="B764">
        <v>410470011002</v>
      </c>
      <c r="C764">
        <v>4.8773999999999996E-4</v>
      </c>
    </row>
    <row r="765" spans="1:3" x14ac:dyDescent="0.25">
      <c r="A765">
        <v>354</v>
      </c>
      <c r="B765">
        <v>410470018032</v>
      </c>
      <c r="C765">
        <v>4.26013E-3</v>
      </c>
    </row>
    <row r="766" spans="1:3" x14ac:dyDescent="0.25">
      <c r="A766">
        <v>354</v>
      </c>
      <c r="B766">
        <v>410470020001</v>
      </c>
      <c r="C766">
        <v>2.3627699999999997E-3</v>
      </c>
    </row>
    <row r="767" spans="1:3" x14ac:dyDescent="0.25">
      <c r="A767">
        <v>354</v>
      </c>
      <c r="B767">
        <v>410470020002</v>
      </c>
      <c r="C767">
        <v>1.4144399999999999E-3</v>
      </c>
    </row>
    <row r="768" spans="1:3" x14ac:dyDescent="0.25">
      <c r="A768">
        <v>354</v>
      </c>
      <c r="B768">
        <v>410470020003</v>
      </c>
      <c r="C768">
        <v>8.9610000000000004E-5</v>
      </c>
    </row>
    <row r="769" spans="1:3" x14ac:dyDescent="0.25">
      <c r="A769">
        <v>357</v>
      </c>
      <c r="B769">
        <v>410470011002</v>
      </c>
      <c r="C769">
        <v>3.1158000000000002E-3</v>
      </c>
    </row>
    <row r="770" spans="1:3" x14ac:dyDescent="0.25">
      <c r="A770">
        <v>357</v>
      </c>
      <c r="B770">
        <v>410470020001</v>
      </c>
      <c r="C770">
        <v>0.80261781999999993</v>
      </c>
    </row>
    <row r="771" spans="1:3" x14ac:dyDescent="0.25">
      <c r="A771">
        <v>357</v>
      </c>
      <c r="B771">
        <v>410470020002</v>
      </c>
      <c r="C771">
        <v>0.19265549000000001</v>
      </c>
    </row>
    <row r="772" spans="1:3" x14ac:dyDescent="0.25">
      <c r="A772">
        <v>357</v>
      </c>
      <c r="B772">
        <v>410470021021</v>
      </c>
      <c r="C772">
        <v>3.9281000000000006E-4</v>
      </c>
    </row>
    <row r="773" spans="1:3" x14ac:dyDescent="0.25">
      <c r="A773">
        <v>357</v>
      </c>
      <c r="B773">
        <v>410470021024</v>
      </c>
      <c r="C773">
        <v>1.2180399999999999E-3</v>
      </c>
    </row>
    <row r="774" spans="1:3" x14ac:dyDescent="0.25">
      <c r="A774">
        <v>358</v>
      </c>
      <c r="B774">
        <v>410470021021</v>
      </c>
      <c r="C774">
        <v>0.99899012999999992</v>
      </c>
    </row>
    <row r="775" spans="1:3" x14ac:dyDescent="0.25">
      <c r="A775">
        <v>358</v>
      </c>
      <c r="B775">
        <v>410470021022</v>
      </c>
      <c r="C775">
        <v>3.7169999999999998E-5</v>
      </c>
    </row>
    <row r="776" spans="1:3" x14ac:dyDescent="0.25">
      <c r="A776">
        <v>358</v>
      </c>
      <c r="B776">
        <v>410470021024</v>
      </c>
      <c r="C776">
        <v>9.7267999999999996E-4</v>
      </c>
    </row>
    <row r="777" spans="1:3" x14ac:dyDescent="0.25">
      <c r="A777">
        <v>359</v>
      </c>
      <c r="B777">
        <v>410470021021</v>
      </c>
      <c r="C777">
        <v>0.52379661</v>
      </c>
    </row>
    <row r="778" spans="1:3" x14ac:dyDescent="0.25">
      <c r="A778">
        <v>359</v>
      </c>
      <c r="B778">
        <v>410470021022</v>
      </c>
      <c r="C778">
        <v>0.46543783</v>
      </c>
    </row>
    <row r="779" spans="1:3" x14ac:dyDescent="0.25">
      <c r="A779">
        <v>359</v>
      </c>
      <c r="B779">
        <v>410470021023</v>
      </c>
      <c r="C779">
        <v>9.3499000000000002E-4</v>
      </c>
    </row>
    <row r="780" spans="1:3" x14ac:dyDescent="0.25">
      <c r="A780">
        <v>359</v>
      </c>
      <c r="B780">
        <v>410470022021</v>
      </c>
      <c r="C780">
        <v>8.1508399999999995E-3</v>
      </c>
    </row>
    <row r="781" spans="1:3" x14ac:dyDescent="0.25">
      <c r="A781">
        <v>359</v>
      </c>
      <c r="B781">
        <v>410470022023</v>
      </c>
      <c r="C781">
        <v>1.6797100000000001E-3</v>
      </c>
    </row>
    <row r="782" spans="1:3" x14ac:dyDescent="0.25">
      <c r="A782">
        <v>360</v>
      </c>
      <c r="B782">
        <v>410470022021</v>
      </c>
      <c r="C782">
        <v>0.87385915999999997</v>
      </c>
    </row>
    <row r="783" spans="1:3" x14ac:dyDescent="0.25">
      <c r="A783">
        <v>360</v>
      </c>
      <c r="B783">
        <v>410470022022</v>
      </c>
      <c r="C783">
        <v>0.11628624999999999</v>
      </c>
    </row>
    <row r="784" spans="1:3" x14ac:dyDescent="0.25">
      <c r="A784">
        <v>360</v>
      </c>
      <c r="B784">
        <v>410470022023</v>
      </c>
      <c r="C784">
        <v>9.8546799999999993E-3</v>
      </c>
    </row>
    <row r="785" spans="1:3" x14ac:dyDescent="0.25">
      <c r="A785">
        <v>361</v>
      </c>
      <c r="B785">
        <v>410470022021</v>
      </c>
      <c r="C785">
        <v>0.94632897000000005</v>
      </c>
    </row>
    <row r="786" spans="1:3" x14ac:dyDescent="0.25">
      <c r="A786">
        <v>361</v>
      </c>
      <c r="B786">
        <v>410470022023</v>
      </c>
      <c r="C786">
        <v>8.7808000000000001E-3</v>
      </c>
    </row>
    <row r="787" spans="1:3" x14ac:dyDescent="0.25">
      <c r="A787">
        <v>361</v>
      </c>
      <c r="B787">
        <v>410470024001</v>
      </c>
      <c r="C787">
        <v>4.4890160000000005E-2</v>
      </c>
    </row>
    <row r="788" spans="1:3" x14ac:dyDescent="0.25">
      <c r="A788">
        <v>362</v>
      </c>
      <c r="B788">
        <v>410470022021</v>
      </c>
      <c r="C788">
        <v>0.94193085999999993</v>
      </c>
    </row>
    <row r="789" spans="1:3" x14ac:dyDescent="0.25">
      <c r="A789">
        <v>362</v>
      </c>
      <c r="B789">
        <v>410470024001</v>
      </c>
      <c r="C789">
        <v>3.4985750000000003E-2</v>
      </c>
    </row>
    <row r="790" spans="1:3" x14ac:dyDescent="0.25">
      <c r="A790">
        <v>362</v>
      </c>
      <c r="B790">
        <v>410470024002</v>
      </c>
      <c r="C790">
        <v>2.30835E-2</v>
      </c>
    </row>
    <row r="791" spans="1:3" x14ac:dyDescent="0.25">
      <c r="A791">
        <v>363</v>
      </c>
      <c r="B791">
        <v>410470022021</v>
      </c>
      <c r="C791">
        <v>0.26295097000000001</v>
      </c>
    </row>
    <row r="792" spans="1:3" x14ac:dyDescent="0.25">
      <c r="A792">
        <v>363</v>
      </c>
      <c r="B792">
        <v>410470022023</v>
      </c>
      <c r="C792">
        <v>0.71386913000000007</v>
      </c>
    </row>
    <row r="793" spans="1:3" x14ac:dyDescent="0.25">
      <c r="A793">
        <v>363</v>
      </c>
      <c r="B793">
        <v>410470024001</v>
      </c>
      <c r="C793">
        <v>2.2562910000000002E-2</v>
      </c>
    </row>
    <row r="794" spans="1:3" x14ac:dyDescent="0.25">
      <c r="A794">
        <v>363</v>
      </c>
      <c r="B794">
        <v>410470024002</v>
      </c>
      <c r="C794">
        <v>6.1698000000000005E-4</v>
      </c>
    </row>
    <row r="795" spans="1:3" x14ac:dyDescent="0.25">
      <c r="A795">
        <v>365</v>
      </c>
      <c r="B795">
        <v>410470021023</v>
      </c>
      <c r="C795">
        <v>4.2300000000000002E-6</v>
      </c>
    </row>
    <row r="796" spans="1:3" x14ac:dyDescent="0.25">
      <c r="A796">
        <v>365</v>
      </c>
      <c r="B796">
        <v>410470022023</v>
      </c>
      <c r="C796">
        <v>0.97071337000000002</v>
      </c>
    </row>
    <row r="797" spans="1:3" x14ac:dyDescent="0.25">
      <c r="A797">
        <v>365</v>
      </c>
      <c r="B797">
        <v>410470023011</v>
      </c>
      <c r="C797">
        <v>2.9282229999999999E-2</v>
      </c>
    </row>
    <row r="798" spans="1:3" x14ac:dyDescent="0.25">
      <c r="A798">
        <v>366</v>
      </c>
      <c r="B798">
        <v>410470021022</v>
      </c>
      <c r="C798">
        <v>1.371E-3</v>
      </c>
    </row>
    <row r="799" spans="1:3" x14ac:dyDescent="0.25">
      <c r="A799">
        <v>366</v>
      </c>
      <c r="B799">
        <v>410470021023</v>
      </c>
      <c r="C799">
        <v>0.74756193999999998</v>
      </c>
    </row>
    <row r="800" spans="1:3" x14ac:dyDescent="0.25">
      <c r="A800">
        <v>366</v>
      </c>
      <c r="B800">
        <v>410470021024</v>
      </c>
      <c r="C800">
        <v>4.1362999999999995E-4</v>
      </c>
    </row>
    <row r="801" spans="1:3" x14ac:dyDescent="0.25">
      <c r="A801">
        <v>366</v>
      </c>
      <c r="B801">
        <v>410470022023</v>
      </c>
      <c r="C801">
        <v>3.9768299999999998E-3</v>
      </c>
    </row>
    <row r="802" spans="1:3" x14ac:dyDescent="0.25">
      <c r="A802">
        <v>366</v>
      </c>
      <c r="B802">
        <v>410470023011</v>
      </c>
      <c r="C802">
        <v>7.4330999999999996E-4</v>
      </c>
    </row>
    <row r="803" spans="1:3" x14ac:dyDescent="0.25">
      <c r="A803">
        <v>366</v>
      </c>
      <c r="B803">
        <v>410470023031</v>
      </c>
      <c r="C803">
        <v>0.24562849</v>
      </c>
    </row>
    <row r="804" spans="1:3" x14ac:dyDescent="0.25">
      <c r="A804">
        <v>366</v>
      </c>
      <c r="B804">
        <v>410470023032</v>
      </c>
      <c r="C804">
        <v>3.0488999999999999E-4</v>
      </c>
    </row>
    <row r="805" spans="1:3" x14ac:dyDescent="0.25">
      <c r="A805">
        <v>368</v>
      </c>
      <c r="B805">
        <v>410470020001</v>
      </c>
      <c r="C805">
        <v>4.0020000000000006E-5</v>
      </c>
    </row>
    <row r="806" spans="1:3" x14ac:dyDescent="0.25">
      <c r="A806">
        <v>368</v>
      </c>
      <c r="B806">
        <v>410470020002</v>
      </c>
      <c r="C806">
        <v>1.4638999999999999E-4</v>
      </c>
    </row>
    <row r="807" spans="1:3" x14ac:dyDescent="0.25">
      <c r="A807">
        <v>368</v>
      </c>
      <c r="B807">
        <v>410470021021</v>
      </c>
      <c r="C807">
        <v>9.4498E-4</v>
      </c>
    </row>
    <row r="808" spans="1:3" x14ac:dyDescent="0.25">
      <c r="A808">
        <v>368</v>
      </c>
      <c r="B808">
        <v>410470021022</v>
      </c>
      <c r="C808">
        <v>1.09398E-3</v>
      </c>
    </row>
    <row r="809" spans="1:3" x14ac:dyDescent="0.25">
      <c r="A809">
        <v>368</v>
      </c>
      <c r="B809">
        <v>410470021023</v>
      </c>
      <c r="C809">
        <v>4.7691999999999998E-4</v>
      </c>
    </row>
    <row r="810" spans="1:3" x14ac:dyDescent="0.25">
      <c r="A810">
        <v>368</v>
      </c>
      <c r="B810">
        <v>410470021024</v>
      </c>
      <c r="C810">
        <v>0.78039411999999997</v>
      </c>
    </row>
    <row r="811" spans="1:3" x14ac:dyDescent="0.25">
      <c r="A811">
        <v>368</v>
      </c>
      <c r="B811">
        <v>410470023031</v>
      </c>
      <c r="C811">
        <v>1.0849999999999999E-5</v>
      </c>
    </row>
    <row r="812" spans="1:3" x14ac:dyDescent="0.25">
      <c r="A812">
        <v>368</v>
      </c>
      <c r="B812">
        <v>410470023032</v>
      </c>
      <c r="C812">
        <v>0.17999054</v>
      </c>
    </row>
    <row r="813" spans="1:3" x14ac:dyDescent="0.25">
      <c r="A813">
        <v>368</v>
      </c>
      <c r="B813">
        <v>410470023033</v>
      </c>
      <c r="C813">
        <v>3.6902210000000005E-2</v>
      </c>
    </row>
    <row r="814" spans="1:3" x14ac:dyDescent="0.25">
      <c r="A814">
        <v>373</v>
      </c>
      <c r="B814">
        <v>410470010003</v>
      </c>
      <c r="C814">
        <v>3.4599000000000001E-3</v>
      </c>
    </row>
    <row r="815" spans="1:3" x14ac:dyDescent="0.25">
      <c r="A815">
        <v>373</v>
      </c>
      <c r="B815">
        <v>410470018032</v>
      </c>
      <c r="C815">
        <v>6.7313900000000003E-3</v>
      </c>
    </row>
    <row r="816" spans="1:3" x14ac:dyDescent="0.25">
      <c r="A816">
        <v>373</v>
      </c>
      <c r="B816">
        <v>410470020002</v>
      </c>
      <c r="C816">
        <v>1.3282849999999999E-2</v>
      </c>
    </row>
    <row r="817" spans="1:3" x14ac:dyDescent="0.25">
      <c r="A817">
        <v>373</v>
      </c>
      <c r="B817">
        <v>410470020003</v>
      </c>
      <c r="C817">
        <v>0.97148582000000006</v>
      </c>
    </row>
    <row r="818" spans="1:3" x14ac:dyDescent="0.25">
      <c r="A818">
        <v>373</v>
      </c>
      <c r="B818">
        <v>410470020004</v>
      </c>
      <c r="C818">
        <v>5.0311799999999997E-3</v>
      </c>
    </row>
    <row r="819" spans="1:3" x14ac:dyDescent="0.25">
      <c r="A819">
        <v>373</v>
      </c>
      <c r="B819">
        <v>410470027003</v>
      </c>
      <c r="C819">
        <v>8.8999999999999995E-6</v>
      </c>
    </row>
    <row r="820" spans="1:3" x14ac:dyDescent="0.25">
      <c r="A820">
        <v>374</v>
      </c>
      <c r="B820">
        <v>410470020002</v>
      </c>
      <c r="C820">
        <v>0.97914491000000003</v>
      </c>
    </row>
    <row r="821" spans="1:3" x14ac:dyDescent="0.25">
      <c r="A821">
        <v>374</v>
      </c>
      <c r="B821">
        <v>410470020003</v>
      </c>
      <c r="C821">
        <v>1.6466999999999998E-4</v>
      </c>
    </row>
    <row r="822" spans="1:3" x14ac:dyDescent="0.25">
      <c r="A822">
        <v>374</v>
      </c>
      <c r="B822">
        <v>410470020004</v>
      </c>
      <c r="C822">
        <v>2.0011000000000001E-4</v>
      </c>
    </row>
    <row r="823" spans="1:3" x14ac:dyDescent="0.25">
      <c r="A823">
        <v>374</v>
      </c>
      <c r="B823">
        <v>410470023033</v>
      </c>
      <c r="C823">
        <v>1.564111E-2</v>
      </c>
    </row>
    <row r="824" spans="1:3" x14ac:dyDescent="0.25">
      <c r="A824">
        <v>374</v>
      </c>
      <c r="B824">
        <v>410470023042</v>
      </c>
      <c r="C824">
        <v>4.8385600000000004E-3</v>
      </c>
    </row>
    <row r="825" spans="1:3" x14ac:dyDescent="0.25">
      <c r="A825">
        <v>374</v>
      </c>
      <c r="B825">
        <v>410470023043</v>
      </c>
      <c r="C825">
        <v>1.0669999999999999E-5</v>
      </c>
    </row>
    <row r="826" spans="1:3" x14ac:dyDescent="0.25">
      <c r="A826">
        <v>376</v>
      </c>
      <c r="B826">
        <v>410470023032</v>
      </c>
      <c r="C826">
        <v>1.3236700000000001E-3</v>
      </c>
    </row>
    <row r="827" spans="1:3" x14ac:dyDescent="0.25">
      <c r="A827">
        <v>376</v>
      </c>
      <c r="B827">
        <v>410470023033</v>
      </c>
      <c r="C827">
        <v>0.9986763500000001</v>
      </c>
    </row>
    <row r="828" spans="1:3" x14ac:dyDescent="0.25">
      <c r="A828">
        <v>378</v>
      </c>
      <c r="B828">
        <v>410470023031</v>
      </c>
      <c r="C828">
        <v>0.29605319000000002</v>
      </c>
    </row>
    <row r="829" spans="1:3" x14ac:dyDescent="0.25">
      <c r="A829">
        <v>378</v>
      </c>
      <c r="B829">
        <v>410470023032</v>
      </c>
      <c r="C829">
        <v>0.7037327000000001</v>
      </c>
    </row>
    <row r="830" spans="1:3" x14ac:dyDescent="0.25">
      <c r="A830">
        <v>378</v>
      </c>
      <c r="B830">
        <v>410470023033</v>
      </c>
      <c r="C830">
        <v>2.1409000000000001E-4</v>
      </c>
    </row>
    <row r="831" spans="1:3" x14ac:dyDescent="0.25">
      <c r="A831">
        <v>379</v>
      </c>
      <c r="B831">
        <v>410470023011</v>
      </c>
      <c r="C831">
        <v>2.14255E-3</v>
      </c>
    </row>
    <row r="832" spans="1:3" x14ac:dyDescent="0.25">
      <c r="A832">
        <v>379</v>
      </c>
      <c r="B832">
        <v>410470023031</v>
      </c>
      <c r="C832">
        <v>0.99766041999999999</v>
      </c>
    </row>
    <row r="833" spans="1:3" x14ac:dyDescent="0.25">
      <c r="A833">
        <v>379</v>
      </c>
      <c r="B833">
        <v>410470023032</v>
      </c>
      <c r="C833">
        <v>1.9702999999999998E-4</v>
      </c>
    </row>
    <row r="834" spans="1:3" x14ac:dyDescent="0.25">
      <c r="A834">
        <v>380</v>
      </c>
      <c r="B834">
        <v>410470022023</v>
      </c>
      <c r="C834">
        <v>2.3779999999999998E-4</v>
      </c>
    </row>
    <row r="835" spans="1:3" x14ac:dyDescent="0.25">
      <c r="A835">
        <v>380</v>
      </c>
      <c r="B835">
        <v>410470023011</v>
      </c>
      <c r="C835">
        <v>0.78156375</v>
      </c>
    </row>
    <row r="836" spans="1:3" x14ac:dyDescent="0.25">
      <c r="A836">
        <v>380</v>
      </c>
      <c r="B836">
        <v>410470023012</v>
      </c>
      <c r="C836">
        <v>0.2160762</v>
      </c>
    </row>
    <row r="837" spans="1:3" x14ac:dyDescent="0.25">
      <c r="A837">
        <v>380</v>
      </c>
      <c r="B837">
        <v>410470023031</v>
      </c>
      <c r="C837">
        <v>3.5303999999999999E-4</v>
      </c>
    </row>
    <row r="838" spans="1:3" x14ac:dyDescent="0.25">
      <c r="A838">
        <v>380</v>
      </c>
      <c r="B838">
        <v>410470024002</v>
      </c>
      <c r="C838">
        <v>1.7691899999999999E-3</v>
      </c>
    </row>
    <row r="839" spans="1:3" x14ac:dyDescent="0.25">
      <c r="A839">
        <v>381</v>
      </c>
      <c r="B839">
        <v>410470022023</v>
      </c>
      <c r="C839">
        <v>4.2153900000000003E-3</v>
      </c>
    </row>
    <row r="840" spans="1:3" x14ac:dyDescent="0.25">
      <c r="A840">
        <v>381</v>
      </c>
      <c r="B840">
        <v>410470023011</v>
      </c>
      <c r="C840">
        <v>3.7417000000000001E-3</v>
      </c>
    </row>
    <row r="841" spans="1:3" x14ac:dyDescent="0.25">
      <c r="A841">
        <v>381</v>
      </c>
      <c r="B841">
        <v>410470024002</v>
      </c>
      <c r="C841">
        <v>0.99204288000000007</v>
      </c>
    </row>
    <row r="842" spans="1:3" x14ac:dyDescent="0.25">
      <c r="A842">
        <v>382</v>
      </c>
      <c r="B842">
        <v>410470023011</v>
      </c>
      <c r="C842">
        <v>2.9974E-4</v>
      </c>
    </row>
    <row r="843" spans="1:3" x14ac:dyDescent="0.25">
      <c r="A843">
        <v>382</v>
      </c>
      <c r="B843">
        <v>410470023012</v>
      </c>
      <c r="C843">
        <v>1.9626599999999998E-3</v>
      </c>
    </row>
    <row r="844" spans="1:3" x14ac:dyDescent="0.25">
      <c r="A844">
        <v>382</v>
      </c>
      <c r="B844">
        <v>410470023031</v>
      </c>
      <c r="C844">
        <v>0.37621476999999998</v>
      </c>
    </row>
    <row r="845" spans="1:3" x14ac:dyDescent="0.25">
      <c r="A845">
        <v>382</v>
      </c>
      <c r="B845">
        <v>410470023041</v>
      </c>
      <c r="C845">
        <v>0.62152282999999997</v>
      </c>
    </row>
    <row r="846" spans="1:3" x14ac:dyDescent="0.25">
      <c r="A846">
        <v>383</v>
      </c>
      <c r="B846">
        <v>410470023031</v>
      </c>
      <c r="C846">
        <v>0.32015621999999999</v>
      </c>
    </row>
    <row r="847" spans="1:3" x14ac:dyDescent="0.25">
      <c r="A847">
        <v>383</v>
      </c>
      <c r="B847">
        <v>410470023041</v>
      </c>
      <c r="C847">
        <v>0.67974573999999999</v>
      </c>
    </row>
    <row r="848" spans="1:3" x14ac:dyDescent="0.25">
      <c r="A848">
        <v>383</v>
      </c>
      <c r="B848">
        <v>410470023043</v>
      </c>
      <c r="C848">
        <v>9.8049999999999998E-5</v>
      </c>
    </row>
    <row r="849" spans="1:3" x14ac:dyDescent="0.25">
      <c r="A849">
        <v>384</v>
      </c>
      <c r="B849">
        <v>410470023031</v>
      </c>
      <c r="C849">
        <v>7.4014999999999997E-4</v>
      </c>
    </row>
    <row r="850" spans="1:3" x14ac:dyDescent="0.25">
      <c r="A850">
        <v>384</v>
      </c>
      <c r="B850">
        <v>410470023032</v>
      </c>
      <c r="C850">
        <v>8.6861999999999996E-4</v>
      </c>
    </row>
    <row r="851" spans="1:3" x14ac:dyDescent="0.25">
      <c r="A851">
        <v>384</v>
      </c>
      <c r="B851">
        <v>410470023033</v>
      </c>
      <c r="C851">
        <v>0.49339384000000003</v>
      </c>
    </row>
    <row r="852" spans="1:3" x14ac:dyDescent="0.25">
      <c r="A852">
        <v>384</v>
      </c>
      <c r="B852">
        <v>410470023041</v>
      </c>
      <c r="C852">
        <v>5.1835E-4</v>
      </c>
    </row>
    <row r="853" spans="1:3" x14ac:dyDescent="0.25">
      <c r="A853">
        <v>384</v>
      </c>
      <c r="B853">
        <v>410470023042</v>
      </c>
      <c r="C853">
        <v>0.49954276999999997</v>
      </c>
    </row>
    <row r="854" spans="1:3" x14ac:dyDescent="0.25">
      <c r="A854">
        <v>384</v>
      </c>
      <c r="B854">
        <v>410470023043</v>
      </c>
      <c r="C854">
        <v>4.93634E-3</v>
      </c>
    </row>
    <row r="855" spans="1:3" x14ac:dyDescent="0.25">
      <c r="A855">
        <v>388</v>
      </c>
      <c r="B855">
        <v>410470020002</v>
      </c>
      <c r="C855">
        <v>7.5703999999999995E-4</v>
      </c>
    </row>
    <row r="856" spans="1:3" x14ac:dyDescent="0.25">
      <c r="A856">
        <v>388</v>
      </c>
      <c r="B856">
        <v>410470020004</v>
      </c>
      <c r="C856">
        <v>0.99831720000000002</v>
      </c>
    </row>
    <row r="857" spans="1:3" x14ac:dyDescent="0.25">
      <c r="A857">
        <v>388</v>
      </c>
      <c r="B857">
        <v>410470027003</v>
      </c>
      <c r="C857">
        <v>9.2568000000000001E-4</v>
      </c>
    </row>
    <row r="858" spans="1:3" x14ac:dyDescent="0.25">
      <c r="A858">
        <v>389</v>
      </c>
      <c r="B858">
        <v>410470020002</v>
      </c>
      <c r="C858">
        <v>2.1218000000000002E-4</v>
      </c>
    </row>
    <row r="859" spans="1:3" x14ac:dyDescent="0.25">
      <c r="A859">
        <v>389</v>
      </c>
      <c r="B859">
        <v>410470020004</v>
      </c>
      <c r="C859">
        <v>0.89974394999999996</v>
      </c>
    </row>
    <row r="860" spans="1:3" x14ac:dyDescent="0.25">
      <c r="A860">
        <v>389</v>
      </c>
      <c r="B860">
        <v>410470023043</v>
      </c>
      <c r="C860">
        <v>1.107381E-2</v>
      </c>
    </row>
    <row r="861" spans="1:3" x14ac:dyDescent="0.25">
      <c r="A861">
        <v>389</v>
      </c>
      <c r="B861">
        <v>410470027003</v>
      </c>
      <c r="C861">
        <v>2.6376360000000001E-2</v>
      </c>
    </row>
    <row r="862" spans="1:3" x14ac:dyDescent="0.25">
      <c r="A862">
        <v>389</v>
      </c>
      <c r="B862">
        <v>410470028002</v>
      </c>
      <c r="C862">
        <v>6.2593709999999997E-2</v>
      </c>
    </row>
    <row r="863" spans="1:3" x14ac:dyDescent="0.25">
      <c r="A863">
        <v>390</v>
      </c>
      <c r="B863">
        <v>410470023041</v>
      </c>
      <c r="C863">
        <v>1.9911499999999997E-3</v>
      </c>
    </row>
    <row r="864" spans="1:3" x14ac:dyDescent="0.25">
      <c r="A864">
        <v>390</v>
      </c>
      <c r="B864">
        <v>410470023042</v>
      </c>
      <c r="C864">
        <v>1.1595900000000001E-3</v>
      </c>
    </row>
    <row r="865" spans="1:3" x14ac:dyDescent="0.25">
      <c r="A865">
        <v>390</v>
      </c>
      <c r="B865">
        <v>410470023043</v>
      </c>
      <c r="C865">
        <v>0.54955249000000006</v>
      </c>
    </row>
    <row r="866" spans="1:3" x14ac:dyDescent="0.25">
      <c r="A866">
        <v>390</v>
      </c>
      <c r="B866">
        <v>410470023044</v>
      </c>
      <c r="C866">
        <v>0.38240679999999999</v>
      </c>
    </row>
    <row r="867" spans="1:3" x14ac:dyDescent="0.25">
      <c r="A867">
        <v>390</v>
      </c>
      <c r="B867">
        <v>410470028002</v>
      </c>
      <c r="C867">
        <v>6.4889970000000005E-2</v>
      </c>
    </row>
    <row r="868" spans="1:3" x14ac:dyDescent="0.25">
      <c r="A868">
        <v>395</v>
      </c>
      <c r="B868">
        <v>410470010003</v>
      </c>
      <c r="C868">
        <v>7.7720000000000008E-5</v>
      </c>
    </row>
    <row r="869" spans="1:3" x14ac:dyDescent="0.25">
      <c r="A869">
        <v>395</v>
      </c>
      <c r="B869">
        <v>410470018012</v>
      </c>
      <c r="C869">
        <v>6.0836000000000006E-4</v>
      </c>
    </row>
    <row r="870" spans="1:3" x14ac:dyDescent="0.25">
      <c r="A870">
        <v>395</v>
      </c>
      <c r="B870">
        <v>410470018021</v>
      </c>
      <c r="C870">
        <v>7.5310000000000009E-5</v>
      </c>
    </row>
    <row r="871" spans="1:3" x14ac:dyDescent="0.25">
      <c r="A871">
        <v>395</v>
      </c>
      <c r="B871">
        <v>410470018031</v>
      </c>
      <c r="C871">
        <v>7.2196000000000001E-4</v>
      </c>
    </row>
    <row r="872" spans="1:3" x14ac:dyDescent="0.25">
      <c r="A872">
        <v>395</v>
      </c>
      <c r="B872">
        <v>410470018032</v>
      </c>
      <c r="C872">
        <v>0.95738495999999995</v>
      </c>
    </row>
    <row r="873" spans="1:3" x14ac:dyDescent="0.25">
      <c r="A873">
        <v>395</v>
      </c>
      <c r="B873">
        <v>410470027001</v>
      </c>
      <c r="C873">
        <v>4.0892959999999999E-2</v>
      </c>
    </row>
    <row r="874" spans="1:3" x14ac:dyDescent="0.25">
      <c r="A874">
        <v>395</v>
      </c>
      <c r="B874">
        <v>410470027003</v>
      </c>
      <c r="C874">
        <v>2.3067000000000001E-4</v>
      </c>
    </row>
    <row r="875" spans="1:3" x14ac:dyDescent="0.25">
      <c r="A875">
        <v>395</v>
      </c>
      <c r="B875">
        <v>410470027005</v>
      </c>
      <c r="C875">
        <v>8.0800000000000006E-6</v>
      </c>
    </row>
    <row r="876" spans="1:3" x14ac:dyDescent="0.25">
      <c r="A876">
        <v>396</v>
      </c>
      <c r="B876">
        <v>410470018031</v>
      </c>
      <c r="C876">
        <v>0.99119409000000003</v>
      </c>
    </row>
    <row r="877" spans="1:3" x14ac:dyDescent="0.25">
      <c r="A877">
        <v>396</v>
      </c>
      <c r="B877">
        <v>410470018032</v>
      </c>
      <c r="C877">
        <v>8.8059599999999998E-3</v>
      </c>
    </row>
    <row r="878" spans="1:3" x14ac:dyDescent="0.25">
      <c r="A878">
        <v>411</v>
      </c>
      <c r="B878">
        <v>410470018032</v>
      </c>
      <c r="C878">
        <v>0.61016325999999999</v>
      </c>
    </row>
    <row r="879" spans="1:3" x14ac:dyDescent="0.25">
      <c r="A879">
        <v>411</v>
      </c>
      <c r="B879">
        <v>410470027003</v>
      </c>
      <c r="C879">
        <v>0.38983671000000003</v>
      </c>
    </row>
    <row r="880" spans="1:3" x14ac:dyDescent="0.25">
      <c r="A880">
        <v>414</v>
      </c>
      <c r="B880">
        <v>410470018032</v>
      </c>
      <c r="C880">
        <v>7.096885E-2</v>
      </c>
    </row>
    <row r="881" spans="1:3" x14ac:dyDescent="0.25">
      <c r="A881">
        <v>414</v>
      </c>
      <c r="B881">
        <v>410470027001</v>
      </c>
      <c r="C881">
        <v>0.92206913000000001</v>
      </c>
    </row>
    <row r="882" spans="1:3" x14ac:dyDescent="0.25">
      <c r="A882">
        <v>414</v>
      </c>
      <c r="B882">
        <v>410470027004</v>
      </c>
      <c r="C882">
        <v>1.2668999999999999E-4</v>
      </c>
    </row>
    <row r="883" spans="1:3" x14ac:dyDescent="0.25">
      <c r="A883">
        <v>414</v>
      </c>
      <c r="B883">
        <v>410470027005</v>
      </c>
      <c r="C883">
        <v>6.83528E-3</v>
      </c>
    </row>
    <row r="884" spans="1:3" x14ac:dyDescent="0.25">
      <c r="A884">
        <v>415</v>
      </c>
      <c r="B884">
        <v>410470018032</v>
      </c>
      <c r="C884">
        <v>3.464159E-2</v>
      </c>
    </row>
    <row r="885" spans="1:3" x14ac:dyDescent="0.25">
      <c r="A885">
        <v>415</v>
      </c>
      <c r="B885">
        <v>410470027001</v>
      </c>
      <c r="C885">
        <v>0.96524991999999998</v>
      </c>
    </row>
    <row r="886" spans="1:3" x14ac:dyDescent="0.25">
      <c r="A886">
        <v>415</v>
      </c>
      <c r="B886">
        <v>410470027002</v>
      </c>
      <c r="C886">
        <v>1.0848E-4</v>
      </c>
    </row>
    <row r="887" spans="1:3" x14ac:dyDescent="0.25">
      <c r="A887">
        <v>416</v>
      </c>
      <c r="B887">
        <v>410470027001</v>
      </c>
      <c r="C887">
        <v>0.94276619999999989</v>
      </c>
    </row>
    <row r="888" spans="1:3" x14ac:dyDescent="0.25">
      <c r="A888">
        <v>416</v>
      </c>
      <c r="B888">
        <v>410470027002</v>
      </c>
      <c r="C888">
        <v>5.7233799999999994E-2</v>
      </c>
    </row>
    <row r="889" spans="1:3" x14ac:dyDescent="0.25">
      <c r="A889">
        <v>417</v>
      </c>
      <c r="B889">
        <v>410470027001</v>
      </c>
      <c r="C889">
        <v>0.10002843</v>
      </c>
    </row>
    <row r="890" spans="1:3" x14ac:dyDescent="0.25">
      <c r="A890">
        <v>417</v>
      </c>
      <c r="B890">
        <v>410470027002</v>
      </c>
      <c r="C890">
        <v>0.89503118999999998</v>
      </c>
    </row>
    <row r="891" spans="1:3" x14ac:dyDescent="0.25">
      <c r="A891">
        <v>417</v>
      </c>
      <c r="B891">
        <v>410470027003</v>
      </c>
      <c r="C891">
        <v>4.9404399999999999E-3</v>
      </c>
    </row>
    <row r="892" spans="1:3" x14ac:dyDescent="0.25">
      <c r="A892">
        <v>418</v>
      </c>
      <c r="B892">
        <v>410470027001</v>
      </c>
      <c r="C892">
        <v>0.92353806000000005</v>
      </c>
    </row>
    <row r="893" spans="1:3" x14ac:dyDescent="0.25">
      <c r="A893">
        <v>418</v>
      </c>
      <c r="B893">
        <v>410470027004</v>
      </c>
      <c r="C893">
        <v>7.6461920000000003E-2</v>
      </c>
    </row>
    <row r="894" spans="1:3" x14ac:dyDescent="0.25">
      <c r="A894">
        <v>419</v>
      </c>
      <c r="B894">
        <v>410470018032</v>
      </c>
      <c r="C894">
        <v>4.053E-5</v>
      </c>
    </row>
    <row r="895" spans="1:3" x14ac:dyDescent="0.25">
      <c r="A895">
        <v>419</v>
      </c>
      <c r="B895">
        <v>410470027001</v>
      </c>
      <c r="C895">
        <v>1.455E-5</v>
      </c>
    </row>
    <row r="896" spans="1:3" x14ac:dyDescent="0.25">
      <c r="A896">
        <v>419</v>
      </c>
      <c r="B896">
        <v>410470027002</v>
      </c>
      <c r="C896">
        <v>7.5347299999999999E-3</v>
      </c>
    </row>
    <row r="897" spans="1:3" x14ac:dyDescent="0.25">
      <c r="A897">
        <v>419</v>
      </c>
      <c r="B897">
        <v>410470027003</v>
      </c>
      <c r="C897">
        <v>0.99241017999999992</v>
      </c>
    </row>
    <row r="898" spans="1:3" x14ac:dyDescent="0.25">
      <c r="A898">
        <v>420</v>
      </c>
      <c r="B898">
        <v>410470018032</v>
      </c>
      <c r="C898">
        <v>4.0294999999999996E-4</v>
      </c>
    </row>
    <row r="899" spans="1:3" x14ac:dyDescent="0.25">
      <c r="A899">
        <v>420</v>
      </c>
      <c r="B899">
        <v>410470020004</v>
      </c>
      <c r="C899">
        <v>1.46E-6</v>
      </c>
    </row>
    <row r="900" spans="1:3" x14ac:dyDescent="0.25">
      <c r="A900">
        <v>420</v>
      </c>
      <c r="B900">
        <v>410470027003</v>
      </c>
      <c r="C900">
        <v>0.99958680999999994</v>
      </c>
    </row>
    <row r="901" spans="1:3" x14ac:dyDescent="0.25">
      <c r="A901">
        <v>420</v>
      </c>
      <c r="B901">
        <v>410470028002</v>
      </c>
      <c r="C901">
        <v>8.7800000000000006E-6</v>
      </c>
    </row>
    <row r="902" spans="1:3" x14ac:dyDescent="0.25">
      <c r="A902">
        <v>421</v>
      </c>
      <c r="B902">
        <v>410470023044</v>
      </c>
      <c r="C902">
        <v>8.6709999999999999E-4</v>
      </c>
    </row>
    <row r="903" spans="1:3" x14ac:dyDescent="0.25">
      <c r="A903">
        <v>421</v>
      </c>
      <c r="B903">
        <v>410470027003</v>
      </c>
      <c r="C903">
        <v>4.8107499999999999E-3</v>
      </c>
    </row>
    <row r="904" spans="1:3" x14ac:dyDescent="0.25">
      <c r="A904">
        <v>421</v>
      </c>
      <c r="B904">
        <v>410470028002</v>
      </c>
      <c r="C904">
        <v>0.99432225000000007</v>
      </c>
    </row>
    <row r="905" spans="1:3" x14ac:dyDescent="0.25">
      <c r="A905">
        <v>422</v>
      </c>
      <c r="B905">
        <v>410470023041</v>
      </c>
      <c r="C905">
        <v>1.2702799999999999E-3</v>
      </c>
    </row>
    <row r="906" spans="1:3" x14ac:dyDescent="0.25">
      <c r="A906">
        <v>422</v>
      </c>
      <c r="B906">
        <v>410470028001</v>
      </c>
      <c r="C906">
        <v>4.2729000000000004E-4</v>
      </c>
    </row>
    <row r="907" spans="1:3" x14ac:dyDescent="0.25">
      <c r="A907">
        <v>422</v>
      </c>
      <c r="B907">
        <v>410470028002</v>
      </c>
      <c r="C907">
        <v>0.99830234000000007</v>
      </c>
    </row>
    <row r="908" spans="1:3" x14ac:dyDescent="0.25">
      <c r="A908">
        <v>423</v>
      </c>
      <c r="B908">
        <v>410470023012</v>
      </c>
      <c r="C908">
        <v>1.0581000000000001E-4</v>
      </c>
    </row>
    <row r="909" spans="1:3" x14ac:dyDescent="0.25">
      <c r="A909">
        <v>423</v>
      </c>
      <c r="B909">
        <v>410470023041</v>
      </c>
      <c r="C909">
        <v>3.8531000000000004E-4</v>
      </c>
    </row>
    <row r="910" spans="1:3" x14ac:dyDescent="0.25">
      <c r="A910">
        <v>423</v>
      </c>
      <c r="B910">
        <v>410470028001</v>
      </c>
      <c r="C910">
        <v>1.154904E-2</v>
      </c>
    </row>
    <row r="911" spans="1:3" x14ac:dyDescent="0.25">
      <c r="A911">
        <v>423</v>
      </c>
      <c r="B911">
        <v>410470028002</v>
      </c>
      <c r="C911">
        <v>0.98795984999999997</v>
      </c>
    </row>
    <row r="912" spans="1:3" x14ac:dyDescent="0.25">
      <c r="A912">
        <v>424</v>
      </c>
      <c r="B912">
        <v>410470028001</v>
      </c>
      <c r="C912">
        <v>0.99826069000000006</v>
      </c>
    </row>
    <row r="913" spans="1:3" x14ac:dyDescent="0.25">
      <c r="A913">
        <v>424</v>
      </c>
      <c r="B913">
        <v>410470028002</v>
      </c>
      <c r="C913">
        <v>5.8580000000000005E-5</v>
      </c>
    </row>
    <row r="914" spans="1:3" x14ac:dyDescent="0.25">
      <c r="A914">
        <v>424</v>
      </c>
      <c r="B914">
        <v>410470108022</v>
      </c>
      <c r="C914">
        <v>1.68075E-3</v>
      </c>
    </row>
    <row r="915" spans="1:3" x14ac:dyDescent="0.25">
      <c r="A915">
        <v>426</v>
      </c>
      <c r="B915">
        <v>410470023041</v>
      </c>
      <c r="C915">
        <v>0.91330708999999999</v>
      </c>
    </row>
    <row r="916" spans="1:3" x14ac:dyDescent="0.25">
      <c r="A916">
        <v>426</v>
      </c>
      <c r="B916">
        <v>410470023044</v>
      </c>
      <c r="C916">
        <v>2.1440000000000001E-5</v>
      </c>
    </row>
    <row r="917" spans="1:3" x14ac:dyDescent="0.25">
      <c r="A917">
        <v>426</v>
      </c>
      <c r="B917">
        <v>410470028002</v>
      </c>
      <c r="C917">
        <v>8.6671399999999996E-2</v>
      </c>
    </row>
    <row r="918" spans="1:3" x14ac:dyDescent="0.25">
      <c r="A918">
        <v>427</v>
      </c>
      <c r="B918">
        <v>410470023012</v>
      </c>
      <c r="C918">
        <v>3.2059999999999999E-4</v>
      </c>
    </row>
    <row r="919" spans="1:3" x14ac:dyDescent="0.25">
      <c r="A919">
        <v>427</v>
      </c>
      <c r="B919">
        <v>410470023041</v>
      </c>
      <c r="C919">
        <v>0.99214066999999995</v>
      </c>
    </row>
    <row r="920" spans="1:3" x14ac:dyDescent="0.25">
      <c r="A920">
        <v>427</v>
      </c>
      <c r="B920">
        <v>410470028002</v>
      </c>
      <c r="C920">
        <v>7.5387099999999997E-3</v>
      </c>
    </row>
    <row r="921" spans="1:3" x14ac:dyDescent="0.25">
      <c r="A921">
        <v>428</v>
      </c>
      <c r="B921">
        <v>410470023012</v>
      </c>
      <c r="C921">
        <v>0.97995209000000005</v>
      </c>
    </row>
    <row r="922" spans="1:3" x14ac:dyDescent="0.25">
      <c r="A922">
        <v>428</v>
      </c>
      <c r="B922">
        <v>410470023041</v>
      </c>
      <c r="C922">
        <v>6.6179999999999993E-5</v>
      </c>
    </row>
    <row r="923" spans="1:3" x14ac:dyDescent="0.25">
      <c r="A923">
        <v>428</v>
      </c>
      <c r="B923">
        <v>410470024002</v>
      </c>
      <c r="C923">
        <v>9.5746999999999998E-4</v>
      </c>
    </row>
    <row r="924" spans="1:3" x14ac:dyDescent="0.25">
      <c r="A924">
        <v>428</v>
      </c>
      <c r="B924">
        <v>410470028002</v>
      </c>
      <c r="C924">
        <v>1.9024269999999999E-2</v>
      </c>
    </row>
    <row r="925" spans="1:3" x14ac:dyDescent="0.25">
      <c r="A925">
        <v>429</v>
      </c>
      <c r="B925">
        <v>410470023011</v>
      </c>
      <c r="C925">
        <v>8.3435999999999992E-4</v>
      </c>
    </row>
    <row r="926" spans="1:3" x14ac:dyDescent="0.25">
      <c r="A926">
        <v>429</v>
      </c>
      <c r="B926">
        <v>410470023012</v>
      </c>
      <c r="C926">
        <v>0.99710311000000007</v>
      </c>
    </row>
    <row r="927" spans="1:3" x14ac:dyDescent="0.25">
      <c r="A927">
        <v>429</v>
      </c>
      <c r="B927">
        <v>410470023031</v>
      </c>
      <c r="C927">
        <v>4.4658000000000002E-4</v>
      </c>
    </row>
    <row r="928" spans="1:3" x14ac:dyDescent="0.25">
      <c r="A928">
        <v>429</v>
      </c>
      <c r="B928">
        <v>410470023041</v>
      </c>
      <c r="C928">
        <v>4.7294000000000004E-4</v>
      </c>
    </row>
    <row r="929" spans="1:3" x14ac:dyDescent="0.25">
      <c r="A929">
        <v>429</v>
      </c>
      <c r="B929">
        <v>410470024002</v>
      </c>
      <c r="C929">
        <v>1.1430400000000001E-3</v>
      </c>
    </row>
    <row r="930" spans="1:3" x14ac:dyDescent="0.25">
      <c r="A930">
        <v>430</v>
      </c>
      <c r="B930">
        <v>410470023012</v>
      </c>
      <c r="C930">
        <v>5.9110999999999994E-4</v>
      </c>
    </row>
    <row r="931" spans="1:3" x14ac:dyDescent="0.25">
      <c r="A931">
        <v>430</v>
      </c>
      <c r="B931">
        <v>410470024002</v>
      </c>
      <c r="C931">
        <v>0.99660475000000004</v>
      </c>
    </row>
    <row r="932" spans="1:3" x14ac:dyDescent="0.25">
      <c r="A932">
        <v>430</v>
      </c>
      <c r="B932">
        <v>410470028002</v>
      </c>
      <c r="C932">
        <v>2.8041400000000001E-3</v>
      </c>
    </row>
    <row r="933" spans="1:3" x14ac:dyDescent="0.25">
      <c r="A933">
        <v>431</v>
      </c>
      <c r="B933">
        <v>410470024001</v>
      </c>
      <c r="C933">
        <v>2.1154999999999999E-4</v>
      </c>
    </row>
    <row r="934" spans="1:3" x14ac:dyDescent="0.25">
      <c r="A934">
        <v>431</v>
      </c>
      <c r="B934">
        <v>410470024002</v>
      </c>
      <c r="C934">
        <v>0.99658002999999995</v>
      </c>
    </row>
    <row r="935" spans="1:3" x14ac:dyDescent="0.25">
      <c r="A935">
        <v>431</v>
      </c>
      <c r="B935">
        <v>410470028001</v>
      </c>
      <c r="C935">
        <v>3.00848E-3</v>
      </c>
    </row>
    <row r="936" spans="1:3" x14ac:dyDescent="0.25">
      <c r="A936">
        <v>431</v>
      </c>
      <c r="B936">
        <v>410470028002</v>
      </c>
      <c r="C936">
        <v>1.9994999999999998E-4</v>
      </c>
    </row>
    <row r="937" spans="1:3" x14ac:dyDescent="0.25">
      <c r="A937">
        <v>432</v>
      </c>
      <c r="B937">
        <v>410470024002</v>
      </c>
      <c r="C937">
        <v>0.99922703000000002</v>
      </c>
    </row>
    <row r="938" spans="1:3" x14ac:dyDescent="0.25">
      <c r="A938">
        <v>432</v>
      </c>
      <c r="B938">
        <v>410470028001</v>
      </c>
      <c r="C938">
        <v>2.9738000000000003E-4</v>
      </c>
    </row>
    <row r="939" spans="1:3" x14ac:dyDescent="0.25">
      <c r="A939">
        <v>432</v>
      </c>
      <c r="B939">
        <v>410530053001</v>
      </c>
      <c r="C939">
        <v>4.7562E-4</v>
      </c>
    </row>
    <row r="940" spans="1:3" x14ac:dyDescent="0.25">
      <c r="A940">
        <v>433</v>
      </c>
      <c r="B940">
        <v>410470024001</v>
      </c>
      <c r="C940">
        <v>2.0948159999999997E-2</v>
      </c>
    </row>
    <row r="941" spans="1:3" x14ac:dyDescent="0.25">
      <c r="A941">
        <v>433</v>
      </c>
      <c r="B941">
        <v>410470024002</v>
      </c>
      <c r="C941">
        <v>0.97905185000000006</v>
      </c>
    </row>
    <row r="942" spans="1:3" x14ac:dyDescent="0.25">
      <c r="A942">
        <v>434</v>
      </c>
      <c r="B942">
        <v>410470024001</v>
      </c>
      <c r="C942">
        <v>0.98831787999999998</v>
      </c>
    </row>
    <row r="943" spans="1:3" x14ac:dyDescent="0.25">
      <c r="A943">
        <v>434</v>
      </c>
      <c r="B943">
        <v>410470024002</v>
      </c>
      <c r="C943">
        <v>1.1682120000000001E-2</v>
      </c>
    </row>
    <row r="944" spans="1:3" x14ac:dyDescent="0.25">
      <c r="A944">
        <v>435</v>
      </c>
      <c r="B944">
        <v>410470013001</v>
      </c>
      <c r="C944">
        <v>7.5627529999999998E-2</v>
      </c>
    </row>
    <row r="945" spans="1:3" x14ac:dyDescent="0.25">
      <c r="A945">
        <v>435</v>
      </c>
      <c r="B945">
        <v>410470024001</v>
      </c>
      <c r="C945">
        <v>5.4372680000000007E-2</v>
      </c>
    </row>
    <row r="946" spans="1:3" x14ac:dyDescent="0.25">
      <c r="A946">
        <v>435</v>
      </c>
      <c r="B946">
        <v>410470024002</v>
      </c>
      <c r="C946">
        <v>0.86897158000000008</v>
      </c>
    </row>
    <row r="947" spans="1:3" x14ac:dyDescent="0.25">
      <c r="A947">
        <v>435</v>
      </c>
      <c r="B947">
        <v>410530052013</v>
      </c>
      <c r="C947">
        <v>8.4820000000000002E-4</v>
      </c>
    </row>
    <row r="948" spans="1:3" x14ac:dyDescent="0.25">
      <c r="A948">
        <v>435</v>
      </c>
      <c r="B948">
        <v>410530053001</v>
      </c>
      <c r="C948">
        <v>1.7999999999999998E-4</v>
      </c>
    </row>
    <row r="949" spans="1:3" x14ac:dyDescent="0.25">
      <c r="A949">
        <v>436</v>
      </c>
      <c r="B949">
        <v>410470002002</v>
      </c>
      <c r="C949">
        <v>2.7170200000000001E-3</v>
      </c>
    </row>
    <row r="950" spans="1:3" x14ac:dyDescent="0.25">
      <c r="A950">
        <v>436</v>
      </c>
      <c r="B950">
        <v>410470013001</v>
      </c>
      <c r="C950">
        <v>0.98884510000000003</v>
      </c>
    </row>
    <row r="951" spans="1:3" x14ac:dyDescent="0.25">
      <c r="A951">
        <v>436</v>
      </c>
      <c r="B951">
        <v>410470013002</v>
      </c>
      <c r="C951">
        <v>1.0125999999999999E-4</v>
      </c>
    </row>
    <row r="952" spans="1:3" x14ac:dyDescent="0.25">
      <c r="A952">
        <v>436</v>
      </c>
      <c r="B952">
        <v>410470024001</v>
      </c>
      <c r="C952">
        <v>1.3785000000000002E-4</v>
      </c>
    </row>
    <row r="953" spans="1:3" x14ac:dyDescent="0.25">
      <c r="A953">
        <v>436</v>
      </c>
      <c r="B953">
        <v>410470024002</v>
      </c>
      <c r="C953">
        <v>2.5765100000000002E-3</v>
      </c>
    </row>
    <row r="954" spans="1:3" x14ac:dyDescent="0.25">
      <c r="A954">
        <v>436</v>
      </c>
      <c r="B954">
        <v>410530052013</v>
      </c>
      <c r="C954">
        <v>5.6222399999999997E-3</v>
      </c>
    </row>
    <row r="955" spans="1:3" x14ac:dyDescent="0.25">
      <c r="A955">
        <v>437</v>
      </c>
      <c r="B955">
        <v>410470028001</v>
      </c>
      <c r="C955">
        <v>0.84911728999999991</v>
      </c>
    </row>
    <row r="956" spans="1:3" x14ac:dyDescent="0.25">
      <c r="A956">
        <v>437</v>
      </c>
      <c r="B956">
        <v>410470028002</v>
      </c>
      <c r="C956">
        <v>0.14905284999999999</v>
      </c>
    </row>
    <row r="957" spans="1:3" x14ac:dyDescent="0.25">
      <c r="A957">
        <v>437</v>
      </c>
      <c r="B957">
        <v>410470108022</v>
      </c>
      <c r="C957">
        <v>1.8298700000000002E-3</v>
      </c>
    </row>
    <row r="958" spans="1:3" x14ac:dyDescent="0.25">
      <c r="A958">
        <v>439</v>
      </c>
      <c r="B958">
        <v>410470003001</v>
      </c>
      <c r="C958">
        <v>0.92127635999999991</v>
      </c>
    </row>
    <row r="959" spans="1:3" x14ac:dyDescent="0.25">
      <c r="A959">
        <v>439</v>
      </c>
      <c r="B959">
        <v>410470004003</v>
      </c>
      <c r="C959">
        <v>7.8723859999999993E-2</v>
      </c>
    </row>
    <row r="960" spans="1:3" x14ac:dyDescent="0.25">
      <c r="A960">
        <v>442</v>
      </c>
      <c r="B960">
        <v>410470013001</v>
      </c>
      <c r="C960">
        <v>0.99998959999999992</v>
      </c>
    </row>
    <row r="961" spans="1:3" x14ac:dyDescent="0.25">
      <c r="A961">
        <v>442</v>
      </c>
      <c r="B961">
        <v>410470013003</v>
      </c>
      <c r="C961">
        <v>1.0319999999999999E-5</v>
      </c>
    </row>
    <row r="962" spans="1:3" x14ac:dyDescent="0.25">
      <c r="A962">
        <v>443</v>
      </c>
      <c r="B962">
        <v>410470025021</v>
      </c>
      <c r="C962">
        <v>0.99999983999999997</v>
      </c>
    </row>
    <row r="963" spans="1:3" x14ac:dyDescent="0.25">
      <c r="A963">
        <v>444</v>
      </c>
      <c r="B963">
        <v>410470025021</v>
      </c>
      <c r="C963">
        <v>0.99999998000000001</v>
      </c>
    </row>
    <row r="964" spans="1:3" x14ac:dyDescent="0.25">
      <c r="A964">
        <v>447</v>
      </c>
      <c r="B964">
        <v>410530052021</v>
      </c>
      <c r="C964">
        <v>3.0619000000000002E-4</v>
      </c>
    </row>
    <row r="965" spans="1:3" x14ac:dyDescent="0.25">
      <c r="A965">
        <v>447</v>
      </c>
      <c r="B965">
        <v>410530052022</v>
      </c>
      <c r="C965">
        <v>0.98814133999999998</v>
      </c>
    </row>
    <row r="966" spans="1:3" x14ac:dyDescent="0.25">
      <c r="A966">
        <v>447</v>
      </c>
      <c r="B966">
        <v>410530052024</v>
      </c>
      <c r="C966">
        <v>8.2803000000000009E-3</v>
      </c>
    </row>
    <row r="967" spans="1:3" x14ac:dyDescent="0.25">
      <c r="A967">
        <v>447</v>
      </c>
      <c r="B967">
        <v>410530053002</v>
      </c>
      <c r="C967">
        <v>3.27202E-3</v>
      </c>
    </row>
    <row r="968" spans="1:3" x14ac:dyDescent="0.25">
      <c r="A968">
        <v>450</v>
      </c>
      <c r="B968">
        <v>410470027003</v>
      </c>
      <c r="C968">
        <v>6.4675700000000006E-3</v>
      </c>
    </row>
    <row r="969" spans="1:3" x14ac:dyDescent="0.25">
      <c r="A969">
        <v>450</v>
      </c>
      <c r="B969">
        <v>410470028001</v>
      </c>
      <c r="C969">
        <v>1.0759000000000001E-3</v>
      </c>
    </row>
    <row r="970" spans="1:3" x14ac:dyDescent="0.25">
      <c r="A970">
        <v>450</v>
      </c>
      <c r="B970">
        <v>410470028002</v>
      </c>
      <c r="C970">
        <v>0.99245655999999993</v>
      </c>
    </row>
    <row r="971" spans="1:3" x14ac:dyDescent="0.25">
      <c r="A971">
        <v>451</v>
      </c>
      <c r="B971">
        <v>410470018032</v>
      </c>
      <c r="C971">
        <v>0.46318393000000002</v>
      </c>
    </row>
    <row r="972" spans="1:3" x14ac:dyDescent="0.25">
      <c r="A972">
        <v>451</v>
      </c>
      <c r="B972">
        <v>410470027003</v>
      </c>
      <c r="C972">
        <v>0.53681603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F6DE-28F3-4369-A635-11E2C31F1DD0}">
  <dimension ref="A1:C225"/>
  <sheetViews>
    <sheetView topLeftCell="A196" workbookViewId="0">
      <selection activeCell="J23" sqref="J23"/>
    </sheetView>
  </sheetViews>
  <sheetFormatPr defaultRowHeight="15" x14ac:dyDescent="0.25"/>
  <cols>
    <col min="1" max="1" width="11" bestFit="1" customWidth="1"/>
    <col min="2" max="2" width="33.42578125" customWidth="1"/>
  </cols>
  <sheetData>
    <row r="1" spans="1:3" x14ac:dyDescent="0.25">
      <c r="A1" t="s">
        <v>11</v>
      </c>
      <c r="B1" t="s">
        <v>34</v>
      </c>
      <c r="C1" t="s">
        <v>17</v>
      </c>
    </row>
    <row r="2" spans="1:3" x14ac:dyDescent="0.25">
      <c r="A2">
        <v>32</v>
      </c>
      <c r="B2" t="s">
        <v>35</v>
      </c>
      <c r="C2">
        <v>1.3034000000000001E-3</v>
      </c>
    </row>
    <row r="3" spans="1:3" x14ac:dyDescent="0.25">
      <c r="A3">
        <v>34</v>
      </c>
      <c r="B3" t="s">
        <v>35</v>
      </c>
      <c r="C3">
        <v>9.8799700000000001E-3</v>
      </c>
    </row>
    <row r="4" spans="1:3" x14ac:dyDescent="0.25">
      <c r="A4">
        <v>35</v>
      </c>
      <c r="B4" t="s">
        <v>35</v>
      </c>
      <c r="C4">
        <v>0.10017139</v>
      </c>
    </row>
    <row r="5" spans="1:3" x14ac:dyDescent="0.25">
      <c r="A5">
        <v>37</v>
      </c>
      <c r="B5" t="s">
        <v>35</v>
      </c>
      <c r="C5">
        <v>1.963577E-2</v>
      </c>
    </row>
    <row r="6" spans="1:3" x14ac:dyDescent="0.25">
      <c r="A6">
        <v>38</v>
      </c>
      <c r="B6" t="s">
        <v>35</v>
      </c>
      <c r="C6">
        <v>3.123573E-2</v>
      </c>
    </row>
    <row r="7" spans="1:3" x14ac:dyDescent="0.25">
      <c r="A7">
        <v>39</v>
      </c>
      <c r="B7" t="s">
        <v>35</v>
      </c>
      <c r="C7">
        <v>9.2205E-4</v>
      </c>
    </row>
    <row r="8" spans="1:3" x14ac:dyDescent="0.25">
      <c r="A8">
        <v>40</v>
      </c>
      <c r="B8" t="s">
        <v>35</v>
      </c>
      <c r="C8">
        <v>0.99439372000000004</v>
      </c>
    </row>
    <row r="9" spans="1:3" x14ac:dyDescent="0.25">
      <c r="A9">
        <v>41</v>
      </c>
      <c r="B9" t="s">
        <v>35</v>
      </c>
      <c r="C9">
        <v>0.79765936999999998</v>
      </c>
    </row>
    <row r="10" spans="1:3" x14ac:dyDescent="0.25">
      <c r="A10">
        <v>42</v>
      </c>
      <c r="B10" t="s">
        <v>35</v>
      </c>
      <c r="C10">
        <v>1.3458E-4</v>
      </c>
    </row>
    <row r="11" spans="1:3" x14ac:dyDescent="0.25">
      <c r="A11">
        <v>43</v>
      </c>
      <c r="B11" t="s">
        <v>35</v>
      </c>
      <c r="C11">
        <v>3.6283340000000004E-2</v>
      </c>
    </row>
    <row r="12" spans="1:3" x14ac:dyDescent="0.25">
      <c r="A12">
        <v>44</v>
      </c>
      <c r="B12" t="s">
        <v>35</v>
      </c>
      <c r="C12">
        <v>0.99801311999999998</v>
      </c>
    </row>
    <row r="13" spans="1:3" x14ac:dyDescent="0.25">
      <c r="A13">
        <v>45</v>
      </c>
      <c r="B13" t="s">
        <v>35</v>
      </c>
      <c r="C13">
        <v>0.98826662999999992</v>
      </c>
    </row>
    <row r="14" spans="1:3" x14ac:dyDescent="0.25">
      <c r="A14">
        <v>47</v>
      </c>
      <c r="B14" t="s">
        <v>35</v>
      </c>
      <c r="C14">
        <v>0.99993958000000005</v>
      </c>
    </row>
    <row r="15" spans="1:3" x14ac:dyDescent="0.25">
      <c r="A15">
        <v>48</v>
      </c>
      <c r="B15" t="s">
        <v>35</v>
      </c>
      <c r="C15">
        <v>0.9872731400000001</v>
      </c>
    </row>
    <row r="16" spans="1:3" x14ac:dyDescent="0.25">
      <c r="A16">
        <v>49</v>
      </c>
      <c r="B16" t="s">
        <v>35</v>
      </c>
      <c r="C16">
        <v>0.99959849000000001</v>
      </c>
    </row>
    <row r="17" spans="1:3" x14ac:dyDescent="0.25">
      <c r="A17">
        <v>50</v>
      </c>
      <c r="B17" t="s">
        <v>35</v>
      </c>
      <c r="C17">
        <v>1</v>
      </c>
    </row>
    <row r="18" spans="1:3" x14ac:dyDescent="0.25">
      <c r="A18">
        <v>51</v>
      </c>
      <c r="B18" t="s">
        <v>35</v>
      </c>
      <c r="C18">
        <v>0.99999995999999991</v>
      </c>
    </row>
    <row r="19" spans="1:3" x14ac:dyDescent="0.25">
      <c r="A19">
        <v>52</v>
      </c>
      <c r="B19" t="s">
        <v>35</v>
      </c>
      <c r="C19">
        <v>1</v>
      </c>
    </row>
    <row r="20" spans="1:3" x14ac:dyDescent="0.25">
      <c r="A20">
        <v>53</v>
      </c>
      <c r="B20" t="s">
        <v>35</v>
      </c>
      <c r="C20">
        <v>0.99694373999999997</v>
      </c>
    </row>
    <row r="21" spans="1:3" x14ac:dyDescent="0.25">
      <c r="A21">
        <v>54</v>
      </c>
      <c r="B21" t="s">
        <v>35</v>
      </c>
      <c r="C21">
        <v>1</v>
      </c>
    </row>
    <row r="22" spans="1:3" x14ac:dyDescent="0.25">
      <c r="A22">
        <v>55</v>
      </c>
      <c r="B22" t="s">
        <v>35</v>
      </c>
      <c r="C22">
        <v>1</v>
      </c>
    </row>
    <row r="23" spans="1:3" x14ac:dyDescent="0.25">
      <c r="A23">
        <v>56</v>
      </c>
      <c r="B23" t="s">
        <v>35</v>
      </c>
      <c r="C23">
        <v>0.99979994999999999</v>
      </c>
    </row>
    <row r="24" spans="1:3" x14ac:dyDescent="0.25">
      <c r="A24">
        <v>61</v>
      </c>
      <c r="B24" t="s">
        <v>35</v>
      </c>
      <c r="C24">
        <v>0.99952019000000003</v>
      </c>
    </row>
    <row r="25" spans="1:3" x14ac:dyDescent="0.25">
      <c r="A25">
        <v>64</v>
      </c>
      <c r="B25" t="s">
        <v>35</v>
      </c>
      <c r="C25">
        <v>0.99999999000000006</v>
      </c>
    </row>
    <row r="26" spans="1:3" x14ac:dyDescent="0.25">
      <c r="A26">
        <v>65</v>
      </c>
      <c r="B26" t="s">
        <v>35</v>
      </c>
      <c r="C26">
        <v>1</v>
      </c>
    </row>
    <row r="27" spans="1:3" x14ac:dyDescent="0.25">
      <c r="A27">
        <v>66</v>
      </c>
      <c r="B27" t="s">
        <v>35</v>
      </c>
      <c r="C27">
        <v>1</v>
      </c>
    </row>
    <row r="28" spans="1:3" x14ac:dyDescent="0.25">
      <c r="A28">
        <v>67</v>
      </c>
      <c r="B28" t="s">
        <v>35</v>
      </c>
      <c r="C28">
        <v>0.99999999000000006</v>
      </c>
    </row>
    <row r="29" spans="1:3" x14ac:dyDescent="0.25">
      <c r="A29">
        <v>70</v>
      </c>
      <c r="B29" t="s">
        <v>35</v>
      </c>
      <c r="C29">
        <v>0.99654083999999998</v>
      </c>
    </row>
    <row r="30" spans="1:3" x14ac:dyDescent="0.25">
      <c r="A30">
        <v>71</v>
      </c>
      <c r="B30" t="s">
        <v>35</v>
      </c>
      <c r="C30">
        <v>0.99207341000000004</v>
      </c>
    </row>
    <row r="31" spans="1:3" x14ac:dyDescent="0.25">
      <c r="A31">
        <v>74</v>
      </c>
      <c r="B31" t="s">
        <v>35</v>
      </c>
      <c r="C31">
        <v>0.99999995999999991</v>
      </c>
    </row>
    <row r="32" spans="1:3" x14ac:dyDescent="0.25">
      <c r="A32">
        <v>75</v>
      </c>
      <c r="B32" t="s">
        <v>35</v>
      </c>
      <c r="C32">
        <v>0.99999994999999997</v>
      </c>
    </row>
    <row r="33" spans="1:3" x14ac:dyDescent="0.25">
      <c r="A33">
        <v>76</v>
      </c>
      <c r="B33" t="s">
        <v>35</v>
      </c>
      <c r="C33">
        <v>1</v>
      </c>
    </row>
    <row r="34" spans="1:3" x14ac:dyDescent="0.25">
      <c r="A34">
        <v>77</v>
      </c>
      <c r="B34" t="s">
        <v>35</v>
      </c>
      <c r="C34">
        <v>1</v>
      </c>
    </row>
    <row r="35" spans="1:3" x14ac:dyDescent="0.25">
      <c r="A35">
        <v>78</v>
      </c>
      <c r="B35" t="s">
        <v>35</v>
      </c>
      <c r="C35">
        <v>0.99999992999999998</v>
      </c>
    </row>
    <row r="36" spans="1:3" x14ac:dyDescent="0.25">
      <c r="A36">
        <v>80</v>
      </c>
      <c r="B36" t="s">
        <v>35</v>
      </c>
      <c r="C36">
        <v>1.9929800000000001E-3</v>
      </c>
    </row>
    <row r="37" spans="1:3" x14ac:dyDescent="0.25">
      <c r="A37">
        <v>81</v>
      </c>
      <c r="B37" t="s">
        <v>35</v>
      </c>
      <c r="C37">
        <v>0.22386379000000001</v>
      </c>
    </row>
    <row r="38" spans="1:3" x14ac:dyDescent="0.25">
      <c r="A38">
        <v>82</v>
      </c>
      <c r="B38" t="s">
        <v>35</v>
      </c>
      <c r="C38">
        <v>0.92617073999999999</v>
      </c>
    </row>
    <row r="39" spans="1:3" x14ac:dyDescent="0.25">
      <c r="A39">
        <v>83</v>
      </c>
      <c r="B39" t="s">
        <v>35</v>
      </c>
      <c r="C39">
        <v>3.4290029999999999E-2</v>
      </c>
    </row>
    <row r="40" spans="1:3" x14ac:dyDescent="0.25">
      <c r="A40">
        <v>86</v>
      </c>
      <c r="B40" t="s">
        <v>35</v>
      </c>
      <c r="C40">
        <v>5.5782E-4</v>
      </c>
    </row>
    <row r="41" spans="1:3" x14ac:dyDescent="0.25">
      <c r="A41">
        <v>87</v>
      </c>
      <c r="B41" t="s">
        <v>35</v>
      </c>
      <c r="C41">
        <v>0.70362294000000003</v>
      </c>
    </row>
    <row r="42" spans="1:3" x14ac:dyDescent="0.25">
      <c r="A42">
        <v>88</v>
      </c>
      <c r="B42" t="s">
        <v>35</v>
      </c>
      <c r="C42">
        <v>0.63794978999999996</v>
      </c>
    </row>
    <row r="43" spans="1:3" x14ac:dyDescent="0.25">
      <c r="A43">
        <v>89</v>
      </c>
      <c r="B43" t="s">
        <v>35</v>
      </c>
      <c r="C43">
        <v>0.97709979999999996</v>
      </c>
    </row>
    <row r="44" spans="1:3" x14ac:dyDescent="0.25">
      <c r="A44">
        <v>90</v>
      </c>
      <c r="B44" t="s">
        <v>35</v>
      </c>
      <c r="C44">
        <v>1</v>
      </c>
    </row>
    <row r="45" spans="1:3" x14ac:dyDescent="0.25">
      <c r="A45">
        <v>91</v>
      </c>
      <c r="B45" t="s">
        <v>35</v>
      </c>
      <c r="C45">
        <v>0.85587746999999992</v>
      </c>
    </row>
    <row r="46" spans="1:3" x14ac:dyDescent="0.25">
      <c r="A46">
        <v>92</v>
      </c>
      <c r="B46" t="s">
        <v>35</v>
      </c>
      <c r="C46">
        <v>0.98246931000000004</v>
      </c>
    </row>
    <row r="47" spans="1:3" x14ac:dyDescent="0.25">
      <c r="A47">
        <v>94</v>
      </c>
      <c r="B47" t="s">
        <v>35</v>
      </c>
      <c r="C47">
        <v>0.99930109</v>
      </c>
    </row>
    <row r="48" spans="1:3" x14ac:dyDescent="0.25">
      <c r="A48">
        <v>95</v>
      </c>
      <c r="B48" t="s">
        <v>35</v>
      </c>
      <c r="C48">
        <v>1</v>
      </c>
    </row>
    <row r="49" spans="1:3" x14ac:dyDescent="0.25">
      <c r="A49">
        <v>100</v>
      </c>
      <c r="B49" t="s">
        <v>35</v>
      </c>
      <c r="C49">
        <v>0.99999992999999998</v>
      </c>
    </row>
    <row r="50" spans="1:3" x14ac:dyDescent="0.25">
      <c r="A50">
        <v>103</v>
      </c>
      <c r="B50" t="s">
        <v>35</v>
      </c>
      <c r="C50">
        <v>1</v>
      </c>
    </row>
    <row r="51" spans="1:3" x14ac:dyDescent="0.25">
      <c r="A51">
        <v>104</v>
      </c>
      <c r="B51" t="s">
        <v>35</v>
      </c>
      <c r="C51">
        <v>0.99999998000000001</v>
      </c>
    </row>
    <row r="52" spans="1:3" x14ac:dyDescent="0.25">
      <c r="A52">
        <v>107</v>
      </c>
      <c r="B52" t="s">
        <v>35</v>
      </c>
      <c r="C52">
        <v>1</v>
      </c>
    </row>
    <row r="53" spans="1:3" x14ac:dyDescent="0.25">
      <c r="A53">
        <v>110</v>
      </c>
      <c r="B53" t="s">
        <v>35</v>
      </c>
      <c r="C53">
        <v>0.99990133999999997</v>
      </c>
    </row>
    <row r="54" spans="1:3" x14ac:dyDescent="0.25">
      <c r="A54">
        <v>111</v>
      </c>
      <c r="B54" t="s">
        <v>35</v>
      </c>
      <c r="C54">
        <v>0.99999994000000003</v>
      </c>
    </row>
    <row r="55" spans="1:3" x14ac:dyDescent="0.25">
      <c r="A55">
        <v>112</v>
      </c>
      <c r="B55" t="s">
        <v>35</v>
      </c>
      <c r="C55">
        <v>1</v>
      </c>
    </row>
    <row r="56" spans="1:3" x14ac:dyDescent="0.25">
      <c r="A56">
        <v>114</v>
      </c>
      <c r="B56" t="s">
        <v>35</v>
      </c>
      <c r="C56">
        <v>1</v>
      </c>
    </row>
    <row r="57" spans="1:3" x14ac:dyDescent="0.25">
      <c r="A57">
        <v>116</v>
      </c>
      <c r="B57" t="s">
        <v>35</v>
      </c>
      <c r="C57">
        <v>1</v>
      </c>
    </row>
    <row r="58" spans="1:3" x14ac:dyDescent="0.25">
      <c r="A58">
        <v>117</v>
      </c>
      <c r="B58" t="s">
        <v>35</v>
      </c>
      <c r="C58">
        <v>0.99999994999999997</v>
      </c>
    </row>
    <row r="59" spans="1:3" x14ac:dyDescent="0.25">
      <c r="A59">
        <v>118</v>
      </c>
      <c r="B59" t="s">
        <v>35</v>
      </c>
      <c r="C59">
        <v>1</v>
      </c>
    </row>
    <row r="60" spans="1:3" x14ac:dyDescent="0.25">
      <c r="A60">
        <v>120</v>
      </c>
      <c r="B60" t="s">
        <v>35</v>
      </c>
      <c r="C60">
        <v>0.99215252000000009</v>
      </c>
    </row>
    <row r="61" spans="1:3" x14ac:dyDescent="0.25">
      <c r="A61">
        <v>124</v>
      </c>
      <c r="B61" t="s">
        <v>35</v>
      </c>
      <c r="C61">
        <v>0.97787396999999998</v>
      </c>
    </row>
    <row r="62" spans="1:3" x14ac:dyDescent="0.25">
      <c r="A62">
        <v>125</v>
      </c>
      <c r="B62" t="s">
        <v>35</v>
      </c>
      <c r="C62">
        <v>1</v>
      </c>
    </row>
    <row r="63" spans="1:3" x14ac:dyDescent="0.25">
      <c r="A63">
        <v>126</v>
      </c>
      <c r="B63" t="s">
        <v>35</v>
      </c>
      <c r="C63">
        <v>0.99999996999999996</v>
      </c>
    </row>
    <row r="64" spans="1:3" x14ac:dyDescent="0.25">
      <c r="A64">
        <v>128</v>
      </c>
      <c r="B64" t="s">
        <v>35</v>
      </c>
      <c r="C64">
        <v>1</v>
      </c>
    </row>
    <row r="65" spans="1:3" x14ac:dyDescent="0.25">
      <c r="A65">
        <v>131</v>
      </c>
      <c r="B65" t="s">
        <v>35</v>
      </c>
      <c r="C65">
        <v>6.1131520000000002E-2</v>
      </c>
    </row>
    <row r="66" spans="1:3" x14ac:dyDescent="0.25">
      <c r="A66">
        <v>132</v>
      </c>
      <c r="B66" t="s">
        <v>35</v>
      </c>
      <c r="C66">
        <v>7.7220000000000001E-4</v>
      </c>
    </row>
    <row r="67" spans="1:3" x14ac:dyDescent="0.25">
      <c r="A67">
        <v>134</v>
      </c>
      <c r="B67" t="s">
        <v>35</v>
      </c>
      <c r="C67">
        <v>0.99673978000000008</v>
      </c>
    </row>
    <row r="68" spans="1:3" x14ac:dyDescent="0.25">
      <c r="A68">
        <v>135</v>
      </c>
      <c r="B68" t="s">
        <v>35</v>
      </c>
      <c r="C68">
        <v>0.99951358000000001</v>
      </c>
    </row>
    <row r="69" spans="1:3" x14ac:dyDescent="0.25">
      <c r="A69">
        <v>136</v>
      </c>
      <c r="B69" t="s">
        <v>35</v>
      </c>
      <c r="C69">
        <v>1</v>
      </c>
    </row>
    <row r="70" spans="1:3" x14ac:dyDescent="0.25">
      <c r="A70">
        <v>137</v>
      </c>
      <c r="B70" t="s">
        <v>35</v>
      </c>
      <c r="C70">
        <v>0.76786781999999998</v>
      </c>
    </row>
    <row r="71" spans="1:3" x14ac:dyDescent="0.25">
      <c r="A71">
        <v>140</v>
      </c>
      <c r="B71" t="s">
        <v>35</v>
      </c>
      <c r="C71">
        <v>0.99059469000000011</v>
      </c>
    </row>
    <row r="72" spans="1:3" x14ac:dyDescent="0.25">
      <c r="A72">
        <v>141</v>
      </c>
      <c r="B72" t="s">
        <v>35</v>
      </c>
      <c r="C72">
        <v>0.99999995999999991</v>
      </c>
    </row>
    <row r="73" spans="1:3" x14ac:dyDescent="0.25">
      <c r="A73">
        <v>143</v>
      </c>
      <c r="B73" t="s">
        <v>35</v>
      </c>
      <c r="C73">
        <v>1</v>
      </c>
    </row>
    <row r="74" spans="1:3" x14ac:dyDescent="0.25">
      <c r="A74">
        <v>144</v>
      </c>
      <c r="B74" t="s">
        <v>35</v>
      </c>
      <c r="C74">
        <v>1</v>
      </c>
    </row>
    <row r="75" spans="1:3" x14ac:dyDescent="0.25">
      <c r="A75">
        <v>146</v>
      </c>
      <c r="B75" t="s">
        <v>35</v>
      </c>
      <c r="C75">
        <v>1</v>
      </c>
    </row>
    <row r="76" spans="1:3" x14ac:dyDescent="0.25">
      <c r="A76">
        <v>147</v>
      </c>
      <c r="B76" t="s">
        <v>35</v>
      </c>
      <c r="C76">
        <v>0.97508125000000012</v>
      </c>
    </row>
    <row r="77" spans="1:3" x14ac:dyDescent="0.25">
      <c r="A77">
        <v>148</v>
      </c>
      <c r="B77" t="s">
        <v>35</v>
      </c>
      <c r="C77">
        <v>0.97785712000000002</v>
      </c>
    </row>
    <row r="78" spans="1:3" x14ac:dyDescent="0.25">
      <c r="A78">
        <v>149</v>
      </c>
      <c r="B78" t="s">
        <v>35</v>
      </c>
      <c r="C78">
        <v>1</v>
      </c>
    </row>
    <row r="79" spans="1:3" x14ac:dyDescent="0.25">
      <c r="A79">
        <v>150</v>
      </c>
      <c r="B79" t="s">
        <v>35</v>
      </c>
      <c r="C79">
        <v>1</v>
      </c>
    </row>
    <row r="80" spans="1:3" x14ac:dyDescent="0.25">
      <c r="A80">
        <v>151</v>
      </c>
      <c r="B80" t="s">
        <v>35</v>
      </c>
      <c r="C80">
        <v>0.99999996999999996</v>
      </c>
    </row>
    <row r="81" spans="1:3" x14ac:dyDescent="0.25">
      <c r="A81">
        <v>154</v>
      </c>
      <c r="B81" t="s">
        <v>35</v>
      </c>
      <c r="C81">
        <v>0.97012045000000002</v>
      </c>
    </row>
    <row r="82" spans="1:3" x14ac:dyDescent="0.25">
      <c r="A82">
        <v>155</v>
      </c>
      <c r="B82" t="s">
        <v>35</v>
      </c>
      <c r="C82">
        <v>1</v>
      </c>
    </row>
    <row r="83" spans="1:3" x14ac:dyDescent="0.25">
      <c r="A83">
        <v>156</v>
      </c>
      <c r="B83" t="s">
        <v>35</v>
      </c>
      <c r="C83">
        <v>0.99999995999999991</v>
      </c>
    </row>
    <row r="84" spans="1:3" x14ac:dyDescent="0.25">
      <c r="A84">
        <v>158</v>
      </c>
      <c r="B84" t="s">
        <v>35</v>
      </c>
      <c r="C84">
        <v>0.99999996999999996</v>
      </c>
    </row>
    <row r="85" spans="1:3" x14ac:dyDescent="0.25">
      <c r="A85">
        <v>162</v>
      </c>
      <c r="B85" t="s">
        <v>35</v>
      </c>
      <c r="C85">
        <v>1</v>
      </c>
    </row>
    <row r="86" spans="1:3" x14ac:dyDescent="0.25">
      <c r="A86">
        <v>164</v>
      </c>
      <c r="B86" t="s">
        <v>35</v>
      </c>
      <c r="C86">
        <v>0.99999998000000001</v>
      </c>
    </row>
    <row r="87" spans="1:3" x14ac:dyDescent="0.25">
      <c r="A87">
        <v>168</v>
      </c>
      <c r="B87" t="s">
        <v>35</v>
      </c>
      <c r="C87">
        <v>0.97899221999999997</v>
      </c>
    </row>
    <row r="88" spans="1:3" x14ac:dyDescent="0.25">
      <c r="A88">
        <v>172</v>
      </c>
      <c r="B88" t="s">
        <v>35</v>
      </c>
      <c r="C88">
        <v>0.9784447799999999</v>
      </c>
    </row>
    <row r="89" spans="1:3" x14ac:dyDescent="0.25">
      <c r="A89">
        <v>173</v>
      </c>
      <c r="B89" t="s">
        <v>35</v>
      </c>
      <c r="C89">
        <v>0.99999999000000006</v>
      </c>
    </row>
    <row r="90" spans="1:3" x14ac:dyDescent="0.25">
      <c r="A90">
        <v>180</v>
      </c>
      <c r="B90" t="s">
        <v>35</v>
      </c>
      <c r="C90">
        <v>0.99507582999999999</v>
      </c>
    </row>
    <row r="91" spans="1:3" x14ac:dyDescent="0.25">
      <c r="A91">
        <v>186</v>
      </c>
      <c r="B91" t="s">
        <v>35</v>
      </c>
      <c r="C91">
        <v>0.96230478000000008</v>
      </c>
    </row>
    <row r="92" spans="1:3" x14ac:dyDescent="0.25">
      <c r="A92">
        <v>189</v>
      </c>
      <c r="B92" t="s">
        <v>35</v>
      </c>
      <c r="C92">
        <v>0.99189570000000005</v>
      </c>
    </row>
    <row r="93" spans="1:3" x14ac:dyDescent="0.25">
      <c r="A93">
        <v>194</v>
      </c>
      <c r="B93" t="s">
        <v>35</v>
      </c>
      <c r="C93">
        <v>1</v>
      </c>
    </row>
    <row r="94" spans="1:3" x14ac:dyDescent="0.25">
      <c r="A94">
        <v>196</v>
      </c>
      <c r="B94" t="s">
        <v>35</v>
      </c>
      <c r="C94">
        <v>0.98990487999999999</v>
      </c>
    </row>
    <row r="95" spans="1:3" x14ac:dyDescent="0.25">
      <c r="A95">
        <v>200</v>
      </c>
      <c r="B95" t="s">
        <v>35</v>
      </c>
      <c r="C95">
        <v>1</v>
      </c>
    </row>
    <row r="96" spans="1:3" x14ac:dyDescent="0.25">
      <c r="A96">
        <v>204</v>
      </c>
      <c r="B96" t="s">
        <v>35</v>
      </c>
      <c r="C96">
        <v>0.79677791999999992</v>
      </c>
    </row>
    <row r="97" spans="1:3" x14ac:dyDescent="0.25">
      <c r="A97">
        <v>205</v>
      </c>
      <c r="B97" t="s">
        <v>35</v>
      </c>
      <c r="C97">
        <v>0.18465374000000001</v>
      </c>
    </row>
    <row r="98" spans="1:3" x14ac:dyDescent="0.25">
      <c r="A98">
        <v>211</v>
      </c>
      <c r="B98" t="s">
        <v>35</v>
      </c>
      <c r="C98">
        <v>0.99999998000000001</v>
      </c>
    </row>
    <row r="99" spans="1:3" x14ac:dyDescent="0.25">
      <c r="A99">
        <v>212</v>
      </c>
      <c r="B99" t="s">
        <v>35</v>
      </c>
      <c r="C99">
        <v>1</v>
      </c>
    </row>
    <row r="100" spans="1:3" x14ac:dyDescent="0.25">
      <c r="A100">
        <v>213</v>
      </c>
      <c r="B100" t="s">
        <v>35</v>
      </c>
      <c r="C100">
        <v>0.99999994999999997</v>
      </c>
    </row>
    <row r="101" spans="1:3" x14ac:dyDescent="0.25">
      <c r="A101">
        <v>214</v>
      </c>
      <c r="B101" t="s">
        <v>35</v>
      </c>
      <c r="C101">
        <v>0.99999998000000001</v>
      </c>
    </row>
    <row r="102" spans="1:3" x14ac:dyDescent="0.25">
      <c r="A102">
        <v>220</v>
      </c>
      <c r="B102" t="s">
        <v>35</v>
      </c>
      <c r="C102">
        <v>0.99999998000000001</v>
      </c>
    </row>
    <row r="103" spans="1:3" x14ac:dyDescent="0.25">
      <c r="A103">
        <v>221</v>
      </c>
      <c r="B103" t="s">
        <v>35</v>
      </c>
      <c r="C103">
        <v>0.99999998000000001</v>
      </c>
    </row>
    <row r="104" spans="1:3" x14ac:dyDescent="0.25">
      <c r="A104">
        <v>222</v>
      </c>
      <c r="B104" t="s">
        <v>35</v>
      </c>
      <c r="C104">
        <v>1</v>
      </c>
    </row>
    <row r="105" spans="1:3" x14ac:dyDescent="0.25">
      <c r="A105">
        <v>223</v>
      </c>
      <c r="B105" t="s">
        <v>35</v>
      </c>
      <c r="C105">
        <v>1</v>
      </c>
    </row>
    <row r="106" spans="1:3" x14ac:dyDescent="0.25">
      <c r="A106">
        <v>224</v>
      </c>
      <c r="B106" t="s">
        <v>35</v>
      </c>
      <c r="C106">
        <v>0.99999998000000001</v>
      </c>
    </row>
    <row r="107" spans="1:3" x14ac:dyDescent="0.25">
      <c r="A107">
        <v>225</v>
      </c>
      <c r="B107" t="s">
        <v>35</v>
      </c>
      <c r="C107">
        <v>0.99999987000000001</v>
      </c>
    </row>
    <row r="108" spans="1:3" x14ac:dyDescent="0.25">
      <c r="A108">
        <v>226</v>
      </c>
      <c r="B108" t="s">
        <v>35</v>
      </c>
      <c r="C108">
        <v>0.99999990999999999</v>
      </c>
    </row>
    <row r="109" spans="1:3" x14ac:dyDescent="0.25">
      <c r="A109">
        <v>227</v>
      </c>
      <c r="B109" t="s">
        <v>35</v>
      </c>
      <c r="C109">
        <v>1</v>
      </c>
    </row>
    <row r="110" spans="1:3" x14ac:dyDescent="0.25">
      <c r="A110">
        <v>229</v>
      </c>
      <c r="B110" t="s">
        <v>35</v>
      </c>
      <c r="C110">
        <v>1</v>
      </c>
    </row>
    <row r="111" spans="1:3" x14ac:dyDescent="0.25">
      <c r="A111">
        <v>230</v>
      </c>
      <c r="B111" t="s">
        <v>35</v>
      </c>
      <c r="C111">
        <v>1</v>
      </c>
    </row>
    <row r="112" spans="1:3" x14ac:dyDescent="0.25">
      <c r="A112">
        <v>231</v>
      </c>
      <c r="B112" t="s">
        <v>35</v>
      </c>
      <c r="C112">
        <v>0.99999998000000001</v>
      </c>
    </row>
    <row r="113" spans="1:3" x14ac:dyDescent="0.25">
      <c r="A113">
        <v>232</v>
      </c>
      <c r="B113" t="s">
        <v>35</v>
      </c>
      <c r="C113">
        <v>0.99999994999999997</v>
      </c>
    </row>
    <row r="114" spans="1:3" x14ac:dyDescent="0.25">
      <c r="A114">
        <v>233</v>
      </c>
      <c r="B114" t="s">
        <v>35</v>
      </c>
      <c r="C114">
        <v>1</v>
      </c>
    </row>
    <row r="115" spans="1:3" x14ac:dyDescent="0.25">
      <c r="A115">
        <v>234</v>
      </c>
      <c r="B115" t="s">
        <v>35</v>
      </c>
      <c r="C115">
        <v>1</v>
      </c>
    </row>
    <row r="116" spans="1:3" x14ac:dyDescent="0.25">
      <c r="A116">
        <v>235</v>
      </c>
      <c r="B116" t="s">
        <v>35</v>
      </c>
      <c r="C116">
        <v>1</v>
      </c>
    </row>
    <row r="117" spans="1:3" x14ac:dyDescent="0.25">
      <c r="A117">
        <v>236</v>
      </c>
      <c r="B117" t="s">
        <v>35</v>
      </c>
      <c r="C117">
        <v>0.99999996999999996</v>
      </c>
    </row>
    <row r="118" spans="1:3" x14ac:dyDescent="0.25">
      <c r="A118">
        <v>237</v>
      </c>
      <c r="B118" t="s">
        <v>35</v>
      </c>
      <c r="C118">
        <v>1</v>
      </c>
    </row>
    <row r="119" spans="1:3" x14ac:dyDescent="0.25">
      <c r="A119">
        <v>238</v>
      </c>
      <c r="B119" t="s">
        <v>35</v>
      </c>
      <c r="C119">
        <v>1</v>
      </c>
    </row>
    <row r="120" spans="1:3" x14ac:dyDescent="0.25">
      <c r="A120">
        <v>242</v>
      </c>
      <c r="B120" t="s">
        <v>35</v>
      </c>
      <c r="C120">
        <v>1</v>
      </c>
    </row>
    <row r="121" spans="1:3" x14ac:dyDescent="0.25">
      <c r="A121">
        <v>243</v>
      </c>
      <c r="B121" t="s">
        <v>35</v>
      </c>
      <c r="C121">
        <v>1</v>
      </c>
    </row>
    <row r="122" spans="1:3" x14ac:dyDescent="0.25">
      <c r="A122">
        <v>244</v>
      </c>
      <c r="B122" t="s">
        <v>35</v>
      </c>
      <c r="C122">
        <v>1</v>
      </c>
    </row>
    <row r="123" spans="1:3" x14ac:dyDescent="0.25">
      <c r="A123">
        <v>245</v>
      </c>
      <c r="B123" t="s">
        <v>35</v>
      </c>
      <c r="C123">
        <v>1</v>
      </c>
    </row>
    <row r="124" spans="1:3" x14ac:dyDescent="0.25">
      <c r="A124">
        <v>246</v>
      </c>
      <c r="B124" t="s">
        <v>35</v>
      </c>
      <c r="C124">
        <v>0.99999999000000006</v>
      </c>
    </row>
    <row r="125" spans="1:3" x14ac:dyDescent="0.25">
      <c r="A125">
        <v>249</v>
      </c>
      <c r="B125" t="s">
        <v>35</v>
      </c>
      <c r="C125">
        <v>0.99999999000000006</v>
      </c>
    </row>
    <row r="126" spans="1:3" x14ac:dyDescent="0.25">
      <c r="A126">
        <v>254</v>
      </c>
      <c r="B126" t="s">
        <v>35</v>
      </c>
      <c r="C126">
        <v>0.99999998000000001</v>
      </c>
    </row>
    <row r="127" spans="1:3" x14ac:dyDescent="0.25">
      <c r="A127">
        <v>256</v>
      </c>
      <c r="B127" t="s">
        <v>35</v>
      </c>
      <c r="C127">
        <v>1</v>
      </c>
    </row>
    <row r="128" spans="1:3" x14ac:dyDescent="0.25">
      <c r="A128">
        <v>257</v>
      </c>
      <c r="B128" t="s">
        <v>35</v>
      </c>
      <c r="C128">
        <v>1</v>
      </c>
    </row>
    <row r="129" spans="1:3" x14ac:dyDescent="0.25">
      <c r="A129">
        <v>258</v>
      </c>
      <c r="B129" t="s">
        <v>35</v>
      </c>
      <c r="C129">
        <v>0.99999994000000003</v>
      </c>
    </row>
    <row r="130" spans="1:3" x14ac:dyDescent="0.25">
      <c r="A130">
        <v>259</v>
      </c>
      <c r="B130" t="s">
        <v>35</v>
      </c>
      <c r="C130">
        <v>0.99999994000000003</v>
      </c>
    </row>
    <row r="131" spans="1:3" x14ac:dyDescent="0.25">
      <c r="A131">
        <v>260</v>
      </c>
      <c r="B131" t="s">
        <v>35</v>
      </c>
      <c r="C131">
        <v>1</v>
      </c>
    </row>
    <row r="132" spans="1:3" x14ac:dyDescent="0.25">
      <c r="A132">
        <v>261</v>
      </c>
      <c r="B132" t="s">
        <v>35</v>
      </c>
      <c r="C132">
        <v>0.99999999000000006</v>
      </c>
    </row>
    <row r="133" spans="1:3" x14ac:dyDescent="0.25">
      <c r="A133">
        <v>279</v>
      </c>
      <c r="B133" t="s">
        <v>35</v>
      </c>
      <c r="C133">
        <v>1</v>
      </c>
    </row>
    <row r="134" spans="1:3" x14ac:dyDescent="0.25">
      <c r="A134">
        <v>280</v>
      </c>
      <c r="B134" t="s">
        <v>35</v>
      </c>
      <c r="C134">
        <v>0.99999988000000006</v>
      </c>
    </row>
    <row r="135" spans="1:3" x14ac:dyDescent="0.25">
      <c r="A135">
        <v>281</v>
      </c>
      <c r="B135" t="s">
        <v>35</v>
      </c>
      <c r="C135">
        <v>0.99999984999999991</v>
      </c>
    </row>
    <row r="136" spans="1:3" x14ac:dyDescent="0.25">
      <c r="A136">
        <v>282</v>
      </c>
      <c r="B136" t="s">
        <v>35</v>
      </c>
      <c r="C136">
        <v>1</v>
      </c>
    </row>
    <row r="137" spans="1:3" x14ac:dyDescent="0.25">
      <c r="A137">
        <v>283</v>
      </c>
      <c r="B137" t="s">
        <v>35</v>
      </c>
      <c r="C137">
        <v>0.99999995999999991</v>
      </c>
    </row>
    <row r="138" spans="1:3" x14ac:dyDescent="0.25">
      <c r="A138">
        <v>284</v>
      </c>
      <c r="B138" t="s">
        <v>35</v>
      </c>
      <c r="C138">
        <v>1</v>
      </c>
    </row>
    <row r="139" spans="1:3" x14ac:dyDescent="0.25">
      <c r="A139">
        <v>285</v>
      </c>
      <c r="B139" t="s">
        <v>35</v>
      </c>
      <c r="C139">
        <v>1</v>
      </c>
    </row>
    <row r="140" spans="1:3" x14ac:dyDescent="0.25">
      <c r="A140">
        <v>286</v>
      </c>
      <c r="B140" t="s">
        <v>35</v>
      </c>
      <c r="C140">
        <v>1</v>
      </c>
    </row>
    <row r="141" spans="1:3" x14ac:dyDescent="0.25">
      <c r="A141">
        <v>289</v>
      </c>
      <c r="B141" t="s">
        <v>35</v>
      </c>
      <c r="C141">
        <v>0.99999998000000001</v>
      </c>
    </row>
    <row r="142" spans="1:3" x14ac:dyDescent="0.25">
      <c r="A142">
        <v>290</v>
      </c>
      <c r="B142" t="s">
        <v>35</v>
      </c>
      <c r="C142">
        <v>1</v>
      </c>
    </row>
    <row r="143" spans="1:3" x14ac:dyDescent="0.25">
      <c r="A143">
        <v>294</v>
      </c>
      <c r="B143" t="s">
        <v>35</v>
      </c>
      <c r="C143">
        <v>0.99999984999999991</v>
      </c>
    </row>
    <row r="144" spans="1:3" x14ac:dyDescent="0.25">
      <c r="A144">
        <v>295</v>
      </c>
      <c r="B144" t="s">
        <v>35</v>
      </c>
      <c r="C144">
        <v>1</v>
      </c>
    </row>
    <row r="145" spans="1:3" x14ac:dyDescent="0.25">
      <c r="A145">
        <v>296</v>
      </c>
      <c r="B145" t="s">
        <v>35</v>
      </c>
      <c r="C145">
        <v>1</v>
      </c>
    </row>
    <row r="146" spans="1:3" x14ac:dyDescent="0.25">
      <c r="A146">
        <v>298</v>
      </c>
      <c r="B146" t="s">
        <v>35</v>
      </c>
      <c r="C146">
        <v>0.99999999000000006</v>
      </c>
    </row>
    <row r="147" spans="1:3" x14ac:dyDescent="0.25">
      <c r="A147">
        <v>299</v>
      </c>
      <c r="B147" t="s">
        <v>35</v>
      </c>
      <c r="C147">
        <v>0.99999999000000006</v>
      </c>
    </row>
    <row r="148" spans="1:3" x14ac:dyDescent="0.25">
      <c r="A148">
        <v>300</v>
      </c>
      <c r="B148" t="s">
        <v>35</v>
      </c>
      <c r="C148">
        <v>1</v>
      </c>
    </row>
    <row r="149" spans="1:3" x14ac:dyDescent="0.25">
      <c r="A149">
        <v>301</v>
      </c>
      <c r="B149" t="s">
        <v>35</v>
      </c>
      <c r="C149">
        <v>1</v>
      </c>
    </row>
    <row r="150" spans="1:3" x14ac:dyDescent="0.25">
      <c r="A150">
        <v>302</v>
      </c>
      <c r="B150" t="s">
        <v>35</v>
      </c>
      <c r="C150">
        <v>0.99999995999999991</v>
      </c>
    </row>
    <row r="151" spans="1:3" x14ac:dyDescent="0.25">
      <c r="A151">
        <v>303</v>
      </c>
      <c r="B151" t="s">
        <v>35</v>
      </c>
      <c r="C151">
        <v>0.99999994999999997</v>
      </c>
    </row>
    <row r="152" spans="1:3" x14ac:dyDescent="0.25">
      <c r="A152">
        <v>304</v>
      </c>
      <c r="B152" t="s">
        <v>35</v>
      </c>
      <c r="C152">
        <v>1</v>
      </c>
    </row>
    <row r="153" spans="1:3" x14ac:dyDescent="0.25">
      <c r="A153">
        <v>309</v>
      </c>
      <c r="B153" t="s">
        <v>35</v>
      </c>
      <c r="C153">
        <v>1</v>
      </c>
    </row>
    <row r="154" spans="1:3" x14ac:dyDescent="0.25">
      <c r="A154">
        <v>310</v>
      </c>
      <c r="B154" t="s">
        <v>35</v>
      </c>
      <c r="C154">
        <v>1</v>
      </c>
    </row>
    <row r="155" spans="1:3" x14ac:dyDescent="0.25">
      <c r="A155">
        <v>312</v>
      </c>
      <c r="B155" t="s">
        <v>35</v>
      </c>
      <c r="C155">
        <v>0.99999995999999991</v>
      </c>
    </row>
    <row r="156" spans="1:3" x14ac:dyDescent="0.25">
      <c r="A156">
        <v>313</v>
      </c>
      <c r="B156" t="s">
        <v>35</v>
      </c>
      <c r="C156">
        <v>1</v>
      </c>
    </row>
    <row r="157" spans="1:3" x14ac:dyDescent="0.25">
      <c r="A157">
        <v>314</v>
      </c>
      <c r="B157" t="s">
        <v>35</v>
      </c>
      <c r="C157">
        <v>0.99999998000000001</v>
      </c>
    </row>
    <row r="158" spans="1:3" x14ac:dyDescent="0.25">
      <c r="A158">
        <v>322</v>
      </c>
      <c r="B158" t="s">
        <v>35</v>
      </c>
      <c r="C158">
        <v>0.99999999000000006</v>
      </c>
    </row>
    <row r="159" spans="1:3" x14ac:dyDescent="0.25">
      <c r="A159">
        <v>323</v>
      </c>
      <c r="B159" t="s">
        <v>35</v>
      </c>
      <c r="C159">
        <v>0.99999998000000001</v>
      </c>
    </row>
    <row r="160" spans="1:3" x14ac:dyDescent="0.25">
      <c r="A160">
        <v>324</v>
      </c>
      <c r="B160" t="s">
        <v>35</v>
      </c>
      <c r="C160">
        <v>1</v>
      </c>
    </row>
    <row r="161" spans="1:3" x14ac:dyDescent="0.25">
      <c r="A161">
        <v>330</v>
      </c>
      <c r="B161" t="s">
        <v>35</v>
      </c>
      <c r="C161">
        <v>0.99999996999999996</v>
      </c>
    </row>
    <row r="162" spans="1:3" x14ac:dyDescent="0.25">
      <c r="A162">
        <v>332</v>
      </c>
      <c r="B162" t="s">
        <v>35</v>
      </c>
      <c r="C162">
        <v>0.99999995999999991</v>
      </c>
    </row>
    <row r="163" spans="1:3" x14ac:dyDescent="0.25">
      <c r="A163">
        <v>333</v>
      </c>
      <c r="B163" t="s">
        <v>35</v>
      </c>
      <c r="C163">
        <v>1</v>
      </c>
    </row>
    <row r="164" spans="1:3" x14ac:dyDescent="0.25">
      <c r="A164">
        <v>334</v>
      </c>
      <c r="B164" t="s">
        <v>35</v>
      </c>
      <c r="C164">
        <v>1</v>
      </c>
    </row>
    <row r="165" spans="1:3" x14ac:dyDescent="0.25">
      <c r="A165">
        <v>335</v>
      </c>
      <c r="B165" t="s">
        <v>35</v>
      </c>
      <c r="C165">
        <v>1</v>
      </c>
    </row>
    <row r="166" spans="1:3" x14ac:dyDescent="0.25">
      <c r="A166">
        <v>336</v>
      </c>
      <c r="B166" t="s">
        <v>35</v>
      </c>
      <c r="C166">
        <v>0.99999996999999996</v>
      </c>
    </row>
    <row r="167" spans="1:3" x14ac:dyDescent="0.25">
      <c r="A167">
        <v>338</v>
      </c>
      <c r="B167" t="s">
        <v>35</v>
      </c>
      <c r="C167">
        <v>1</v>
      </c>
    </row>
    <row r="168" spans="1:3" x14ac:dyDescent="0.25">
      <c r="A168">
        <v>345</v>
      </c>
      <c r="B168" t="s">
        <v>35</v>
      </c>
      <c r="C168">
        <v>1</v>
      </c>
    </row>
    <row r="169" spans="1:3" x14ac:dyDescent="0.25">
      <c r="A169">
        <v>346</v>
      </c>
      <c r="B169" t="s">
        <v>35</v>
      </c>
      <c r="C169">
        <v>1</v>
      </c>
    </row>
    <row r="170" spans="1:3" x14ac:dyDescent="0.25">
      <c r="A170">
        <v>347</v>
      </c>
      <c r="B170" t="s">
        <v>35</v>
      </c>
      <c r="C170">
        <v>1</v>
      </c>
    </row>
    <row r="171" spans="1:3" x14ac:dyDescent="0.25">
      <c r="A171">
        <v>350</v>
      </c>
      <c r="B171" t="s">
        <v>35</v>
      </c>
      <c r="C171">
        <v>0.99999983999999997</v>
      </c>
    </row>
    <row r="172" spans="1:3" x14ac:dyDescent="0.25">
      <c r="A172">
        <v>354</v>
      </c>
      <c r="B172" t="s">
        <v>35</v>
      </c>
      <c r="C172">
        <v>1</v>
      </c>
    </row>
    <row r="173" spans="1:3" x14ac:dyDescent="0.25">
      <c r="A173">
        <v>357</v>
      </c>
      <c r="B173" t="s">
        <v>35</v>
      </c>
      <c r="C173">
        <v>1</v>
      </c>
    </row>
    <row r="174" spans="1:3" x14ac:dyDescent="0.25">
      <c r="A174">
        <v>358</v>
      </c>
      <c r="B174" t="s">
        <v>35</v>
      </c>
      <c r="C174">
        <v>1</v>
      </c>
    </row>
    <row r="175" spans="1:3" x14ac:dyDescent="0.25">
      <c r="A175">
        <v>359</v>
      </c>
      <c r="B175" t="s">
        <v>35</v>
      </c>
      <c r="C175">
        <v>0.99999994999999997</v>
      </c>
    </row>
    <row r="176" spans="1:3" x14ac:dyDescent="0.25">
      <c r="A176">
        <v>360</v>
      </c>
      <c r="B176" t="s">
        <v>35</v>
      </c>
      <c r="C176">
        <v>1</v>
      </c>
    </row>
    <row r="177" spans="1:3" x14ac:dyDescent="0.25">
      <c r="A177">
        <v>361</v>
      </c>
      <c r="B177" t="s">
        <v>35</v>
      </c>
      <c r="C177">
        <v>1</v>
      </c>
    </row>
    <row r="178" spans="1:3" x14ac:dyDescent="0.25">
      <c r="A178">
        <v>362</v>
      </c>
      <c r="B178" t="s">
        <v>35</v>
      </c>
      <c r="C178">
        <v>1</v>
      </c>
    </row>
    <row r="179" spans="1:3" x14ac:dyDescent="0.25">
      <c r="A179">
        <v>363</v>
      </c>
      <c r="B179" t="s">
        <v>35</v>
      </c>
      <c r="C179">
        <v>0.99999996999999996</v>
      </c>
    </row>
    <row r="180" spans="1:3" x14ac:dyDescent="0.25">
      <c r="A180">
        <v>365</v>
      </c>
      <c r="B180" t="s">
        <v>35</v>
      </c>
      <c r="C180">
        <v>1</v>
      </c>
    </row>
    <row r="181" spans="1:3" x14ac:dyDescent="0.25">
      <c r="A181">
        <v>366</v>
      </c>
      <c r="B181" t="s">
        <v>35</v>
      </c>
      <c r="C181">
        <v>0.99999996999999996</v>
      </c>
    </row>
    <row r="182" spans="1:3" x14ac:dyDescent="0.25">
      <c r="A182">
        <v>368</v>
      </c>
      <c r="B182" t="s">
        <v>35</v>
      </c>
      <c r="C182">
        <v>0.99999999000000006</v>
      </c>
    </row>
    <row r="183" spans="1:3" x14ac:dyDescent="0.25">
      <c r="A183">
        <v>373</v>
      </c>
      <c r="B183" t="s">
        <v>35</v>
      </c>
      <c r="C183">
        <v>1</v>
      </c>
    </row>
    <row r="184" spans="1:3" x14ac:dyDescent="0.25">
      <c r="A184">
        <v>374</v>
      </c>
      <c r="B184" t="s">
        <v>35</v>
      </c>
      <c r="C184">
        <v>1</v>
      </c>
    </row>
    <row r="185" spans="1:3" x14ac:dyDescent="0.25">
      <c r="A185">
        <v>376</v>
      </c>
      <c r="B185" t="s">
        <v>35</v>
      </c>
      <c r="C185">
        <v>1</v>
      </c>
    </row>
    <row r="186" spans="1:3" x14ac:dyDescent="0.25">
      <c r="A186">
        <v>378</v>
      </c>
      <c r="B186" t="s">
        <v>35</v>
      </c>
      <c r="C186">
        <v>1</v>
      </c>
    </row>
    <row r="187" spans="1:3" x14ac:dyDescent="0.25">
      <c r="A187">
        <v>379</v>
      </c>
      <c r="B187" t="s">
        <v>35</v>
      </c>
      <c r="C187">
        <v>1</v>
      </c>
    </row>
    <row r="188" spans="1:3" x14ac:dyDescent="0.25">
      <c r="A188">
        <v>380</v>
      </c>
      <c r="B188" t="s">
        <v>35</v>
      </c>
      <c r="C188">
        <v>1</v>
      </c>
    </row>
    <row r="189" spans="1:3" x14ac:dyDescent="0.25">
      <c r="A189">
        <v>381</v>
      </c>
      <c r="B189" t="s">
        <v>35</v>
      </c>
      <c r="C189">
        <v>0.99999981999999998</v>
      </c>
    </row>
    <row r="190" spans="1:3" x14ac:dyDescent="0.25">
      <c r="A190">
        <v>382</v>
      </c>
      <c r="B190" t="s">
        <v>35</v>
      </c>
      <c r="C190">
        <v>0.99984451000000008</v>
      </c>
    </row>
    <row r="191" spans="1:3" x14ac:dyDescent="0.25">
      <c r="A191">
        <v>383</v>
      </c>
      <c r="B191" t="s">
        <v>35</v>
      </c>
      <c r="C191">
        <v>1</v>
      </c>
    </row>
    <row r="192" spans="1:3" x14ac:dyDescent="0.25">
      <c r="A192">
        <v>384</v>
      </c>
      <c r="B192" t="s">
        <v>35</v>
      </c>
      <c r="C192">
        <v>0.99999994999999997</v>
      </c>
    </row>
    <row r="193" spans="1:3" x14ac:dyDescent="0.25">
      <c r="A193">
        <v>388</v>
      </c>
      <c r="B193" t="s">
        <v>35</v>
      </c>
      <c r="C193">
        <v>1</v>
      </c>
    </row>
    <row r="194" spans="1:3" x14ac:dyDescent="0.25">
      <c r="A194">
        <v>389</v>
      </c>
      <c r="B194" t="s">
        <v>35</v>
      </c>
      <c r="C194">
        <v>0.99058588000000003</v>
      </c>
    </row>
    <row r="195" spans="1:3" x14ac:dyDescent="0.25">
      <c r="A195">
        <v>390</v>
      </c>
      <c r="B195" t="s">
        <v>35</v>
      </c>
      <c r="C195">
        <v>1</v>
      </c>
    </row>
    <row r="196" spans="1:3" x14ac:dyDescent="0.25">
      <c r="A196">
        <v>395</v>
      </c>
      <c r="B196" t="s">
        <v>35</v>
      </c>
      <c r="C196">
        <v>0.94925495999999998</v>
      </c>
    </row>
    <row r="197" spans="1:3" x14ac:dyDescent="0.25">
      <c r="A197">
        <v>395</v>
      </c>
      <c r="B197" t="s">
        <v>29</v>
      </c>
      <c r="C197">
        <v>4.0330000000000002E-5</v>
      </c>
    </row>
    <row r="198" spans="1:3" x14ac:dyDescent="0.25">
      <c r="A198">
        <v>396</v>
      </c>
      <c r="B198" t="s">
        <v>35</v>
      </c>
      <c r="C198">
        <v>0.99999995999999991</v>
      </c>
    </row>
    <row r="199" spans="1:3" x14ac:dyDescent="0.25">
      <c r="A199">
        <v>411</v>
      </c>
      <c r="B199" t="s">
        <v>35</v>
      </c>
      <c r="C199">
        <v>0.99999998000000001</v>
      </c>
    </row>
    <row r="200" spans="1:3" x14ac:dyDescent="0.25">
      <c r="A200">
        <v>414</v>
      </c>
      <c r="B200" t="s">
        <v>35</v>
      </c>
      <c r="C200">
        <v>3.9810560000000002E-2</v>
      </c>
    </row>
    <row r="201" spans="1:3" x14ac:dyDescent="0.25">
      <c r="A201">
        <v>415</v>
      </c>
      <c r="B201" t="s">
        <v>35</v>
      </c>
      <c r="C201">
        <v>5.0931999999999996E-4</v>
      </c>
    </row>
    <row r="202" spans="1:3" x14ac:dyDescent="0.25">
      <c r="A202">
        <v>415</v>
      </c>
      <c r="B202" t="s">
        <v>29</v>
      </c>
      <c r="C202">
        <v>2.6148399999999998E-3</v>
      </c>
    </row>
    <row r="203" spans="1:3" x14ac:dyDescent="0.25">
      <c r="A203">
        <v>416</v>
      </c>
      <c r="B203" t="s">
        <v>29</v>
      </c>
      <c r="C203">
        <v>0.97842969000000002</v>
      </c>
    </row>
    <row r="204" spans="1:3" x14ac:dyDescent="0.25">
      <c r="A204">
        <v>417</v>
      </c>
      <c r="B204" t="s">
        <v>29</v>
      </c>
      <c r="C204">
        <v>0.91415018000000003</v>
      </c>
    </row>
    <row r="205" spans="1:3" x14ac:dyDescent="0.25">
      <c r="A205">
        <v>419</v>
      </c>
      <c r="B205" t="s">
        <v>35</v>
      </c>
      <c r="C205">
        <v>2.527E-5</v>
      </c>
    </row>
    <row r="206" spans="1:3" x14ac:dyDescent="0.25">
      <c r="A206">
        <v>419</v>
      </c>
      <c r="B206" t="s">
        <v>29</v>
      </c>
      <c r="C206">
        <v>1.6056100000000002E-3</v>
      </c>
    </row>
    <row r="207" spans="1:3" x14ac:dyDescent="0.25">
      <c r="A207">
        <v>420</v>
      </c>
      <c r="B207" t="s">
        <v>35</v>
      </c>
      <c r="C207">
        <v>3.4937599999999999E-2</v>
      </c>
    </row>
    <row r="208" spans="1:3" x14ac:dyDescent="0.25">
      <c r="A208">
        <v>421</v>
      </c>
      <c r="B208" t="s">
        <v>35</v>
      </c>
      <c r="C208">
        <v>0.98035612000000005</v>
      </c>
    </row>
    <row r="209" spans="1:3" x14ac:dyDescent="0.25">
      <c r="A209">
        <v>422</v>
      </c>
      <c r="B209" t="s">
        <v>35</v>
      </c>
      <c r="C209">
        <v>4.4651000000000001E-4</v>
      </c>
    </row>
    <row r="210" spans="1:3" x14ac:dyDescent="0.25">
      <c r="A210">
        <v>426</v>
      </c>
      <c r="B210" t="s">
        <v>35</v>
      </c>
      <c r="C210">
        <v>0.99323766000000002</v>
      </c>
    </row>
    <row r="211" spans="1:3" x14ac:dyDescent="0.25">
      <c r="A211">
        <v>427</v>
      </c>
      <c r="B211" t="s">
        <v>35</v>
      </c>
      <c r="C211">
        <v>1.5537999999999999E-4</v>
      </c>
    </row>
    <row r="212" spans="1:3" x14ac:dyDescent="0.25">
      <c r="A212">
        <v>428</v>
      </c>
      <c r="B212" t="s">
        <v>35</v>
      </c>
      <c r="C212">
        <v>2.82372E-3</v>
      </c>
    </row>
    <row r="213" spans="1:3" x14ac:dyDescent="0.25">
      <c r="A213">
        <v>429</v>
      </c>
      <c r="B213" t="s">
        <v>35</v>
      </c>
      <c r="C213">
        <v>0.99672242999999994</v>
      </c>
    </row>
    <row r="214" spans="1:3" x14ac:dyDescent="0.25">
      <c r="A214">
        <v>430</v>
      </c>
      <c r="B214" t="s">
        <v>35</v>
      </c>
      <c r="C214">
        <v>0.72608200000000001</v>
      </c>
    </row>
    <row r="215" spans="1:3" x14ac:dyDescent="0.25">
      <c r="A215">
        <v>431</v>
      </c>
      <c r="B215" t="s">
        <v>35</v>
      </c>
      <c r="C215">
        <v>2.5836990000000001E-2</v>
      </c>
    </row>
    <row r="216" spans="1:3" x14ac:dyDescent="0.25">
      <c r="A216">
        <v>432</v>
      </c>
      <c r="B216" t="s">
        <v>35</v>
      </c>
      <c r="C216">
        <v>2.71003E-3</v>
      </c>
    </row>
    <row r="217" spans="1:3" x14ac:dyDescent="0.25">
      <c r="A217">
        <v>433</v>
      </c>
      <c r="B217" t="s">
        <v>35</v>
      </c>
      <c r="C217">
        <v>0.99995271000000008</v>
      </c>
    </row>
    <row r="218" spans="1:3" x14ac:dyDescent="0.25">
      <c r="A218">
        <v>434</v>
      </c>
      <c r="B218" t="s">
        <v>35</v>
      </c>
      <c r="C218">
        <v>0.60650576999999994</v>
      </c>
    </row>
    <row r="219" spans="1:3" x14ac:dyDescent="0.25">
      <c r="A219">
        <v>435</v>
      </c>
      <c r="B219" t="s">
        <v>35</v>
      </c>
      <c r="C219">
        <v>0.99916409000000006</v>
      </c>
    </row>
    <row r="220" spans="1:3" x14ac:dyDescent="0.25">
      <c r="A220">
        <v>436</v>
      </c>
      <c r="B220" t="s">
        <v>35</v>
      </c>
      <c r="C220">
        <v>1</v>
      </c>
    </row>
    <row r="221" spans="1:3" x14ac:dyDescent="0.25">
      <c r="A221">
        <v>439</v>
      </c>
      <c r="B221" t="s">
        <v>35</v>
      </c>
      <c r="C221">
        <v>0.99999998000000001</v>
      </c>
    </row>
    <row r="222" spans="1:3" x14ac:dyDescent="0.25">
      <c r="A222">
        <v>442</v>
      </c>
      <c r="B222" t="s">
        <v>35</v>
      </c>
      <c r="C222">
        <v>1</v>
      </c>
    </row>
    <row r="223" spans="1:3" x14ac:dyDescent="0.25">
      <c r="A223">
        <v>447</v>
      </c>
      <c r="B223" t="s">
        <v>35</v>
      </c>
      <c r="C223">
        <v>0.86064578999999997</v>
      </c>
    </row>
    <row r="224" spans="1:3" x14ac:dyDescent="0.25">
      <c r="A224">
        <v>450</v>
      </c>
      <c r="B224" t="s">
        <v>35</v>
      </c>
      <c r="C224">
        <v>1.319822E-2</v>
      </c>
    </row>
    <row r="225" spans="1:3" x14ac:dyDescent="0.25">
      <c r="A225">
        <v>451</v>
      </c>
      <c r="B225" t="s">
        <v>35</v>
      </c>
      <c r="C225">
        <v>0.94862720999999994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778D-3F39-4BC6-A8ED-47E3398C0F32}">
  <dimension ref="A1:E273"/>
  <sheetViews>
    <sheetView topLeftCell="A97" workbookViewId="0">
      <selection activeCell="G8" sqref="G8"/>
    </sheetView>
  </sheetViews>
  <sheetFormatPr defaultRowHeight="15" x14ac:dyDescent="0.25"/>
  <cols>
    <col min="1" max="1" width="37.85546875" style="1" customWidth="1"/>
    <col min="2" max="2" width="20.7109375" bestFit="1" customWidth="1"/>
    <col min="3" max="3" width="12" bestFit="1" customWidth="1"/>
    <col min="4" max="4" width="23.140625" customWidth="1"/>
  </cols>
  <sheetData>
    <row r="1" spans="1:5" x14ac:dyDescent="0.25">
      <c r="A1" s="1" t="s">
        <v>0</v>
      </c>
      <c r="B1" t="s">
        <v>14</v>
      </c>
      <c r="C1" t="s">
        <v>20</v>
      </c>
      <c r="D1" t="s">
        <v>30</v>
      </c>
      <c r="E1" t="s">
        <v>36</v>
      </c>
    </row>
    <row r="2" spans="1:5" x14ac:dyDescent="0.25">
      <c r="A2" s="1">
        <v>410470004001</v>
      </c>
      <c r="B2" t="s">
        <v>7</v>
      </c>
      <c r="C2">
        <v>661829.00624699995</v>
      </c>
      <c r="D2">
        <v>0.49971868999999997</v>
      </c>
      <c r="E2" t="s">
        <v>37</v>
      </c>
    </row>
    <row r="3" spans="1:5" x14ac:dyDescent="0.25">
      <c r="A3" s="1">
        <v>410470004002</v>
      </c>
      <c r="B3" t="s">
        <v>7</v>
      </c>
      <c r="C3">
        <v>333565.32285400003</v>
      </c>
      <c r="D3">
        <v>0.21375675999999999</v>
      </c>
      <c r="E3" t="s">
        <v>37</v>
      </c>
    </row>
    <row r="4" spans="1:5" x14ac:dyDescent="0.25">
      <c r="A4" s="1">
        <v>410470014011</v>
      </c>
      <c r="B4" t="s">
        <v>7</v>
      </c>
      <c r="C4">
        <v>2470509.4961999999</v>
      </c>
      <c r="D4">
        <v>1</v>
      </c>
      <c r="E4" t="s">
        <v>37</v>
      </c>
    </row>
    <row r="5" spans="1:5" x14ac:dyDescent="0.25">
      <c r="A5" s="1">
        <v>410470014012</v>
      </c>
      <c r="B5" t="s">
        <v>7</v>
      </c>
      <c r="C5">
        <v>670859.87718099996</v>
      </c>
      <c r="D5">
        <v>0.13365206000000002</v>
      </c>
      <c r="E5" t="s">
        <v>37</v>
      </c>
    </row>
    <row r="6" spans="1:5" x14ac:dyDescent="0.25">
      <c r="A6" s="1">
        <v>410470014013</v>
      </c>
      <c r="B6" t="s">
        <v>7</v>
      </c>
      <c r="C6">
        <v>1000931.514756</v>
      </c>
      <c r="D6">
        <v>1</v>
      </c>
      <c r="E6" t="s">
        <v>37</v>
      </c>
    </row>
    <row r="7" spans="1:5" x14ac:dyDescent="0.25">
      <c r="A7" s="1">
        <v>410470014021</v>
      </c>
      <c r="B7" t="s">
        <v>7</v>
      </c>
      <c r="C7">
        <v>686460.57402299996</v>
      </c>
      <c r="D7">
        <v>0.99217253999999999</v>
      </c>
      <c r="E7" t="s">
        <v>37</v>
      </c>
    </row>
    <row r="8" spans="1:5" x14ac:dyDescent="0.25">
      <c r="A8" s="1">
        <v>410470014022</v>
      </c>
      <c r="B8" t="s">
        <v>7</v>
      </c>
      <c r="C8">
        <v>777814.98770900001</v>
      </c>
      <c r="D8">
        <v>1</v>
      </c>
      <c r="E8" t="s">
        <v>37</v>
      </c>
    </row>
    <row r="9" spans="1:5" x14ac:dyDescent="0.25">
      <c r="A9" s="1">
        <v>410470014023</v>
      </c>
      <c r="B9" t="s">
        <v>7</v>
      </c>
      <c r="C9">
        <v>1309211.235297</v>
      </c>
      <c r="D9">
        <v>0.99535812000000012</v>
      </c>
      <c r="E9" t="s">
        <v>37</v>
      </c>
    </row>
    <row r="10" spans="1:5" x14ac:dyDescent="0.25">
      <c r="A10" s="1">
        <v>410470015011</v>
      </c>
      <c r="B10" t="s">
        <v>7</v>
      </c>
      <c r="C10">
        <v>1337343.9876089999</v>
      </c>
      <c r="D10">
        <v>1</v>
      </c>
      <c r="E10" t="s">
        <v>37</v>
      </c>
    </row>
    <row r="11" spans="1:5" x14ac:dyDescent="0.25">
      <c r="A11" s="1">
        <v>410470015012</v>
      </c>
      <c r="B11" t="s">
        <v>7</v>
      </c>
      <c r="C11">
        <v>864839.22456300003</v>
      </c>
      <c r="D11">
        <v>1</v>
      </c>
      <c r="E11" t="s">
        <v>37</v>
      </c>
    </row>
    <row r="12" spans="1:5" x14ac:dyDescent="0.25">
      <c r="A12" s="1">
        <v>410470015013</v>
      </c>
      <c r="B12" t="s">
        <v>7</v>
      </c>
      <c r="C12">
        <v>838849.249557</v>
      </c>
      <c r="D12">
        <v>0.99999996999999996</v>
      </c>
      <c r="E12" t="s">
        <v>37</v>
      </c>
    </row>
    <row r="13" spans="1:5" x14ac:dyDescent="0.25">
      <c r="A13" s="1">
        <v>410470015021</v>
      </c>
      <c r="B13" t="s">
        <v>7</v>
      </c>
      <c r="C13">
        <v>1038865.679445</v>
      </c>
      <c r="D13">
        <v>1</v>
      </c>
      <c r="E13" t="s">
        <v>37</v>
      </c>
    </row>
    <row r="14" spans="1:5" x14ac:dyDescent="0.25">
      <c r="A14" s="1">
        <v>410470015022</v>
      </c>
      <c r="B14" t="s">
        <v>7</v>
      </c>
      <c r="C14">
        <v>1033915.4268200001</v>
      </c>
      <c r="D14">
        <v>0.75816958000000001</v>
      </c>
      <c r="E14" t="s">
        <v>37</v>
      </c>
    </row>
    <row r="15" spans="1:5" x14ac:dyDescent="0.25">
      <c r="A15" s="1">
        <v>410470015023</v>
      </c>
      <c r="B15" t="s">
        <v>7</v>
      </c>
      <c r="C15">
        <v>476727.796393</v>
      </c>
      <c r="D15">
        <v>1</v>
      </c>
      <c r="E15" t="s">
        <v>37</v>
      </c>
    </row>
    <row r="16" spans="1:5" x14ac:dyDescent="0.25">
      <c r="A16" s="1">
        <v>410470015031</v>
      </c>
      <c r="B16" t="s">
        <v>7</v>
      </c>
      <c r="C16">
        <v>535937.80952699995</v>
      </c>
      <c r="D16">
        <v>0.99989852999999995</v>
      </c>
      <c r="E16" t="s">
        <v>37</v>
      </c>
    </row>
    <row r="17" spans="1:5" x14ac:dyDescent="0.25">
      <c r="A17" s="1">
        <v>410470015032</v>
      </c>
      <c r="B17" t="s">
        <v>7</v>
      </c>
      <c r="C17">
        <v>699201.05205599999</v>
      </c>
      <c r="D17">
        <v>0.99999998000000001</v>
      </c>
      <c r="E17" t="s">
        <v>37</v>
      </c>
    </row>
    <row r="18" spans="1:5" x14ac:dyDescent="0.25">
      <c r="A18" s="1">
        <v>410470015033</v>
      </c>
      <c r="B18" t="s">
        <v>7</v>
      </c>
      <c r="C18">
        <v>1020138.025852</v>
      </c>
      <c r="D18">
        <v>0.96302153000000001</v>
      </c>
      <c r="E18" t="s">
        <v>37</v>
      </c>
    </row>
    <row r="19" spans="1:5" x14ac:dyDescent="0.25">
      <c r="A19" s="1">
        <v>410470025021</v>
      </c>
      <c r="B19" t="s">
        <v>7</v>
      </c>
      <c r="C19">
        <v>530267.823584</v>
      </c>
      <c r="D19">
        <v>1.7368310000000001E-2</v>
      </c>
      <c r="E19" t="s">
        <v>37</v>
      </c>
    </row>
    <row r="20" spans="1:5" x14ac:dyDescent="0.25">
      <c r="A20" s="1">
        <v>410470025023</v>
      </c>
      <c r="B20" t="s">
        <v>7</v>
      </c>
      <c r="C20">
        <v>18600.197899999999</v>
      </c>
      <c r="D20">
        <v>4.9531499999999999E-3</v>
      </c>
      <c r="E20" t="s">
        <v>37</v>
      </c>
    </row>
    <row r="21" spans="1:5" x14ac:dyDescent="0.25">
      <c r="A21" s="1">
        <v>410470025031</v>
      </c>
      <c r="B21" t="s">
        <v>7</v>
      </c>
      <c r="C21">
        <v>486757.51234999998</v>
      </c>
      <c r="D21">
        <v>0.99379308</v>
      </c>
      <c r="E21" t="s">
        <v>37</v>
      </c>
    </row>
    <row r="22" spans="1:5" x14ac:dyDescent="0.25">
      <c r="A22" s="1">
        <v>410470025032</v>
      </c>
      <c r="B22" t="s">
        <v>7</v>
      </c>
      <c r="C22">
        <v>745217.88286799996</v>
      </c>
      <c r="D22">
        <v>0.99959571999999997</v>
      </c>
      <c r="E22" t="s">
        <v>37</v>
      </c>
    </row>
    <row r="23" spans="1:5" x14ac:dyDescent="0.25">
      <c r="A23" s="1">
        <v>410470025033</v>
      </c>
      <c r="B23" t="s">
        <v>7</v>
      </c>
      <c r="C23">
        <v>589981.59971500002</v>
      </c>
      <c r="D23">
        <v>0.40024346999999999</v>
      </c>
      <c r="E23" t="s">
        <v>37</v>
      </c>
    </row>
    <row r="24" spans="1:5" x14ac:dyDescent="0.25">
      <c r="A24" s="1">
        <v>410470025041</v>
      </c>
      <c r="B24" t="s">
        <v>7</v>
      </c>
      <c r="C24">
        <v>801814.32725099998</v>
      </c>
      <c r="D24">
        <v>1</v>
      </c>
      <c r="E24" t="s">
        <v>37</v>
      </c>
    </row>
    <row r="25" spans="1:5" x14ac:dyDescent="0.25">
      <c r="A25" s="1">
        <v>410470025042</v>
      </c>
      <c r="B25" t="s">
        <v>7</v>
      </c>
      <c r="C25">
        <v>613096.30191299994</v>
      </c>
      <c r="D25">
        <v>0.58063263999999992</v>
      </c>
      <c r="E25" t="s">
        <v>37</v>
      </c>
    </row>
    <row r="26" spans="1:5" x14ac:dyDescent="0.25">
      <c r="A26" s="1">
        <v>410470025043</v>
      </c>
      <c r="B26" t="s">
        <v>7</v>
      </c>
      <c r="C26">
        <v>569997.27162799996</v>
      </c>
      <c r="D26">
        <v>0.99699563999999996</v>
      </c>
      <c r="E26" t="s">
        <v>37</v>
      </c>
    </row>
    <row r="27" spans="1:5" x14ac:dyDescent="0.25">
      <c r="A27" s="1">
        <v>410530052061</v>
      </c>
      <c r="B27" t="s">
        <v>7</v>
      </c>
      <c r="C27">
        <v>9097.1087430000007</v>
      </c>
      <c r="D27">
        <v>2.3647299999999998E-3</v>
      </c>
      <c r="E27" t="s">
        <v>37</v>
      </c>
    </row>
    <row r="28" spans="1:5" x14ac:dyDescent="0.25">
      <c r="A28" s="1">
        <v>410530053012</v>
      </c>
      <c r="B28" t="s">
        <v>7</v>
      </c>
      <c r="C28">
        <v>5860.6369500000001</v>
      </c>
      <c r="D28">
        <v>1.1414800000000001E-3</v>
      </c>
      <c r="E28" t="s">
        <v>37</v>
      </c>
    </row>
    <row r="29" spans="1:5" x14ac:dyDescent="0.25">
      <c r="A29" s="1">
        <v>410470016011</v>
      </c>
      <c r="B29" t="s">
        <v>56</v>
      </c>
      <c r="C29">
        <v>542718.34928299999</v>
      </c>
      <c r="D29">
        <v>0.32701552999999994</v>
      </c>
      <c r="E29" t="s">
        <v>37</v>
      </c>
    </row>
    <row r="30" spans="1:5" x14ac:dyDescent="0.25">
      <c r="A30" s="1">
        <v>410470016012</v>
      </c>
      <c r="B30" t="s">
        <v>56</v>
      </c>
      <c r="C30">
        <v>753577.52911600005</v>
      </c>
      <c r="D30">
        <v>1</v>
      </c>
      <c r="E30" t="s">
        <v>37</v>
      </c>
    </row>
    <row r="31" spans="1:5" x14ac:dyDescent="0.25">
      <c r="A31" s="1">
        <v>410470016013</v>
      </c>
      <c r="B31" t="s">
        <v>56</v>
      </c>
      <c r="C31">
        <v>514486.67368299997</v>
      </c>
      <c r="D31">
        <v>0.99999999000000006</v>
      </c>
      <c r="E31" t="s">
        <v>37</v>
      </c>
    </row>
    <row r="32" spans="1:5" x14ac:dyDescent="0.25">
      <c r="A32" s="1">
        <v>410470016014</v>
      </c>
      <c r="B32" t="s">
        <v>56</v>
      </c>
      <c r="C32">
        <v>497275.78012200003</v>
      </c>
      <c r="D32">
        <v>0.98991161000000005</v>
      </c>
      <c r="E32" t="s">
        <v>37</v>
      </c>
    </row>
    <row r="33" spans="1:5" x14ac:dyDescent="0.25">
      <c r="A33" s="1">
        <v>410470016015</v>
      </c>
      <c r="B33" t="s">
        <v>56</v>
      </c>
      <c r="C33">
        <v>674087.95522100001</v>
      </c>
      <c r="D33">
        <v>0.99752172000000006</v>
      </c>
      <c r="E33" t="s">
        <v>37</v>
      </c>
    </row>
    <row r="34" spans="1:5" x14ac:dyDescent="0.25">
      <c r="A34" s="1">
        <v>410470016031</v>
      </c>
      <c r="B34" t="s">
        <v>56</v>
      </c>
      <c r="C34">
        <v>702766.37631199998</v>
      </c>
      <c r="D34">
        <v>6.6128779999999998E-2</v>
      </c>
      <c r="E34" t="s">
        <v>37</v>
      </c>
    </row>
    <row r="35" spans="1:5" x14ac:dyDescent="0.25">
      <c r="A35" s="1">
        <v>410470016032</v>
      </c>
      <c r="B35" t="s">
        <v>56</v>
      </c>
      <c r="C35">
        <v>1277054.8887509999</v>
      </c>
      <c r="D35">
        <v>0.99999999000000006</v>
      </c>
      <c r="E35" t="s">
        <v>37</v>
      </c>
    </row>
    <row r="36" spans="1:5" x14ac:dyDescent="0.25">
      <c r="A36" s="1">
        <v>410470016033</v>
      </c>
      <c r="B36" t="s">
        <v>56</v>
      </c>
      <c r="C36">
        <v>578680.13507700001</v>
      </c>
      <c r="D36">
        <v>0.99982956999999995</v>
      </c>
      <c r="E36" t="s">
        <v>37</v>
      </c>
    </row>
    <row r="37" spans="1:5" x14ac:dyDescent="0.25">
      <c r="A37" s="1">
        <v>410470016034</v>
      </c>
      <c r="B37" t="s">
        <v>56</v>
      </c>
      <c r="C37">
        <v>464040.83618899999</v>
      </c>
      <c r="D37">
        <v>0.99810827999999996</v>
      </c>
      <c r="E37" t="s">
        <v>37</v>
      </c>
    </row>
    <row r="38" spans="1:5" x14ac:dyDescent="0.25">
      <c r="A38" s="1">
        <v>410470016051</v>
      </c>
      <c r="B38" t="s">
        <v>56</v>
      </c>
      <c r="C38">
        <v>534934.37664799998</v>
      </c>
      <c r="D38">
        <v>0.96759063999999995</v>
      </c>
      <c r="E38" t="s">
        <v>37</v>
      </c>
    </row>
    <row r="39" spans="1:5" x14ac:dyDescent="0.25">
      <c r="A39" s="1">
        <v>410470016052</v>
      </c>
      <c r="B39" t="s">
        <v>56</v>
      </c>
      <c r="C39">
        <v>331515.19786299998</v>
      </c>
      <c r="D39">
        <v>0.65957290999999996</v>
      </c>
      <c r="E39" t="s">
        <v>37</v>
      </c>
    </row>
    <row r="40" spans="1:5" x14ac:dyDescent="0.25">
      <c r="A40" s="1">
        <v>410470016061</v>
      </c>
      <c r="B40" t="s">
        <v>56</v>
      </c>
      <c r="C40">
        <v>350111.73052300001</v>
      </c>
      <c r="D40">
        <v>1</v>
      </c>
      <c r="E40" t="s">
        <v>37</v>
      </c>
    </row>
    <row r="41" spans="1:5" x14ac:dyDescent="0.25">
      <c r="A41" s="1">
        <v>410470016062</v>
      </c>
      <c r="B41" t="s">
        <v>56</v>
      </c>
      <c r="C41">
        <v>412114.74466999999</v>
      </c>
      <c r="D41">
        <v>1</v>
      </c>
      <c r="E41" t="s">
        <v>37</v>
      </c>
    </row>
    <row r="42" spans="1:5" x14ac:dyDescent="0.25">
      <c r="A42" s="1">
        <v>410470016063</v>
      </c>
      <c r="B42" t="s">
        <v>56</v>
      </c>
      <c r="C42">
        <v>1175429.885922</v>
      </c>
      <c r="D42">
        <v>0.99677654999999998</v>
      </c>
      <c r="E42" t="s">
        <v>37</v>
      </c>
    </row>
    <row r="43" spans="1:5" x14ac:dyDescent="0.25">
      <c r="A43" s="1">
        <v>410470016072</v>
      </c>
      <c r="B43" t="s">
        <v>56</v>
      </c>
      <c r="C43">
        <v>521940.04233700002</v>
      </c>
      <c r="D43">
        <v>0.55865096999999997</v>
      </c>
      <c r="E43" t="s">
        <v>37</v>
      </c>
    </row>
    <row r="44" spans="1:5" x14ac:dyDescent="0.25">
      <c r="A44" s="1">
        <v>410470016081</v>
      </c>
      <c r="B44" t="s">
        <v>56</v>
      </c>
      <c r="C44">
        <v>898306.84703099995</v>
      </c>
      <c r="D44">
        <v>0.99427982999999998</v>
      </c>
      <c r="E44" t="s">
        <v>37</v>
      </c>
    </row>
    <row r="45" spans="1:5" x14ac:dyDescent="0.25">
      <c r="A45" s="1">
        <v>410470016082</v>
      </c>
      <c r="B45" t="s">
        <v>56</v>
      </c>
      <c r="C45">
        <v>680690.44682900002</v>
      </c>
      <c r="D45">
        <v>1</v>
      </c>
      <c r="E45" t="s">
        <v>37</v>
      </c>
    </row>
    <row r="46" spans="1:5" x14ac:dyDescent="0.25">
      <c r="A46" s="1">
        <v>410470017011</v>
      </c>
      <c r="B46" t="s">
        <v>56</v>
      </c>
      <c r="C46">
        <v>423.55312700000002</v>
      </c>
      <c r="D46">
        <v>7.5199000000000002E-4</v>
      </c>
      <c r="E46" t="s">
        <v>37</v>
      </c>
    </row>
    <row r="47" spans="1:5" x14ac:dyDescent="0.25">
      <c r="A47" s="1">
        <v>410470017022</v>
      </c>
      <c r="B47" t="s">
        <v>56</v>
      </c>
      <c r="C47">
        <v>3033.82357</v>
      </c>
      <c r="D47">
        <v>3.8091499999999999E-3</v>
      </c>
      <c r="E47" t="s">
        <v>37</v>
      </c>
    </row>
    <row r="48" spans="1:5" x14ac:dyDescent="0.25">
      <c r="A48" s="1">
        <v>410470025022</v>
      </c>
      <c r="B48" t="s">
        <v>56</v>
      </c>
      <c r="C48">
        <v>510.22452399999997</v>
      </c>
      <c r="D48">
        <v>2.6519999999999997E-5</v>
      </c>
      <c r="E48" t="s">
        <v>37</v>
      </c>
    </row>
    <row r="49" spans="1:5" x14ac:dyDescent="0.25">
      <c r="A49" s="1">
        <v>410470025023</v>
      </c>
      <c r="B49" t="s">
        <v>56</v>
      </c>
      <c r="C49">
        <v>993.02712399999996</v>
      </c>
      <c r="D49">
        <v>2.6444000000000001E-4</v>
      </c>
      <c r="E49" t="s">
        <v>37</v>
      </c>
    </row>
    <row r="50" spans="1:5" x14ac:dyDescent="0.25">
      <c r="A50" s="1">
        <v>410470017012</v>
      </c>
      <c r="B50" t="s">
        <v>57</v>
      </c>
      <c r="C50">
        <v>334335.95423500001</v>
      </c>
      <c r="D50">
        <v>0.28464720999999998</v>
      </c>
      <c r="E50" t="s">
        <v>37</v>
      </c>
    </row>
    <row r="51" spans="1:5" x14ac:dyDescent="0.25">
      <c r="A51" s="1">
        <v>410470017013</v>
      </c>
      <c r="B51" t="s">
        <v>57</v>
      </c>
      <c r="C51">
        <v>766297.24739100004</v>
      </c>
      <c r="D51">
        <v>0.98745684999999994</v>
      </c>
      <c r="E51" t="s">
        <v>37</v>
      </c>
    </row>
    <row r="52" spans="1:5" x14ac:dyDescent="0.25">
      <c r="A52" s="1">
        <v>410470017031</v>
      </c>
      <c r="B52" t="s">
        <v>57</v>
      </c>
      <c r="C52">
        <v>3307.0202989999998</v>
      </c>
      <c r="D52">
        <v>5.6897000000000002E-4</v>
      </c>
      <c r="E52" t="s">
        <v>37</v>
      </c>
    </row>
    <row r="53" spans="1:5" x14ac:dyDescent="0.25">
      <c r="A53" s="1">
        <v>410470017032</v>
      </c>
      <c r="B53" t="s">
        <v>57</v>
      </c>
      <c r="C53">
        <v>740480.31701500004</v>
      </c>
      <c r="D53">
        <v>0.68259553999999989</v>
      </c>
      <c r="E53" t="s">
        <v>37</v>
      </c>
    </row>
    <row r="54" spans="1:5" x14ac:dyDescent="0.25">
      <c r="A54" s="1">
        <v>410470018011</v>
      </c>
      <c r="B54" t="s">
        <v>57</v>
      </c>
      <c r="C54">
        <v>1019658.231517</v>
      </c>
      <c r="D54">
        <v>0.99614529000000007</v>
      </c>
      <c r="E54" t="s">
        <v>37</v>
      </c>
    </row>
    <row r="55" spans="1:5" x14ac:dyDescent="0.25">
      <c r="A55" s="1">
        <v>410470018012</v>
      </c>
      <c r="B55" t="s">
        <v>57</v>
      </c>
      <c r="C55">
        <v>1085653.231104</v>
      </c>
      <c r="D55">
        <v>0.98813719000000011</v>
      </c>
      <c r="E55" t="s">
        <v>37</v>
      </c>
    </row>
    <row r="56" spans="1:5" x14ac:dyDescent="0.25">
      <c r="A56" s="1">
        <v>410470018013</v>
      </c>
      <c r="B56" t="s">
        <v>57</v>
      </c>
      <c r="C56">
        <v>725033.10912399995</v>
      </c>
      <c r="D56">
        <v>0.99986036</v>
      </c>
      <c r="E56" t="s">
        <v>37</v>
      </c>
    </row>
    <row r="57" spans="1:5" x14ac:dyDescent="0.25">
      <c r="A57" s="1">
        <v>410470018014</v>
      </c>
      <c r="B57" t="s">
        <v>57</v>
      </c>
      <c r="C57">
        <v>520191.11806299997</v>
      </c>
      <c r="D57">
        <v>0.99999996999999996</v>
      </c>
      <c r="E57" t="s">
        <v>37</v>
      </c>
    </row>
    <row r="58" spans="1:5" x14ac:dyDescent="0.25">
      <c r="A58" s="1">
        <v>410470018021</v>
      </c>
      <c r="B58" t="s">
        <v>57</v>
      </c>
      <c r="C58">
        <v>233803.12357299999</v>
      </c>
      <c r="D58">
        <v>3.8273109999999999E-2</v>
      </c>
      <c r="E58" t="s">
        <v>37</v>
      </c>
    </row>
    <row r="59" spans="1:5" x14ac:dyDescent="0.25">
      <c r="A59" s="1">
        <v>410470018022</v>
      </c>
      <c r="B59" t="s">
        <v>57</v>
      </c>
      <c r="C59">
        <v>276923.51411599998</v>
      </c>
      <c r="D59">
        <v>1</v>
      </c>
      <c r="E59" t="s">
        <v>37</v>
      </c>
    </row>
    <row r="60" spans="1:5" x14ac:dyDescent="0.25">
      <c r="A60" s="1">
        <v>410470018023</v>
      </c>
      <c r="B60" t="s">
        <v>57</v>
      </c>
      <c r="C60">
        <v>354515.82895900001</v>
      </c>
      <c r="D60">
        <v>1</v>
      </c>
      <c r="E60" t="s">
        <v>37</v>
      </c>
    </row>
    <row r="61" spans="1:5" x14ac:dyDescent="0.25">
      <c r="A61" s="1">
        <v>410470018024</v>
      </c>
      <c r="B61" t="s">
        <v>57</v>
      </c>
      <c r="C61">
        <v>747358.88479499996</v>
      </c>
      <c r="D61">
        <v>0.66458561000000005</v>
      </c>
      <c r="E61" t="s">
        <v>37</v>
      </c>
    </row>
    <row r="62" spans="1:5" x14ac:dyDescent="0.25">
      <c r="A62" s="1">
        <v>410470018025</v>
      </c>
      <c r="B62" t="s">
        <v>57</v>
      </c>
      <c r="C62">
        <v>687369.51831800002</v>
      </c>
      <c r="D62">
        <v>0.99453721000000006</v>
      </c>
      <c r="E62" t="s">
        <v>37</v>
      </c>
    </row>
    <row r="63" spans="1:5" x14ac:dyDescent="0.25">
      <c r="A63" s="1">
        <v>410470018031</v>
      </c>
      <c r="B63" t="s">
        <v>57</v>
      </c>
      <c r="C63">
        <v>3411.9354079999998</v>
      </c>
      <c r="D63">
        <v>4.1458400000000005E-3</v>
      </c>
      <c r="E63" t="s">
        <v>37</v>
      </c>
    </row>
    <row r="64" spans="1:5" x14ac:dyDescent="0.25">
      <c r="A64" s="1">
        <v>410470018032</v>
      </c>
      <c r="B64" t="s">
        <v>57</v>
      </c>
      <c r="C64">
        <v>7752.191538</v>
      </c>
      <c r="D64">
        <v>5.1966000000000002E-4</v>
      </c>
      <c r="E64" t="s">
        <v>37</v>
      </c>
    </row>
    <row r="65" spans="1:5" x14ac:dyDescent="0.25">
      <c r="A65" s="1">
        <v>410470018032</v>
      </c>
      <c r="B65" t="s">
        <v>58</v>
      </c>
      <c r="C65">
        <v>1667369.3505790001</v>
      </c>
      <c r="D65">
        <v>0.11177054</v>
      </c>
      <c r="E65" t="s">
        <v>37</v>
      </c>
    </row>
    <row r="66" spans="1:5" x14ac:dyDescent="0.25">
      <c r="A66" s="1">
        <v>410470027013</v>
      </c>
      <c r="B66" t="s">
        <v>58</v>
      </c>
      <c r="C66">
        <v>1462350.3680110001</v>
      </c>
      <c r="D66">
        <v>0.12645717000000001</v>
      </c>
      <c r="E66" t="s">
        <v>37</v>
      </c>
    </row>
    <row r="67" spans="1:5" x14ac:dyDescent="0.25">
      <c r="A67" s="1">
        <v>410470014012</v>
      </c>
      <c r="B67" t="s">
        <v>6</v>
      </c>
      <c r="C67">
        <v>4342035.1050840002</v>
      </c>
      <c r="D67">
        <v>0.86504194999999995</v>
      </c>
      <c r="E67" t="s">
        <v>37</v>
      </c>
    </row>
    <row r="68" spans="1:5" x14ac:dyDescent="0.25">
      <c r="A68" s="1">
        <v>410470014021</v>
      </c>
      <c r="B68" t="s">
        <v>6</v>
      </c>
      <c r="C68">
        <v>40.794111999999998</v>
      </c>
      <c r="D68">
        <v>5.8960000000000005E-5</v>
      </c>
      <c r="E68" t="s">
        <v>37</v>
      </c>
    </row>
    <row r="69" spans="1:5" x14ac:dyDescent="0.25">
      <c r="A69" s="1">
        <v>410470016031</v>
      </c>
      <c r="B69" t="s">
        <v>6</v>
      </c>
      <c r="C69">
        <v>9915789.9541069996</v>
      </c>
      <c r="D69">
        <v>0.93305413000000004</v>
      </c>
      <c r="E69" t="s">
        <v>37</v>
      </c>
    </row>
    <row r="70" spans="1:5" x14ac:dyDescent="0.25">
      <c r="A70" s="1">
        <v>410470016033</v>
      </c>
      <c r="B70" t="s">
        <v>6</v>
      </c>
      <c r="C70">
        <v>98.643992999999995</v>
      </c>
      <c r="D70">
        <v>1.7042999999999998E-4</v>
      </c>
      <c r="E70" t="s">
        <v>37</v>
      </c>
    </row>
    <row r="71" spans="1:5" x14ac:dyDescent="0.25">
      <c r="A71" s="1">
        <v>410470016034</v>
      </c>
      <c r="B71" t="s">
        <v>6</v>
      </c>
      <c r="C71">
        <v>879.51402900000005</v>
      </c>
      <c r="D71">
        <v>1.8917500000000002E-3</v>
      </c>
      <c r="E71" t="s">
        <v>37</v>
      </c>
    </row>
    <row r="72" spans="1:5" x14ac:dyDescent="0.25">
      <c r="A72" s="1">
        <v>410470017031</v>
      </c>
      <c r="B72" t="s">
        <v>6</v>
      </c>
      <c r="C72">
        <v>5795027.5878090002</v>
      </c>
      <c r="D72">
        <v>0.99703543999999988</v>
      </c>
      <c r="E72" t="s">
        <v>37</v>
      </c>
    </row>
    <row r="73" spans="1:5" x14ac:dyDescent="0.25">
      <c r="A73" s="1">
        <v>410470017032</v>
      </c>
      <c r="B73" t="s">
        <v>6</v>
      </c>
      <c r="C73">
        <v>331263.59911499999</v>
      </c>
      <c r="D73">
        <v>0.30536809000000004</v>
      </c>
      <c r="E73" t="s">
        <v>37</v>
      </c>
    </row>
    <row r="74" spans="1:5" x14ac:dyDescent="0.25">
      <c r="A74" s="1">
        <v>410470018021</v>
      </c>
      <c r="B74" t="s">
        <v>6</v>
      </c>
      <c r="C74">
        <v>5873101.848212</v>
      </c>
      <c r="D74">
        <v>0.96141510999999991</v>
      </c>
      <c r="E74" t="s">
        <v>37</v>
      </c>
    </row>
    <row r="75" spans="1:5" x14ac:dyDescent="0.25">
      <c r="A75" s="1">
        <v>410470018024</v>
      </c>
      <c r="B75" t="s">
        <v>6</v>
      </c>
      <c r="C75">
        <v>1161.5795800000001</v>
      </c>
      <c r="D75">
        <v>1.03293E-3</v>
      </c>
      <c r="E75" t="s">
        <v>37</v>
      </c>
    </row>
    <row r="76" spans="1:5" x14ac:dyDescent="0.25">
      <c r="A76" s="1">
        <v>410470018025</v>
      </c>
      <c r="B76" t="s">
        <v>6</v>
      </c>
      <c r="C76">
        <v>834.38056400000005</v>
      </c>
      <c r="D76">
        <v>1.20724E-3</v>
      </c>
      <c r="E76" t="s">
        <v>37</v>
      </c>
    </row>
    <row r="77" spans="1:5" x14ac:dyDescent="0.25">
      <c r="A77" s="1">
        <v>410470018031</v>
      </c>
      <c r="B77" t="s">
        <v>6</v>
      </c>
      <c r="C77">
        <v>71.971057999999999</v>
      </c>
      <c r="D77">
        <v>8.7449999999999998E-5</v>
      </c>
      <c r="E77" t="s">
        <v>37</v>
      </c>
    </row>
    <row r="78" spans="1:5" x14ac:dyDescent="0.25">
      <c r="A78" s="1">
        <v>410470018032</v>
      </c>
      <c r="B78" t="s">
        <v>6</v>
      </c>
      <c r="C78">
        <v>413197.81255999999</v>
      </c>
      <c r="D78">
        <v>2.7698330000000004E-2</v>
      </c>
      <c r="E78" t="s">
        <v>37</v>
      </c>
    </row>
    <row r="79" spans="1:5" x14ac:dyDescent="0.25">
      <c r="A79" s="1">
        <v>410470023012</v>
      </c>
      <c r="B79" t="s">
        <v>6</v>
      </c>
      <c r="C79">
        <v>1643159.3283629999</v>
      </c>
      <c r="D79">
        <v>0.61235888000000005</v>
      </c>
      <c r="E79" t="s">
        <v>37</v>
      </c>
    </row>
    <row r="80" spans="1:5" x14ac:dyDescent="0.25">
      <c r="A80" s="1">
        <v>410470023041</v>
      </c>
      <c r="B80" t="s">
        <v>6</v>
      </c>
      <c r="C80">
        <v>764283.07501000003</v>
      </c>
      <c r="D80">
        <v>0.19782047999999999</v>
      </c>
      <c r="E80" t="s">
        <v>37</v>
      </c>
    </row>
    <row r="81" spans="1:5" x14ac:dyDescent="0.25">
      <c r="A81" s="1">
        <v>410470024001</v>
      </c>
      <c r="B81" t="s">
        <v>6</v>
      </c>
      <c r="C81">
        <v>2176.9452919999999</v>
      </c>
      <c r="D81">
        <v>5.0000000000000001E-4</v>
      </c>
      <c r="E81" t="s">
        <v>37</v>
      </c>
    </row>
    <row r="82" spans="1:5" x14ac:dyDescent="0.25">
      <c r="A82" s="1">
        <v>410470024002</v>
      </c>
      <c r="B82" t="s">
        <v>6</v>
      </c>
      <c r="C82">
        <v>15665774.022597</v>
      </c>
      <c r="D82">
        <v>0.64617699000000006</v>
      </c>
      <c r="E82" t="s">
        <v>37</v>
      </c>
    </row>
    <row r="83" spans="1:5" x14ac:dyDescent="0.25">
      <c r="A83" s="1">
        <v>410470025021</v>
      </c>
      <c r="B83" t="s">
        <v>6</v>
      </c>
      <c r="C83">
        <v>29979819.232262</v>
      </c>
      <c r="D83">
        <v>0.98195447999999996</v>
      </c>
      <c r="E83" t="s">
        <v>37</v>
      </c>
    </row>
    <row r="84" spans="1:5" x14ac:dyDescent="0.25">
      <c r="A84" s="1">
        <v>410470025022</v>
      </c>
      <c r="B84" t="s">
        <v>6</v>
      </c>
      <c r="C84">
        <v>19214314.828811999</v>
      </c>
      <c r="D84">
        <v>0.99861326000000006</v>
      </c>
      <c r="E84" t="s">
        <v>37</v>
      </c>
    </row>
    <row r="85" spans="1:5" x14ac:dyDescent="0.25">
      <c r="A85" s="1">
        <v>410470025023</v>
      </c>
      <c r="B85" t="s">
        <v>6</v>
      </c>
      <c r="C85">
        <v>471676.44548499997</v>
      </c>
      <c r="D85">
        <v>0.12560542999999999</v>
      </c>
      <c r="E85" t="s">
        <v>37</v>
      </c>
    </row>
    <row r="86" spans="1:5" x14ac:dyDescent="0.25">
      <c r="A86" s="1">
        <v>410470025031</v>
      </c>
      <c r="B86" t="s">
        <v>6</v>
      </c>
      <c r="C86">
        <v>3040.1359389999998</v>
      </c>
      <c r="D86">
        <v>6.2069200000000003E-3</v>
      </c>
      <c r="E86" t="s">
        <v>37</v>
      </c>
    </row>
    <row r="87" spans="1:5" x14ac:dyDescent="0.25">
      <c r="A87" s="1">
        <v>410470025032</v>
      </c>
      <c r="B87" t="s">
        <v>6</v>
      </c>
      <c r="C87">
        <v>301.43397700000003</v>
      </c>
      <c r="D87">
        <v>4.0432999999999995E-4</v>
      </c>
      <c r="E87" t="s">
        <v>37</v>
      </c>
    </row>
    <row r="88" spans="1:5" x14ac:dyDescent="0.25">
      <c r="A88" s="1">
        <v>410470025033</v>
      </c>
      <c r="B88" t="s">
        <v>6</v>
      </c>
      <c r="C88">
        <v>884075.15683800005</v>
      </c>
      <c r="D88">
        <v>0.59975650999999996</v>
      </c>
      <c r="E88" t="s">
        <v>37</v>
      </c>
    </row>
    <row r="89" spans="1:5" x14ac:dyDescent="0.25">
      <c r="A89" s="1">
        <v>410470025042</v>
      </c>
      <c r="B89" t="s">
        <v>6</v>
      </c>
      <c r="C89">
        <v>442814.53736000002</v>
      </c>
      <c r="D89">
        <v>0.41936736000000002</v>
      </c>
      <c r="E89" t="s">
        <v>37</v>
      </c>
    </row>
    <row r="90" spans="1:5" x14ac:dyDescent="0.25">
      <c r="A90" s="1">
        <v>410470025043</v>
      </c>
      <c r="B90" t="s">
        <v>6</v>
      </c>
      <c r="C90">
        <v>1717.6598220000001</v>
      </c>
      <c r="D90">
        <v>3.0044E-3</v>
      </c>
      <c r="E90" t="s">
        <v>37</v>
      </c>
    </row>
    <row r="91" spans="1:5" x14ac:dyDescent="0.25">
      <c r="A91" s="1">
        <v>410470026001</v>
      </c>
      <c r="B91" t="s">
        <v>6</v>
      </c>
      <c r="C91">
        <v>81697.070323000007</v>
      </c>
      <c r="D91">
        <v>1</v>
      </c>
      <c r="E91" t="s">
        <v>37</v>
      </c>
    </row>
    <row r="92" spans="1:5" x14ac:dyDescent="0.25">
      <c r="A92" s="1">
        <v>410470026002</v>
      </c>
      <c r="B92" t="s">
        <v>6</v>
      </c>
      <c r="C92">
        <v>131.79963000000001</v>
      </c>
      <c r="D92">
        <v>1</v>
      </c>
      <c r="E92" t="s">
        <v>37</v>
      </c>
    </row>
    <row r="93" spans="1:5" x14ac:dyDescent="0.25">
      <c r="A93" s="1">
        <v>410470027011</v>
      </c>
      <c r="B93" t="s">
        <v>6</v>
      </c>
      <c r="C93">
        <v>11507412.074103</v>
      </c>
      <c r="D93">
        <v>0.78495146000000005</v>
      </c>
      <c r="E93" t="s">
        <v>37</v>
      </c>
    </row>
    <row r="94" spans="1:5" x14ac:dyDescent="0.25">
      <c r="A94" s="1">
        <v>410470027012</v>
      </c>
      <c r="B94" t="s">
        <v>6</v>
      </c>
      <c r="C94">
        <v>42081.355649999998</v>
      </c>
      <c r="D94">
        <v>2.6844280000000002E-2</v>
      </c>
      <c r="E94" t="s">
        <v>37</v>
      </c>
    </row>
    <row r="95" spans="1:5" x14ac:dyDescent="0.25">
      <c r="A95" s="1">
        <v>410470027013</v>
      </c>
      <c r="B95" t="s">
        <v>6</v>
      </c>
      <c r="C95">
        <v>10062621.336173</v>
      </c>
      <c r="D95">
        <v>0.87016805000000008</v>
      </c>
      <c r="E95" t="s">
        <v>37</v>
      </c>
    </row>
    <row r="96" spans="1:5" x14ac:dyDescent="0.25">
      <c r="A96" s="1">
        <v>410470027021</v>
      </c>
      <c r="B96" t="s">
        <v>6</v>
      </c>
      <c r="C96">
        <v>234505.218505</v>
      </c>
      <c r="D96">
        <v>0.99998275000000003</v>
      </c>
      <c r="E96" t="s">
        <v>37</v>
      </c>
    </row>
    <row r="97" spans="1:5" x14ac:dyDescent="0.25">
      <c r="A97" s="1">
        <v>410470027022</v>
      </c>
      <c r="B97" t="s">
        <v>6</v>
      </c>
      <c r="C97">
        <v>10268203.996617001</v>
      </c>
      <c r="D97">
        <v>0.99982282</v>
      </c>
      <c r="E97" t="s">
        <v>37</v>
      </c>
    </row>
    <row r="98" spans="1:5" x14ac:dyDescent="0.25">
      <c r="A98" s="1">
        <v>410470028001</v>
      </c>
      <c r="B98" t="s">
        <v>6</v>
      </c>
      <c r="C98">
        <v>14444884.367837001</v>
      </c>
      <c r="D98">
        <v>0.99999994000000003</v>
      </c>
      <c r="E98" t="s">
        <v>37</v>
      </c>
    </row>
    <row r="99" spans="1:5" x14ac:dyDescent="0.25">
      <c r="A99" s="1">
        <v>410470028002</v>
      </c>
      <c r="B99" t="s">
        <v>6</v>
      </c>
      <c r="C99">
        <v>10556520.615103999</v>
      </c>
      <c r="D99">
        <v>0.91089883999999999</v>
      </c>
      <c r="E99" t="s">
        <v>37</v>
      </c>
    </row>
    <row r="100" spans="1:5" x14ac:dyDescent="0.25">
      <c r="A100" s="1">
        <v>410470108022</v>
      </c>
      <c r="B100" t="s">
        <v>6</v>
      </c>
      <c r="C100">
        <v>28655.250326000001</v>
      </c>
      <c r="D100">
        <v>0.99999832</v>
      </c>
      <c r="E100" t="s">
        <v>37</v>
      </c>
    </row>
    <row r="101" spans="1:5" x14ac:dyDescent="0.25">
      <c r="A101" s="1">
        <v>410530053012</v>
      </c>
      <c r="B101" t="s">
        <v>6</v>
      </c>
      <c r="C101">
        <v>14653.565536</v>
      </c>
      <c r="D101">
        <v>2.8540800000000002E-3</v>
      </c>
      <c r="E101" t="s">
        <v>37</v>
      </c>
    </row>
    <row r="102" spans="1:5" x14ac:dyDescent="0.25">
      <c r="A102" s="1">
        <v>410530053013</v>
      </c>
      <c r="B102" t="s">
        <v>6</v>
      </c>
      <c r="C102">
        <v>77559.854961999998</v>
      </c>
      <c r="D102">
        <v>5.9863500000000005E-3</v>
      </c>
      <c r="E102" t="s">
        <v>37</v>
      </c>
    </row>
    <row r="103" spans="1:5" x14ac:dyDescent="0.25">
      <c r="A103" s="1">
        <v>410530053021</v>
      </c>
      <c r="B103" t="s">
        <v>6</v>
      </c>
      <c r="C103">
        <v>2297.8030819999999</v>
      </c>
      <c r="D103">
        <v>2.3311499999999997E-3</v>
      </c>
      <c r="E103" t="s">
        <v>37</v>
      </c>
    </row>
    <row r="104" spans="1:5" x14ac:dyDescent="0.25">
      <c r="A104" s="1">
        <v>410470003003</v>
      </c>
      <c r="B104" t="s">
        <v>8</v>
      </c>
      <c r="C104">
        <v>17540.437998000001</v>
      </c>
      <c r="D104">
        <v>2.3225799999999998E-2</v>
      </c>
      <c r="E104" t="s">
        <v>8</v>
      </c>
    </row>
    <row r="105" spans="1:5" x14ac:dyDescent="0.25">
      <c r="A105" s="1">
        <v>410470004001</v>
      </c>
      <c r="B105" t="s">
        <v>8</v>
      </c>
      <c r="C105">
        <v>1029.2262920000001</v>
      </c>
      <c r="D105">
        <v>7.7712000000000007E-4</v>
      </c>
      <c r="E105" t="s">
        <v>8</v>
      </c>
    </row>
    <row r="106" spans="1:5" x14ac:dyDescent="0.25">
      <c r="A106" s="1">
        <v>410470014012</v>
      </c>
      <c r="B106" t="s">
        <v>8</v>
      </c>
      <c r="C106">
        <v>6284.3843299999999</v>
      </c>
      <c r="D106">
        <v>1.25201E-3</v>
      </c>
      <c r="E106" t="s">
        <v>8</v>
      </c>
    </row>
    <row r="107" spans="1:5" x14ac:dyDescent="0.25">
      <c r="A107" s="1">
        <v>410470014021</v>
      </c>
      <c r="B107" t="s">
        <v>8</v>
      </c>
      <c r="C107">
        <v>5201.8661119999997</v>
      </c>
      <c r="D107">
        <v>7.5184900000000001E-3</v>
      </c>
      <c r="E107" t="s">
        <v>8</v>
      </c>
    </row>
    <row r="108" spans="1:5" x14ac:dyDescent="0.25">
      <c r="A108" s="1">
        <v>410470014023</v>
      </c>
      <c r="B108" t="s">
        <v>8</v>
      </c>
      <c r="C108">
        <v>6058.5154780000003</v>
      </c>
      <c r="D108">
        <v>4.6061299999999999E-3</v>
      </c>
      <c r="E108" t="s">
        <v>8</v>
      </c>
    </row>
    <row r="109" spans="1:5" x14ac:dyDescent="0.25">
      <c r="A109" s="1">
        <v>410470024002</v>
      </c>
      <c r="B109" t="s">
        <v>8</v>
      </c>
      <c r="C109">
        <v>76803.330742999999</v>
      </c>
      <c r="D109">
        <v>3.16796E-3</v>
      </c>
      <c r="E109" t="s">
        <v>8</v>
      </c>
    </row>
    <row r="110" spans="1:5" x14ac:dyDescent="0.25">
      <c r="A110" s="1">
        <v>410470025021</v>
      </c>
      <c r="B110" t="s">
        <v>8</v>
      </c>
      <c r="C110">
        <v>8885.4245289999999</v>
      </c>
      <c r="D110">
        <v>2.9103000000000001E-4</v>
      </c>
      <c r="E110" t="s">
        <v>8</v>
      </c>
    </row>
    <row r="111" spans="1:5" x14ac:dyDescent="0.25">
      <c r="A111" s="1">
        <v>410530052032</v>
      </c>
      <c r="B111" t="s">
        <v>8</v>
      </c>
      <c r="C111">
        <v>6379.102742</v>
      </c>
      <c r="D111">
        <v>6.6449300000000003E-3</v>
      </c>
      <c r="E111" t="s">
        <v>8</v>
      </c>
    </row>
    <row r="112" spans="1:5" x14ac:dyDescent="0.25">
      <c r="A112" s="1">
        <v>410530052042</v>
      </c>
      <c r="B112" t="s">
        <v>8</v>
      </c>
      <c r="C112">
        <v>1955698.558459</v>
      </c>
      <c r="D112">
        <v>0.68888092999999995</v>
      </c>
      <c r="E112" t="s">
        <v>8</v>
      </c>
    </row>
    <row r="113" spans="1:5" x14ac:dyDescent="0.25">
      <c r="A113" s="1">
        <v>410530052052</v>
      </c>
      <c r="B113" t="s">
        <v>8</v>
      </c>
      <c r="C113">
        <v>4052.6034979999999</v>
      </c>
      <c r="D113">
        <v>2.62648E-3</v>
      </c>
      <c r="E113" t="s">
        <v>8</v>
      </c>
    </row>
    <row r="114" spans="1:5" x14ac:dyDescent="0.25">
      <c r="A114" s="1">
        <v>410530052061</v>
      </c>
      <c r="B114" t="s">
        <v>8</v>
      </c>
      <c r="C114">
        <v>2357457.0575430002</v>
      </c>
      <c r="D114">
        <v>0.61280327000000001</v>
      </c>
      <c r="E114" t="s">
        <v>8</v>
      </c>
    </row>
    <row r="115" spans="1:5" x14ac:dyDescent="0.25">
      <c r="A115" s="1">
        <v>410530053011</v>
      </c>
      <c r="B115" t="s">
        <v>8</v>
      </c>
      <c r="C115">
        <v>1483697.1836379999</v>
      </c>
      <c r="D115">
        <v>0.72998408999999997</v>
      </c>
      <c r="E115" t="s">
        <v>8</v>
      </c>
    </row>
    <row r="116" spans="1:5" x14ac:dyDescent="0.25">
      <c r="A116" s="1">
        <v>410530053012</v>
      </c>
      <c r="B116" t="s">
        <v>8</v>
      </c>
      <c r="C116">
        <v>4182197.1327379998</v>
      </c>
      <c r="D116">
        <v>0.81456766999999997</v>
      </c>
      <c r="E116" t="s">
        <v>8</v>
      </c>
    </row>
    <row r="117" spans="1:5" x14ac:dyDescent="0.25">
      <c r="A117" s="1">
        <v>410530053013</v>
      </c>
      <c r="B117" t="s">
        <v>8</v>
      </c>
      <c r="C117">
        <v>9401488.3454320002</v>
      </c>
      <c r="D117">
        <v>0.72564060999999991</v>
      </c>
      <c r="E117" t="s">
        <v>8</v>
      </c>
    </row>
    <row r="118" spans="1:5" x14ac:dyDescent="0.25">
      <c r="A118" s="1">
        <v>410530053014</v>
      </c>
      <c r="B118" t="s">
        <v>8</v>
      </c>
      <c r="C118">
        <v>13702532.669864999</v>
      </c>
      <c r="D118">
        <v>0.93344713000000001</v>
      </c>
      <c r="E118" t="s">
        <v>8</v>
      </c>
    </row>
    <row r="119" spans="1:5" x14ac:dyDescent="0.25">
      <c r="A119" s="1">
        <v>410530053021</v>
      </c>
      <c r="B119" t="s">
        <v>8</v>
      </c>
      <c r="C119">
        <v>982317.40196399996</v>
      </c>
      <c r="D119">
        <v>0.99657476</v>
      </c>
      <c r="E119" t="s">
        <v>8</v>
      </c>
    </row>
    <row r="120" spans="1:5" x14ac:dyDescent="0.25">
      <c r="A120" s="1">
        <v>410530053022</v>
      </c>
      <c r="B120" t="s">
        <v>8</v>
      </c>
      <c r="C120">
        <v>24540262.456525002</v>
      </c>
      <c r="D120">
        <v>0.99923260999999997</v>
      </c>
      <c r="E120" t="s">
        <v>8</v>
      </c>
    </row>
    <row r="121" spans="1:5" x14ac:dyDescent="0.25">
      <c r="A121" s="1">
        <v>410470013001</v>
      </c>
      <c r="B121" t="s">
        <v>9</v>
      </c>
      <c r="C121">
        <v>5150.577961</v>
      </c>
      <c r="D121">
        <v>8.0867999999999999E-4</v>
      </c>
      <c r="E121" t="s">
        <v>8</v>
      </c>
    </row>
    <row r="122" spans="1:5" x14ac:dyDescent="0.25">
      <c r="A122" s="1">
        <v>410470024002</v>
      </c>
      <c r="B122" t="s">
        <v>9</v>
      </c>
      <c r="C122">
        <v>21947.210043999999</v>
      </c>
      <c r="D122">
        <v>9.0527000000000001E-4</v>
      </c>
      <c r="E122" t="s">
        <v>8</v>
      </c>
    </row>
    <row r="123" spans="1:5" x14ac:dyDescent="0.25">
      <c r="A123" s="1">
        <v>410530051001</v>
      </c>
      <c r="B123" t="s">
        <v>9</v>
      </c>
      <c r="C123">
        <v>271533.405661</v>
      </c>
      <c r="D123">
        <v>0.41119653999999994</v>
      </c>
      <c r="E123" t="s">
        <v>8</v>
      </c>
    </row>
    <row r="124" spans="1:5" x14ac:dyDescent="0.25">
      <c r="A124" s="1">
        <v>410530051002</v>
      </c>
      <c r="B124" t="s">
        <v>9</v>
      </c>
      <c r="C124">
        <v>346029.625283</v>
      </c>
      <c r="D124">
        <v>1</v>
      </c>
      <c r="E124" t="s">
        <v>8</v>
      </c>
    </row>
    <row r="125" spans="1:5" x14ac:dyDescent="0.25">
      <c r="A125" s="1">
        <v>410530052031</v>
      </c>
      <c r="B125" t="s">
        <v>9</v>
      </c>
      <c r="C125">
        <v>506168.67187999998</v>
      </c>
      <c r="D125">
        <v>0.93124705000000008</v>
      </c>
      <c r="E125" t="s">
        <v>8</v>
      </c>
    </row>
    <row r="126" spans="1:5" x14ac:dyDescent="0.25">
      <c r="A126" s="1">
        <v>410530052032</v>
      </c>
      <c r="B126" t="s">
        <v>9</v>
      </c>
      <c r="C126">
        <v>953616.49276000005</v>
      </c>
      <c r="D126">
        <v>0.99335507000000012</v>
      </c>
      <c r="E126" t="s">
        <v>8</v>
      </c>
    </row>
    <row r="127" spans="1:5" x14ac:dyDescent="0.25">
      <c r="A127" s="1">
        <v>410530052033</v>
      </c>
      <c r="B127" t="s">
        <v>9</v>
      </c>
      <c r="C127">
        <v>1275981.169642</v>
      </c>
      <c r="D127">
        <v>0.99999999000000006</v>
      </c>
      <c r="E127" t="s">
        <v>8</v>
      </c>
    </row>
    <row r="128" spans="1:5" x14ac:dyDescent="0.25">
      <c r="A128" s="1">
        <v>410530052041</v>
      </c>
      <c r="B128" t="s">
        <v>9</v>
      </c>
      <c r="C128">
        <v>1528918.3533650001</v>
      </c>
      <c r="D128">
        <v>0.88369281</v>
      </c>
      <c r="E128" t="s">
        <v>8</v>
      </c>
    </row>
    <row r="129" spans="1:5" x14ac:dyDescent="0.25">
      <c r="A129" s="1">
        <v>410530052042</v>
      </c>
      <c r="B129" t="s">
        <v>9</v>
      </c>
      <c r="C129">
        <v>883251.49798700004</v>
      </c>
      <c r="D129">
        <v>0.31111907</v>
      </c>
      <c r="E129" t="s">
        <v>8</v>
      </c>
    </row>
    <row r="130" spans="1:5" x14ac:dyDescent="0.25">
      <c r="A130" s="1">
        <v>410530052051</v>
      </c>
      <c r="B130" t="s">
        <v>9</v>
      </c>
      <c r="C130">
        <v>893876.29423100001</v>
      </c>
      <c r="D130">
        <v>0.99997488000000001</v>
      </c>
      <c r="E130" t="s">
        <v>8</v>
      </c>
    </row>
    <row r="131" spans="1:5" x14ac:dyDescent="0.25">
      <c r="A131" s="1">
        <v>410530052052</v>
      </c>
      <c r="B131" t="s">
        <v>9</v>
      </c>
      <c r="C131">
        <v>1538927.264036</v>
      </c>
      <c r="D131">
        <v>0.99737352000000001</v>
      </c>
      <c r="E131" t="s">
        <v>8</v>
      </c>
    </row>
    <row r="132" spans="1:5" x14ac:dyDescent="0.25">
      <c r="A132" s="1">
        <v>410530052053</v>
      </c>
      <c r="B132" t="s">
        <v>9</v>
      </c>
      <c r="C132">
        <v>2013946.024252</v>
      </c>
      <c r="D132">
        <v>1</v>
      </c>
      <c r="E132" t="s">
        <v>8</v>
      </c>
    </row>
    <row r="133" spans="1:5" x14ac:dyDescent="0.25">
      <c r="A133" s="1">
        <v>410530052061</v>
      </c>
      <c r="B133" t="s">
        <v>9</v>
      </c>
      <c r="C133">
        <v>488586.09437499999</v>
      </c>
      <c r="D133">
        <v>0.12700428999999999</v>
      </c>
      <c r="E133" t="s">
        <v>8</v>
      </c>
    </row>
    <row r="134" spans="1:5" x14ac:dyDescent="0.25">
      <c r="A134" s="1">
        <v>410530053011</v>
      </c>
      <c r="B134" t="s">
        <v>9</v>
      </c>
      <c r="C134">
        <v>548808.98838</v>
      </c>
      <c r="D134">
        <v>0.27001589999999998</v>
      </c>
      <c r="E134" t="s">
        <v>8</v>
      </c>
    </row>
    <row r="135" spans="1:5" x14ac:dyDescent="0.25">
      <c r="A135" s="1">
        <v>410530053012</v>
      </c>
      <c r="B135" t="s">
        <v>9</v>
      </c>
      <c r="C135">
        <v>931418.96289900003</v>
      </c>
      <c r="D135">
        <v>0.18141272</v>
      </c>
      <c r="E135" t="s">
        <v>8</v>
      </c>
    </row>
    <row r="136" spans="1:5" x14ac:dyDescent="0.25">
      <c r="A136" s="1">
        <v>410530053013</v>
      </c>
      <c r="B136" t="s">
        <v>9</v>
      </c>
      <c r="C136">
        <v>3477073.843564</v>
      </c>
      <c r="D136">
        <v>0.26837304000000001</v>
      </c>
      <c r="E136" t="s">
        <v>8</v>
      </c>
    </row>
    <row r="137" spans="1:5" x14ac:dyDescent="0.25">
      <c r="A137" s="1">
        <v>410530053014</v>
      </c>
      <c r="B137" t="s">
        <v>9</v>
      </c>
      <c r="C137">
        <v>976962.163084</v>
      </c>
      <c r="D137">
        <v>6.6552840000000002E-2</v>
      </c>
      <c r="E137" t="s">
        <v>8</v>
      </c>
    </row>
    <row r="138" spans="1:5" x14ac:dyDescent="0.25">
      <c r="A138" s="1">
        <v>410530053022</v>
      </c>
      <c r="B138" t="s">
        <v>9</v>
      </c>
      <c r="C138">
        <v>18846.363573999999</v>
      </c>
      <c r="D138">
        <v>7.6739000000000006E-4</v>
      </c>
      <c r="E138" t="s">
        <v>8</v>
      </c>
    </row>
    <row r="139" spans="1:5" x14ac:dyDescent="0.25">
      <c r="A139" s="1">
        <v>410470002001</v>
      </c>
      <c r="B139" t="s">
        <v>10</v>
      </c>
      <c r="C139">
        <v>7913.3266000000003</v>
      </c>
      <c r="D139">
        <v>1.1469720000000001E-2</v>
      </c>
      <c r="E139" t="s">
        <v>8</v>
      </c>
    </row>
    <row r="140" spans="1:5" x14ac:dyDescent="0.25">
      <c r="A140" s="1">
        <v>410470002002</v>
      </c>
      <c r="B140" t="s">
        <v>10</v>
      </c>
      <c r="C140">
        <v>9918.6820270000007</v>
      </c>
      <c r="D140">
        <v>8.92773E-3</v>
      </c>
      <c r="E140" t="s">
        <v>8</v>
      </c>
    </row>
    <row r="141" spans="1:5" x14ac:dyDescent="0.25">
      <c r="A141" s="1">
        <v>410470003003</v>
      </c>
      <c r="B141" t="s">
        <v>10</v>
      </c>
      <c r="C141">
        <v>750.85469499999999</v>
      </c>
      <c r="D141">
        <v>9.9423000000000003E-4</v>
      </c>
      <c r="E141" t="s">
        <v>8</v>
      </c>
    </row>
    <row r="142" spans="1:5" x14ac:dyDescent="0.25">
      <c r="A142" s="1">
        <v>410470013001</v>
      </c>
      <c r="B142" t="s">
        <v>10</v>
      </c>
      <c r="C142">
        <v>10668.894415999999</v>
      </c>
      <c r="D142">
        <v>1.6750999999999999E-3</v>
      </c>
      <c r="E142" t="s">
        <v>8</v>
      </c>
    </row>
    <row r="143" spans="1:5" x14ac:dyDescent="0.25">
      <c r="A143" s="1">
        <v>410530051001</v>
      </c>
      <c r="B143" t="s">
        <v>10</v>
      </c>
      <c r="C143">
        <v>388816.06157700001</v>
      </c>
      <c r="D143">
        <v>0.58880350000000004</v>
      </c>
      <c r="E143" t="s">
        <v>8</v>
      </c>
    </row>
    <row r="144" spans="1:5" x14ac:dyDescent="0.25">
      <c r="A144" s="1">
        <v>410530052031</v>
      </c>
      <c r="B144" t="s">
        <v>10</v>
      </c>
      <c r="C144">
        <v>37369.868998999998</v>
      </c>
      <c r="D144">
        <v>6.8752930000000004E-2</v>
      </c>
      <c r="E144" t="s">
        <v>8</v>
      </c>
    </row>
    <row r="145" spans="1:5" x14ac:dyDescent="0.25">
      <c r="A145" s="1">
        <v>410530052041</v>
      </c>
      <c r="B145" t="s">
        <v>10</v>
      </c>
      <c r="C145">
        <v>171805.61431100001</v>
      </c>
      <c r="D145">
        <v>9.9301169999999994E-2</v>
      </c>
      <c r="E145" t="s">
        <v>8</v>
      </c>
    </row>
    <row r="146" spans="1:5" x14ac:dyDescent="0.25">
      <c r="A146" s="1">
        <v>410530052051</v>
      </c>
      <c r="B146" t="s">
        <v>10</v>
      </c>
      <c r="C146">
        <v>22.458100000000002</v>
      </c>
      <c r="D146">
        <v>2.512E-5</v>
      </c>
      <c r="E146" t="s">
        <v>8</v>
      </c>
    </row>
    <row r="147" spans="1:5" x14ac:dyDescent="0.25">
      <c r="A147" s="1">
        <v>410530052061</v>
      </c>
      <c r="B147" t="s">
        <v>10</v>
      </c>
      <c r="C147">
        <v>894199.42561599996</v>
      </c>
      <c r="D147">
        <v>0.23244043</v>
      </c>
      <c r="E147" t="s">
        <v>8</v>
      </c>
    </row>
    <row r="148" spans="1:5" x14ac:dyDescent="0.25">
      <c r="A148" s="1">
        <v>410470002001</v>
      </c>
      <c r="B148" t="s">
        <v>28</v>
      </c>
      <c r="C148">
        <v>682018.69501699996</v>
      </c>
      <c r="D148">
        <v>0.98853026999999993</v>
      </c>
      <c r="E148" t="s">
        <v>37</v>
      </c>
    </row>
    <row r="149" spans="1:5" x14ac:dyDescent="0.25">
      <c r="A149" s="1">
        <v>410470002002</v>
      </c>
      <c r="B149" t="s">
        <v>28</v>
      </c>
      <c r="C149">
        <v>1036403.485644</v>
      </c>
      <c r="D149">
        <v>0.93285887000000001</v>
      </c>
      <c r="E149" t="s">
        <v>37</v>
      </c>
    </row>
    <row r="150" spans="1:5" x14ac:dyDescent="0.25">
      <c r="A150" s="1">
        <v>410470002003</v>
      </c>
      <c r="B150" t="s">
        <v>28</v>
      </c>
      <c r="C150">
        <v>547791.11627799994</v>
      </c>
      <c r="D150">
        <v>0.36111600999999999</v>
      </c>
      <c r="E150" t="s">
        <v>37</v>
      </c>
    </row>
    <row r="151" spans="1:5" x14ac:dyDescent="0.25">
      <c r="A151" s="1">
        <v>410470003001</v>
      </c>
      <c r="B151" t="s">
        <v>28</v>
      </c>
      <c r="C151">
        <v>4594.4999719999996</v>
      </c>
      <c r="D151">
        <v>8.2666100000000006E-3</v>
      </c>
      <c r="E151" t="s">
        <v>37</v>
      </c>
    </row>
    <row r="152" spans="1:5" x14ac:dyDescent="0.25">
      <c r="A152" s="1">
        <v>410470003002</v>
      </c>
      <c r="B152" t="s">
        <v>28</v>
      </c>
      <c r="C152">
        <v>82747.914067999998</v>
      </c>
      <c r="D152">
        <v>0.28091229000000001</v>
      </c>
      <c r="E152" t="s">
        <v>37</v>
      </c>
    </row>
    <row r="153" spans="1:5" x14ac:dyDescent="0.25">
      <c r="A153" s="1">
        <v>410470003003</v>
      </c>
      <c r="B153" t="s">
        <v>28</v>
      </c>
      <c r="C153">
        <v>695977.53861100005</v>
      </c>
      <c r="D153">
        <v>0.92156397000000001</v>
      </c>
      <c r="E153" t="s">
        <v>37</v>
      </c>
    </row>
    <row r="154" spans="1:5" x14ac:dyDescent="0.25">
      <c r="A154" s="1">
        <v>410470003004</v>
      </c>
      <c r="B154" t="s">
        <v>28</v>
      </c>
      <c r="C154">
        <v>451883.69420299999</v>
      </c>
      <c r="D154">
        <v>0.75301342999999998</v>
      </c>
      <c r="E154" t="s">
        <v>37</v>
      </c>
    </row>
    <row r="155" spans="1:5" x14ac:dyDescent="0.25">
      <c r="A155" s="1">
        <v>410470004001</v>
      </c>
      <c r="B155" t="s">
        <v>28</v>
      </c>
      <c r="C155">
        <v>142.60009600000001</v>
      </c>
      <c r="D155">
        <v>1.0767E-4</v>
      </c>
      <c r="E155" t="s">
        <v>37</v>
      </c>
    </row>
    <row r="156" spans="1:5" x14ac:dyDescent="0.25">
      <c r="A156" s="1">
        <v>410470012001</v>
      </c>
      <c r="B156" t="s">
        <v>28</v>
      </c>
      <c r="C156">
        <v>161.19470899999999</v>
      </c>
      <c r="D156">
        <v>1.2651000000000001E-4</v>
      </c>
      <c r="E156" t="s">
        <v>37</v>
      </c>
    </row>
    <row r="157" spans="1:5" x14ac:dyDescent="0.25">
      <c r="A157" s="1">
        <v>410470013001</v>
      </c>
      <c r="B157" t="s">
        <v>28</v>
      </c>
      <c r="C157">
        <v>4895.9507309999999</v>
      </c>
      <c r="D157">
        <v>7.6869999999999998E-4</v>
      </c>
      <c r="E157" t="s">
        <v>37</v>
      </c>
    </row>
    <row r="158" spans="1:5" x14ac:dyDescent="0.25">
      <c r="A158" s="1">
        <v>410530052061</v>
      </c>
      <c r="B158" t="s">
        <v>28</v>
      </c>
      <c r="C158">
        <v>89155.891380999994</v>
      </c>
      <c r="D158">
        <v>2.3175400000000002E-2</v>
      </c>
      <c r="E158" t="s">
        <v>37</v>
      </c>
    </row>
    <row r="159" spans="1:5" x14ac:dyDescent="0.25">
      <c r="A159" s="1">
        <v>410470002002</v>
      </c>
      <c r="B159" t="s">
        <v>3</v>
      </c>
      <c r="C159">
        <v>1373.171263</v>
      </c>
      <c r="D159">
        <v>1.23598E-3</v>
      </c>
      <c r="E159" t="s">
        <v>37</v>
      </c>
    </row>
    <row r="160" spans="1:5" x14ac:dyDescent="0.25">
      <c r="A160" s="1">
        <v>410470002003</v>
      </c>
      <c r="B160" t="s">
        <v>3</v>
      </c>
      <c r="C160">
        <v>837824.85791899997</v>
      </c>
      <c r="D160">
        <v>0.55231266000000001</v>
      </c>
      <c r="E160" t="s">
        <v>37</v>
      </c>
    </row>
    <row r="161" spans="1:5" x14ac:dyDescent="0.25">
      <c r="A161" s="1">
        <v>410470003001</v>
      </c>
      <c r="B161" t="s">
        <v>3</v>
      </c>
      <c r="C161">
        <v>551195.68546199996</v>
      </c>
      <c r="D161">
        <v>0.99173338</v>
      </c>
      <c r="E161" t="s">
        <v>37</v>
      </c>
    </row>
    <row r="162" spans="1:5" x14ac:dyDescent="0.25">
      <c r="A162" s="1">
        <v>410470003002</v>
      </c>
      <c r="B162" t="s">
        <v>3</v>
      </c>
      <c r="C162">
        <v>211820.59449399999</v>
      </c>
      <c r="D162">
        <v>0.7190877</v>
      </c>
      <c r="E162" t="s">
        <v>37</v>
      </c>
    </row>
    <row r="163" spans="1:5" x14ac:dyDescent="0.25">
      <c r="A163" s="1">
        <v>410470003003</v>
      </c>
      <c r="B163" t="s">
        <v>3</v>
      </c>
      <c r="C163">
        <v>40990.931176999999</v>
      </c>
      <c r="D163">
        <v>5.4277280000000004E-2</v>
      </c>
      <c r="E163" t="s">
        <v>37</v>
      </c>
    </row>
    <row r="164" spans="1:5" x14ac:dyDescent="0.25">
      <c r="A164" s="1">
        <v>410470003004</v>
      </c>
      <c r="B164" t="s">
        <v>3</v>
      </c>
      <c r="C164">
        <v>148216.757117</v>
      </c>
      <c r="D164">
        <v>0.24698658000000001</v>
      </c>
      <c r="E164" t="s">
        <v>37</v>
      </c>
    </row>
    <row r="165" spans="1:5" x14ac:dyDescent="0.25">
      <c r="A165" s="1">
        <v>410470004001</v>
      </c>
      <c r="B165" t="s">
        <v>3</v>
      </c>
      <c r="C165">
        <v>661402.73578999995</v>
      </c>
      <c r="D165">
        <v>0.49939683000000001</v>
      </c>
      <c r="E165" t="s">
        <v>37</v>
      </c>
    </row>
    <row r="166" spans="1:5" x14ac:dyDescent="0.25">
      <c r="A166" s="1">
        <v>410470004002</v>
      </c>
      <c r="B166" t="s">
        <v>3</v>
      </c>
      <c r="C166">
        <v>1226924.801801</v>
      </c>
      <c r="D166">
        <v>0.78624320999999997</v>
      </c>
      <c r="E166" t="s">
        <v>37</v>
      </c>
    </row>
    <row r="167" spans="1:5" x14ac:dyDescent="0.25">
      <c r="A167" s="1">
        <v>410470004003</v>
      </c>
      <c r="B167" t="s">
        <v>3</v>
      </c>
      <c r="C167">
        <v>2595486.1091189999</v>
      </c>
      <c r="D167">
        <v>1</v>
      </c>
      <c r="E167" t="s">
        <v>37</v>
      </c>
    </row>
    <row r="168" spans="1:5" x14ac:dyDescent="0.25">
      <c r="A168" s="1">
        <v>410470005011</v>
      </c>
      <c r="B168" t="s">
        <v>3</v>
      </c>
      <c r="C168">
        <v>1449639.0903970001</v>
      </c>
      <c r="D168">
        <v>1</v>
      </c>
      <c r="E168" t="s">
        <v>37</v>
      </c>
    </row>
    <row r="169" spans="1:5" x14ac:dyDescent="0.25">
      <c r="A169" s="1">
        <v>410470005012</v>
      </c>
      <c r="B169" t="s">
        <v>3</v>
      </c>
      <c r="C169">
        <v>873379.519768</v>
      </c>
      <c r="D169">
        <v>0.99999996999999996</v>
      </c>
      <c r="E169" t="s">
        <v>37</v>
      </c>
    </row>
    <row r="170" spans="1:5" x14ac:dyDescent="0.25">
      <c r="A170" s="1">
        <v>410470005021</v>
      </c>
      <c r="B170" t="s">
        <v>3</v>
      </c>
      <c r="C170">
        <v>427001.89916899998</v>
      </c>
      <c r="D170">
        <v>1</v>
      </c>
      <c r="E170" t="s">
        <v>37</v>
      </c>
    </row>
    <row r="171" spans="1:5" x14ac:dyDescent="0.25">
      <c r="A171" s="1">
        <v>410470005022</v>
      </c>
      <c r="B171" t="s">
        <v>3</v>
      </c>
      <c r="C171">
        <v>452193.64532200003</v>
      </c>
      <c r="D171">
        <v>1</v>
      </c>
      <c r="E171" t="s">
        <v>37</v>
      </c>
    </row>
    <row r="172" spans="1:5" x14ac:dyDescent="0.25">
      <c r="A172" s="1">
        <v>410470005023</v>
      </c>
      <c r="B172" t="s">
        <v>3</v>
      </c>
      <c r="C172">
        <v>798014.463185</v>
      </c>
      <c r="D172">
        <v>1</v>
      </c>
      <c r="E172" t="s">
        <v>37</v>
      </c>
    </row>
    <row r="173" spans="1:5" x14ac:dyDescent="0.25">
      <c r="A173" s="1">
        <v>410470006001</v>
      </c>
      <c r="B173" t="s">
        <v>3</v>
      </c>
      <c r="C173">
        <v>772322.17093699996</v>
      </c>
      <c r="D173">
        <v>1</v>
      </c>
      <c r="E173" t="s">
        <v>37</v>
      </c>
    </row>
    <row r="174" spans="1:5" x14ac:dyDescent="0.25">
      <c r="A174" s="1">
        <v>410470006002</v>
      </c>
      <c r="B174" t="s">
        <v>3</v>
      </c>
      <c r="C174">
        <v>653198.95626500004</v>
      </c>
      <c r="D174">
        <v>0.99999999000000006</v>
      </c>
      <c r="E174" t="s">
        <v>37</v>
      </c>
    </row>
    <row r="175" spans="1:5" x14ac:dyDescent="0.25">
      <c r="A175" s="1">
        <v>410470006003</v>
      </c>
      <c r="B175" t="s">
        <v>3</v>
      </c>
      <c r="C175">
        <v>705998.99028899998</v>
      </c>
      <c r="D175">
        <v>1</v>
      </c>
      <c r="E175" t="s">
        <v>37</v>
      </c>
    </row>
    <row r="176" spans="1:5" x14ac:dyDescent="0.25">
      <c r="A176" s="1">
        <v>410470007021</v>
      </c>
      <c r="B176" t="s">
        <v>3</v>
      </c>
      <c r="C176">
        <v>1024817.890227</v>
      </c>
      <c r="D176">
        <v>0.99999999000000006</v>
      </c>
      <c r="E176" t="s">
        <v>37</v>
      </c>
    </row>
    <row r="177" spans="1:5" x14ac:dyDescent="0.25">
      <c r="A177" s="1">
        <v>410470007022</v>
      </c>
      <c r="B177" t="s">
        <v>3</v>
      </c>
      <c r="C177">
        <v>1648501.194658</v>
      </c>
      <c r="D177">
        <v>0.99999999000000006</v>
      </c>
      <c r="E177" t="s">
        <v>37</v>
      </c>
    </row>
    <row r="178" spans="1:5" x14ac:dyDescent="0.25">
      <c r="A178" s="1">
        <v>410470007031</v>
      </c>
      <c r="B178" t="s">
        <v>3</v>
      </c>
      <c r="C178">
        <v>1048679.3999979999</v>
      </c>
      <c r="D178">
        <v>1</v>
      </c>
      <c r="E178" t="s">
        <v>37</v>
      </c>
    </row>
    <row r="179" spans="1:5" x14ac:dyDescent="0.25">
      <c r="A179" s="1">
        <v>410470009001</v>
      </c>
      <c r="B179" t="s">
        <v>3</v>
      </c>
      <c r="C179">
        <v>341073.03158299997</v>
      </c>
      <c r="D179">
        <v>1</v>
      </c>
      <c r="E179" t="s">
        <v>37</v>
      </c>
    </row>
    <row r="180" spans="1:5" x14ac:dyDescent="0.25">
      <c r="A180" s="1">
        <v>410470009002</v>
      </c>
      <c r="B180" t="s">
        <v>3</v>
      </c>
      <c r="C180">
        <v>298509.49718000001</v>
      </c>
      <c r="D180">
        <v>0.99509204999999989</v>
      </c>
      <c r="E180" t="s">
        <v>37</v>
      </c>
    </row>
    <row r="181" spans="1:5" x14ac:dyDescent="0.25">
      <c r="A181" s="1">
        <v>410470009003</v>
      </c>
      <c r="B181" t="s">
        <v>3</v>
      </c>
      <c r="C181">
        <v>375767.00141600001</v>
      </c>
      <c r="D181">
        <v>0.99870861</v>
      </c>
      <c r="E181" t="s">
        <v>37</v>
      </c>
    </row>
    <row r="182" spans="1:5" x14ac:dyDescent="0.25">
      <c r="A182" s="1">
        <v>410470009004</v>
      </c>
      <c r="B182" t="s">
        <v>3</v>
      </c>
      <c r="C182">
        <v>317964.476486</v>
      </c>
      <c r="D182">
        <v>0.99999998000000001</v>
      </c>
      <c r="E182" t="s">
        <v>37</v>
      </c>
    </row>
    <row r="183" spans="1:5" x14ac:dyDescent="0.25">
      <c r="A183" s="1">
        <v>410470009005</v>
      </c>
      <c r="B183" t="s">
        <v>3</v>
      </c>
      <c r="C183">
        <v>225960.80035599999</v>
      </c>
      <c r="D183">
        <v>1</v>
      </c>
      <c r="E183" t="s">
        <v>37</v>
      </c>
    </row>
    <row r="184" spans="1:5" x14ac:dyDescent="0.25">
      <c r="A184" s="1">
        <v>410470009006</v>
      </c>
      <c r="B184" t="s">
        <v>3</v>
      </c>
      <c r="C184">
        <v>476853.05253599997</v>
      </c>
      <c r="D184">
        <v>0.99999998000000001</v>
      </c>
      <c r="E184" t="s">
        <v>37</v>
      </c>
    </row>
    <row r="185" spans="1:5" x14ac:dyDescent="0.25">
      <c r="A185" s="1">
        <v>410470010001</v>
      </c>
      <c r="B185" t="s">
        <v>3</v>
      </c>
      <c r="C185">
        <v>14143.150931</v>
      </c>
      <c r="D185">
        <v>9.5127100000000006E-3</v>
      </c>
      <c r="E185" t="s">
        <v>37</v>
      </c>
    </row>
    <row r="186" spans="1:5" x14ac:dyDescent="0.25">
      <c r="A186" s="1">
        <v>410470010002</v>
      </c>
      <c r="B186" t="s">
        <v>3</v>
      </c>
      <c r="C186">
        <v>4213.9434579999997</v>
      </c>
      <c r="D186">
        <v>2.1586499999999998E-3</v>
      </c>
      <c r="E186" t="s">
        <v>37</v>
      </c>
    </row>
    <row r="187" spans="1:5" x14ac:dyDescent="0.25">
      <c r="A187" s="1">
        <v>410470010003</v>
      </c>
      <c r="B187" t="s">
        <v>3</v>
      </c>
      <c r="C187">
        <v>1811509.683461</v>
      </c>
      <c r="D187">
        <v>0.17495466000000001</v>
      </c>
      <c r="E187" t="s">
        <v>37</v>
      </c>
    </row>
    <row r="188" spans="1:5" x14ac:dyDescent="0.25">
      <c r="A188" s="1">
        <v>410470012001</v>
      </c>
      <c r="B188" t="s">
        <v>3</v>
      </c>
      <c r="C188">
        <v>1214.993242</v>
      </c>
      <c r="D188">
        <v>9.5356999999999994E-4</v>
      </c>
      <c r="E188" t="s">
        <v>37</v>
      </c>
    </row>
    <row r="189" spans="1:5" x14ac:dyDescent="0.25">
      <c r="A189" s="1">
        <v>410470015022</v>
      </c>
      <c r="B189" t="s">
        <v>3</v>
      </c>
      <c r="C189">
        <v>329783.98755600001</v>
      </c>
      <c r="D189">
        <v>0.24183041</v>
      </c>
      <c r="E189" t="s">
        <v>37</v>
      </c>
    </row>
    <row r="190" spans="1:5" x14ac:dyDescent="0.25">
      <c r="A190" s="1">
        <v>410470015031</v>
      </c>
      <c r="B190" t="s">
        <v>3</v>
      </c>
      <c r="C190">
        <v>54.402718</v>
      </c>
      <c r="D190">
        <v>1.0149999999999999E-4</v>
      </c>
      <c r="E190" t="s">
        <v>37</v>
      </c>
    </row>
    <row r="191" spans="1:5" x14ac:dyDescent="0.25">
      <c r="A191" s="1">
        <v>410470015033</v>
      </c>
      <c r="B191" t="s">
        <v>3</v>
      </c>
      <c r="C191">
        <v>39171.636275999997</v>
      </c>
      <c r="D191">
        <v>3.6978460000000005E-2</v>
      </c>
      <c r="E191" t="s">
        <v>37</v>
      </c>
    </row>
    <row r="192" spans="1:5" x14ac:dyDescent="0.25">
      <c r="A192" s="1">
        <v>410470016011</v>
      </c>
      <c r="B192" t="s">
        <v>3</v>
      </c>
      <c r="C192">
        <v>1116891.998874</v>
      </c>
      <c r="D192">
        <v>0.67298447999999989</v>
      </c>
      <c r="E192" t="s">
        <v>37</v>
      </c>
    </row>
    <row r="193" spans="1:5" x14ac:dyDescent="0.25">
      <c r="A193" s="1">
        <v>410470016014</v>
      </c>
      <c r="B193" t="s">
        <v>3</v>
      </c>
      <c r="C193">
        <v>5067.8108949999996</v>
      </c>
      <c r="D193">
        <v>1.0088339999999999E-2</v>
      </c>
      <c r="E193" t="s">
        <v>37</v>
      </c>
    </row>
    <row r="194" spans="1:5" x14ac:dyDescent="0.25">
      <c r="A194" s="1">
        <v>410470016015</v>
      </c>
      <c r="B194" t="s">
        <v>3</v>
      </c>
      <c r="C194">
        <v>1523.872247</v>
      </c>
      <c r="D194">
        <v>2.2550400000000003E-3</v>
      </c>
      <c r="E194" t="s">
        <v>37</v>
      </c>
    </row>
    <row r="195" spans="1:5" x14ac:dyDescent="0.25">
      <c r="A195" s="1">
        <v>410470016031</v>
      </c>
      <c r="B195" t="s">
        <v>3</v>
      </c>
      <c r="C195">
        <v>8683.5713510000005</v>
      </c>
      <c r="D195">
        <v>8.1711000000000002E-4</v>
      </c>
      <c r="E195" t="s">
        <v>37</v>
      </c>
    </row>
    <row r="196" spans="1:5" x14ac:dyDescent="0.25">
      <c r="A196" s="1">
        <v>410470016051</v>
      </c>
      <c r="B196" t="s">
        <v>3</v>
      </c>
      <c r="C196">
        <v>17917.562830999999</v>
      </c>
      <c r="D196">
        <v>3.240933E-2</v>
      </c>
      <c r="E196" t="s">
        <v>37</v>
      </c>
    </row>
    <row r="197" spans="1:5" x14ac:dyDescent="0.25">
      <c r="A197" s="1">
        <v>410470016052</v>
      </c>
      <c r="B197" t="s">
        <v>3</v>
      </c>
      <c r="C197">
        <v>171105.82448499999</v>
      </c>
      <c r="D197">
        <v>0.34042712999999997</v>
      </c>
      <c r="E197" t="s">
        <v>37</v>
      </c>
    </row>
    <row r="198" spans="1:5" x14ac:dyDescent="0.25">
      <c r="A198" s="1">
        <v>410470016063</v>
      </c>
      <c r="B198" t="s">
        <v>3</v>
      </c>
      <c r="C198">
        <v>3801.1625960000001</v>
      </c>
      <c r="D198">
        <v>3.2234200000000003E-3</v>
      </c>
      <c r="E198" t="s">
        <v>37</v>
      </c>
    </row>
    <row r="199" spans="1:5" x14ac:dyDescent="0.25">
      <c r="A199" s="1">
        <v>410470016071</v>
      </c>
      <c r="B199" t="s">
        <v>3</v>
      </c>
      <c r="C199">
        <v>880141.35951500002</v>
      </c>
      <c r="D199">
        <v>1</v>
      </c>
      <c r="E199" t="s">
        <v>37</v>
      </c>
    </row>
    <row r="200" spans="1:5" x14ac:dyDescent="0.25">
      <c r="A200" s="1">
        <v>410470016072</v>
      </c>
      <c r="B200" t="s">
        <v>3</v>
      </c>
      <c r="C200">
        <v>412346.42926900001</v>
      </c>
      <c r="D200">
        <v>0.44134903000000003</v>
      </c>
      <c r="E200" t="s">
        <v>37</v>
      </c>
    </row>
    <row r="201" spans="1:5" x14ac:dyDescent="0.25">
      <c r="A201" s="1">
        <v>410470016081</v>
      </c>
      <c r="B201" t="s">
        <v>3</v>
      </c>
      <c r="C201">
        <v>5168.0201999999999</v>
      </c>
      <c r="D201">
        <v>5.7201599999999993E-3</v>
      </c>
      <c r="E201" t="s">
        <v>37</v>
      </c>
    </row>
    <row r="202" spans="1:5" x14ac:dyDescent="0.25">
      <c r="A202" s="1">
        <v>410470017011</v>
      </c>
      <c r="B202" t="s">
        <v>3</v>
      </c>
      <c r="C202">
        <v>562817.91760100005</v>
      </c>
      <c r="D202">
        <v>0.99924802999999995</v>
      </c>
      <c r="E202" t="s">
        <v>37</v>
      </c>
    </row>
    <row r="203" spans="1:5" x14ac:dyDescent="0.25">
      <c r="A203" s="1">
        <v>410470017012</v>
      </c>
      <c r="B203" t="s">
        <v>3</v>
      </c>
      <c r="C203">
        <v>840226.57711099996</v>
      </c>
      <c r="D203">
        <v>0.71535278000000002</v>
      </c>
      <c r="E203" t="s">
        <v>37</v>
      </c>
    </row>
    <row r="204" spans="1:5" x14ac:dyDescent="0.25">
      <c r="A204" s="1">
        <v>410470017013</v>
      </c>
      <c r="B204" t="s">
        <v>3</v>
      </c>
      <c r="C204">
        <v>9733.8789570000008</v>
      </c>
      <c r="D204">
        <v>1.2543159999999999E-2</v>
      </c>
      <c r="E204" t="s">
        <v>37</v>
      </c>
    </row>
    <row r="205" spans="1:5" x14ac:dyDescent="0.25">
      <c r="A205" s="1">
        <v>410470017021</v>
      </c>
      <c r="B205" t="s">
        <v>3</v>
      </c>
      <c r="C205">
        <v>509974.01942999999</v>
      </c>
      <c r="D205">
        <v>0.99999999000000006</v>
      </c>
      <c r="E205" t="s">
        <v>37</v>
      </c>
    </row>
    <row r="206" spans="1:5" x14ac:dyDescent="0.25">
      <c r="A206" s="1">
        <v>410470017022</v>
      </c>
      <c r="B206" t="s">
        <v>3</v>
      </c>
      <c r="C206">
        <v>793423.71450500004</v>
      </c>
      <c r="D206">
        <v>0.99619084999999996</v>
      </c>
      <c r="E206" t="s">
        <v>37</v>
      </c>
    </row>
    <row r="207" spans="1:5" x14ac:dyDescent="0.25">
      <c r="A207" s="1">
        <v>410470017023</v>
      </c>
      <c r="B207" t="s">
        <v>3</v>
      </c>
      <c r="C207">
        <v>694000.90111700003</v>
      </c>
      <c r="D207">
        <v>1</v>
      </c>
      <c r="E207" t="s">
        <v>37</v>
      </c>
    </row>
    <row r="208" spans="1:5" x14ac:dyDescent="0.25">
      <c r="A208" s="1">
        <v>410470017031</v>
      </c>
      <c r="B208" t="s">
        <v>3</v>
      </c>
      <c r="C208">
        <v>13923.883292</v>
      </c>
      <c r="D208">
        <v>2.3956099999999998E-3</v>
      </c>
      <c r="E208" t="s">
        <v>37</v>
      </c>
    </row>
    <row r="209" spans="1:5" x14ac:dyDescent="0.25">
      <c r="A209" s="1">
        <v>410470017032</v>
      </c>
      <c r="B209" t="s">
        <v>3</v>
      </c>
      <c r="C209">
        <v>13057.064403</v>
      </c>
      <c r="D209">
        <v>1.2036370000000001E-2</v>
      </c>
      <c r="E209" t="s">
        <v>37</v>
      </c>
    </row>
    <row r="210" spans="1:5" x14ac:dyDescent="0.25">
      <c r="A210" s="1">
        <v>410470017033</v>
      </c>
      <c r="B210" t="s">
        <v>3</v>
      </c>
      <c r="C210">
        <v>665018.53443799994</v>
      </c>
      <c r="D210">
        <v>1</v>
      </c>
      <c r="E210" t="s">
        <v>37</v>
      </c>
    </row>
    <row r="211" spans="1:5" x14ac:dyDescent="0.25">
      <c r="A211" s="1">
        <v>410470018011</v>
      </c>
      <c r="B211" t="s">
        <v>3</v>
      </c>
      <c r="C211">
        <v>3945.7156420000001</v>
      </c>
      <c r="D211">
        <v>3.8547300000000002E-3</v>
      </c>
      <c r="E211" t="s">
        <v>37</v>
      </c>
    </row>
    <row r="212" spans="1:5" x14ac:dyDescent="0.25">
      <c r="A212" s="1">
        <v>410470018012</v>
      </c>
      <c r="B212" t="s">
        <v>3</v>
      </c>
      <c r="C212">
        <v>13033.502928</v>
      </c>
      <c r="D212">
        <v>1.18628E-2</v>
      </c>
      <c r="E212" t="s">
        <v>37</v>
      </c>
    </row>
    <row r="213" spans="1:5" x14ac:dyDescent="0.25">
      <c r="A213" s="1">
        <v>410470018032</v>
      </c>
      <c r="B213" t="s">
        <v>3</v>
      </c>
      <c r="C213">
        <v>58.335631999999997</v>
      </c>
      <c r="D213">
        <v>3.9099999999999998E-6</v>
      </c>
      <c r="E213" t="s">
        <v>37</v>
      </c>
    </row>
    <row r="214" spans="1:5" x14ac:dyDescent="0.25">
      <c r="A214" s="1">
        <v>410470025021</v>
      </c>
      <c r="B214" t="s">
        <v>3</v>
      </c>
      <c r="C214">
        <v>11789.944949000001</v>
      </c>
      <c r="D214">
        <v>3.8616999999999997E-4</v>
      </c>
      <c r="E214" t="s">
        <v>37</v>
      </c>
    </row>
    <row r="215" spans="1:5" x14ac:dyDescent="0.25">
      <c r="A215" s="1">
        <v>410470025022</v>
      </c>
      <c r="B215" t="s">
        <v>3</v>
      </c>
      <c r="C215">
        <v>26357.913377000001</v>
      </c>
      <c r="D215">
        <v>1.36988E-3</v>
      </c>
      <c r="E215" t="s">
        <v>37</v>
      </c>
    </row>
    <row r="216" spans="1:5" x14ac:dyDescent="0.25">
      <c r="A216" s="1">
        <v>410470025023</v>
      </c>
      <c r="B216" t="s">
        <v>3</v>
      </c>
      <c r="C216">
        <v>3263329.7256080001</v>
      </c>
      <c r="D216">
        <v>0.86901079999999997</v>
      </c>
      <c r="E216" t="s">
        <v>37</v>
      </c>
    </row>
    <row r="217" spans="1:5" x14ac:dyDescent="0.25">
      <c r="A217" s="1">
        <v>410530052061</v>
      </c>
      <c r="B217" t="s">
        <v>3</v>
      </c>
      <c r="C217">
        <v>9059.5866719999995</v>
      </c>
      <c r="D217">
        <v>2.3549700000000001E-3</v>
      </c>
      <c r="E217" t="s">
        <v>37</v>
      </c>
    </row>
    <row r="218" spans="1:5" x14ac:dyDescent="0.25">
      <c r="A218" s="1">
        <v>410470002002</v>
      </c>
      <c r="B218" t="s">
        <v>5</v>
      </c>
      <c r="C218">
        <v>63301.760231</v>
      </c>
      <c r="D218">
        <v>5.6977430000000003E-2</v>
      </c>
      <c r="E218" t="s">
        <v>37</v>
      </c>
    </row>
    <row r="219" spans="1:5" x14ac:dyDescent="0.25">
      <c r="A219" s="1">
        <v>410470002003</v>
      </c>
      <c r="B219" t="s">
        <v>5</v>
      </c>
      <c r="C219">
        <v>131323.469346</v>
      </c>
      <c r="D219">
        <v>8.6571330000000002E-2</v>
      </c>
      <c r="E219" t="s">
        <v>37</v>
      </c>
    </row>
    <row r="220" spans="1:5" x14ac:dyDescent="0.25">
      <c r="A220" s="1">
        <v>410470009002</v>
      </c>
      <c r="B220" t="s">
        <v>5</v>
      </c>
      <c r="C220">
        <v>1472.3027990000001</v>
      </c>
      <c r="D220">
        <v>4.9079700000000002E-3</v>
      </c>
      <c r="E220" t="s">
        <v>37</v>
      </c>
    </row>
    <row r="221" spans="1:5" x14ac:dyDescent="0.25">
      <c r="A221" s="1">
        <v>410470009003</v>
      </c>
      <c r="B221" t="s">
        <v>5</v>
      </c>
      <c r="C221">
        <v>485.88302399999998</v>
      </c>
      <c r="D221">
        <v>1.29137E-3</v>
      </c>
      <c r="E221" t="s">
        <v>37</v>
      </c>
    </row>
    <row r="222" spans="1:5" x14ac:dyDescent="0.25">
      <c r="A222" s="1">
        <v>410470010001</v>
      </c>
      <c r="B222" t="s">
        <v>5</v>
      </c>
      <c r="C222">
        <v>1472620.0749609999</v>
      </c>
      <c r="D222">
        <v>0.99048728999999991</v>
      </c>
      <c r="E222" t="s">
        <v>37</v>
      </c>
    </row>
    <row r="223" spans="1:5" x14ac:dyDescent="0.25">
      <c r="A223" s="1">
        <v>410470010002</v>
      </c>
      <c r="B223" t="s">
        <v>5</v>
      </c>
      <c r="C223">
        <v>1947910.210275</v>
      </c>
      <c r="D223">
        <v>0.99784136000000001</v>
      </c>
      <c r="E223" t="s">
        <v>37</v>
      </c>
    </row>
    <row r="224" spans="1:5" x14ac:dyDescent="0.25">
      <c r="A224" s="1">
        <v>410470010003</v>
      </c>
      <c r="B224" t="s">
        <v>5</v>
      </c>
      <c r="C224">
        <v>8542656.5053400006</v>
      </c>
      <c r="D224">
        <v>0.82504532999999991</v>
      </c>
      <c r="E224" t="s">
        <v>37</v>
      </c>
    </row>
    <row r="225" spans="1:5" x14ac:dyDescent="0.25">
      <c r="A225" s="1">
        <v>410470011001</v>
      </c>
      <c r="B225" t="s">
        <v>5</v>
      </c>
      <c r="C225">
        <v>662763.86496300006</v>
      </c>
      <c r="D225">
        <v>0.99999998000000001</v>
      </c>
      <c r="E225" t="s">
        <v>37</v>
      </c>
    </row>
    <row r="226" spans="1:5" x14ac:dyDescent="0.25">
      <c r="A226" s="1">
        <v>410470011002</v>
      </c>
      <c r="B226" t="s">
        <v>5</v>
      </c>
      <c r="C226">
        <v>1036729.691917</v>
      </c>
      <c r="D226">
        <v>0.99999998000000001</v>
      </c>
      <c r="E226" t="s">
        <v>37</v>
      </c>
    </row>
    <row r="227" spans="1:5" x14ac:dyDescent="0.25">
      <c r="A227" s="1">
        <v>410470011003</v>
      </c>
      <c r="B227" t="s">
        <v>5</v>
      </c>
      <c r="C227">
        <v>607071.79955899995</v>
      </c>
      <c r="D227">
        <v>1</v>
      </c>
      <c r="E227" t="s">
        <v>37</v>
      </c>
    </row>
    <row r="228" spans="1:5" x14ac:dyDescent="0.25">
      <c r="A228" s="1">
        <v>410470012001</v>
      </c>
      <c r="B228" t="s">
        <v>5</v>
      </c>
      <c r="C228">
        <v>1272777.9048659999</v>
      </c>
      <c r="D228">
        <v>0.99891993000000001</v>
      </c>
      <c r="E228" t="s">
        <v>37</v>
      </c>
    </row>
    <row r="229" spans="1:5" x14ac:dyDescent="0.25">
      <c r="A229" s="1">
        <v>410470012002</v>
      </c>
      <c r="B229" t="s">
        <v>5</v>
      </c>
      <c r="C229">
        <v>989227.98632000003</v>
      </c>
      <c r="D229">
        <v>1</v>
      </c>
      <c r="E229" t="s">
        <v>37</v>
      </c>
    </row>
    <row r="230" spans="1:5" x14ac:dyDescent="0.25">
      <c r="A230" s="1">
        <v>410470013001</v>
      </c>
      <c r="B230" t="s">
        <v>5</v>
      </c>
      <c r="C230">
        <v>6348406.5666570002</v>
      </c>
      <c r="D230">
        <v>0.99674752999999994</v>
      </c>
      <c r="E230" t="s">
        <v>37</v>
      </c>
    </row>
    <row r="231" spans="1:5" x14ac:dyDescent="0.25">
      <c r="A231" s="1">
        <v>410470013002</v>
      </c>
      <c r="B231" t="s">
        <v>5</v>
      </c>
      <c r="C231">
        <v>454194.13575199997</v>
      </c>
      <c r="D231">
        <v>0.99999999000000006</v>
      </c>
      <c r="E231" t="s">
        <v>37</v>
      </c>
    </row>
    <row r="232" spans="1:5" x14ac:dyDescent="0.25">
      <c r="A232" s="1">
        <v>410470013003</v>
      </c>
      <c r="B232" t="s">
        <v>5</v>
      </c>
      <c r="C232">
        <v>405689.21609100001</v>
      </c>
      <c r="D232">
        <v>1</v>
      </c>
      <c r="E232" t="s">
        <v>37</v>
      </c>
    </row>
    <row r="233" spans="1:5" x14ac:dyDescent="0.25">
      <c r="A233" s="1">
        <v>410470018013</v>
      </c>
      <c r="B233" t="s">
        <v>5</v>
      </c>
      <c r="C233">
        <v>101.28874500000001</v>
      </c>
      <c r="D233">
        <v>1.3967999999999999E-4</v>
      </c>
      <c r="E233" t="s">
        <v>37</v>
      </c>
    </row>
    <row r="234" spans="1:5" x14ac:dyDescent="0.25">
      <c r="A234" s="1">
        <v>410470018021</v>
      </c>
      <c r="B234" t="s">
        <v>5</v>
      </c>
      <c r="C234">
        <v>1904.6391209999999</v>
      </c>
      <c r="D234">
        <v>3.1178999999999999E-4</v>
      </c>
      <c r="E234" t="s">
        <v>37</v>
      </c>
    </row>
    <row r="235" spans="1:5" x14ac:dyDescent="0.25">
      <c r="A235" s="1">
        <v>410470018024</v>
      </c>
      <c r="B235" t="s">
        <v>5</v>
      </c>
      <c r="C235">
        <v>376028.19451599999</v>
      </c>
      <c r="D235">
        <v>0.33438141999999998</v>
      </c>
      <c r="E235" t="s">
        <v>37</v>
      </c>
    </row>
    <row r="236" spans="1:5" x14ac:dyDescent="0.25">
      <c r="A236" s="1">
        <v>410470018025</v>
      </c>
      <c r="B236" t="s">
        <v>5</v>
      </c>
      <c r="C236">
        <v>2941.1784550000002</v>
      </c>
      <c r="D236">
        <v>4.2555199999999996E-3</v>
      </c>
      <c r="E236" t="s">
        <v>37</v>
      </c>
    </row>
    <row r="237" spans="1:5" x14ac:dyDescent="0.25">
      <c r="A237" s="1">
        <v>410470018031</v>
      </c>
      <c r="B237" t="s">
        <v>5</v>
      </c>
      <c r="C237">
        <v>819494.76804400003</v>
      </c>
      <c r="D237">
        <v>0.99576676000000008</v>
      </c>
      <c r="E237" t="s">
        <v>37</v>
      </c>
    </row>
    <row r="238" spans="1:5" x14ac:dyDescent="0.25">
      <c r="A238" s="1">
        <v>410470018032</v>
      </c>
      <c r="B238" t="s">
        <v>5</v>
      </c>
      <c r="C238">
        <v>12829410.907723</v>
      </c>
      <c r="D238">
        <v>0.86000756</v>
      </c>
      <c r="E238" t="s">
        <v>37</v>
      </c>
    </row>
    <row r="239" spans="1:5" x14ac:dyDescent="0.25">
      <c r="A239" s="1">
        <v>410470020011</v>
      </c>
      <c r="B239" t="s">
        <v>5</v>
      </c>
      <c r="C239">
        <v>1581513.286265</v>
      </c>
      <c r="D239">
        <v>1</v>
      </c>
      <c r="E239" t="s">
        <v>37</v>
      </c>
    </row>
    <row r="240" spans="1:5" x14ac:dyDescent="0.25">
      <c r="A240" s="1">
        <v>410470020012</v>
      </c>
      <c r="B240" t="s">
        <v>5</v>
      </c>
      <c r="C240">
        <v>1534203.0090709999</v>
      </c>
      <c r="D240">
        <v>1</v>
      </c>
      <c r="E240" t="s">
        <v>37</v>
      </c>
    </row>
    <row r="241" spans="1:5" x14ac:dyDescent="0.25">
      <c r="A241" s="1">
        <v>410470020021</v>
      </c>
      <c r="B241" t="s">
        <v>5</v>
      </c>
      <c r="C241">
        <v>1908854.905644</v>
      </c>
      <c r="D241">
        <v>1</v>
      </c>
      <c r="E241" t="s">
        <v>37</v>
      </c>
    </row>
    <row r="242" spans="1:5" x14ac:dyDescent="0.25">
      <c r="A242" s="1">
        <v>410470020022</v>
      </c>
      <c r="B242" t="s">
        <v>5</v>
      </c>
      <c r="C242">
        <v>1424256.286362</v>
      </c>
      <c r="D242">
        <v>0.99999999000000006</v>
      </c>
      <c r="E242" t="s">
        <v>37</v>
      </c>
    </row>
    <row r="243" spans="1:5" x14ac:dyDescent="0.25">
      <c r="A243" s="1">
        <v>410470021011</v>
      </c>
      <c r="B243" t="s">
        <v>5</v>
      </c>
      <c r="C243">
        <v>619262.88903700002</v>
      </c>
      <c r="D243">
        <v>0.99999999000000006</v>
      </c>
      <c r="E243" t="s">
        <v>37</v>
      </c>
    </row>
    <row r="244" spans="1:5" x14ac:dyDescent="0.25">
      <c r="A244" s="1">
        <v>410470021012</v>
      </c>
      <c r="B244" t="s">
        <v>5</v>
      </c>
      <c r="C244">
        <v>441460.95624799997</v>
      </c>
      <c r="D244">
        <v>1</v>
      </c>
      <c r="E244" t="s">
        <v>37</v>
      </c>
    </row>
    <row r="245" spans="1:5" x14ac:dyDescent="0.25">
      <c r="A245" s="1">
        <v>410470021021</v>
      </c>
      <c r="B245" t="s">
        <v>5</v>
      </c>
      <c r="C245">
        <v>1062030.8495479999</v>
      </c>
      <c r="D245">
        <v>1</v>
      </c>
      <c r="E245" t="s">
        <v>37</v>
      </c>
    </row>
    <row r="246" spans="1:5" x14ac:dyDescent="0.25">
      <c r="A246" s="1">
        <v>410470021022</v>
      </c>
      <c r="B246" t="s">
        <v>5</v>
      </c>
      <c r="C246">
        <v>287525.464095</v>
      </c>
      <c r="D246">
        <v>1</v>
      </c>
      <c r="E246" t="s">
        <v>37</v>
      </c>
    </row>
    <row r="247" spans="1:5" x14ac:dyDescent="0.25">
      <c r="A247" s="1">
        <v>410470021023</v>
      </c>
      <c r="B247" t="s">
        <v>5</v>
      </c>
      <c r="C247">
        <v>537292.19949899998</v>
      </c>
      <c r="D247">
        <v>1</v>
      </c>
      <c r="E247" t="s">
        <v>37</v>
      </c>
    </row>
    <row r="248" spans="1:5" x14ac:dyDescent="0.25">
      <c r="A248" s="1">
        <v>410470021024</v>
      </c>
      <c r="B248" t="s">
        <v>5</v>
      </c>
      <c r="C248">
        <v>1189582.437647</v>
      </c>
      <c r="D248">
        <v>1</v>
      </c>
      <c r="E248" t="s">
        <v>37</v>
      </c>
    </row>
    <row r="249" spans="1:5" x14ac:dyDescent="0.25">
      <c r="A249" s="1">
        <v>410470022011</v>
      </c>
      <c r="B249" t="s">
        <v>5</v>
      </c>
      <c r="C249">
        <v>991965.823921</v>
      </c>
      <c r="D249">
        <v>0.99999996999999996</v>
      </c>
      <c r="E249" t="s">
        <v>37</v>
      </c>
    </row>
    <row r="250" spans="1:5" x14ac:dyDescent="0.25">
      <c r="A250" s="1">
        <v>410470022012</v>
      </c>
      <c r="B250" t="s">
        <v>5</v>
      </c>
      <c r="C250">
        <v>369948.76409399998</v>
      </c>
      <c r="D250">
        <v>1</v>
      </c>
      <c r="E250" t="s">
        <v>37</v>
      </c>
    </row>
    <row r="251" spans="1:5" x14ac:dyDescent="0.25">
      <c r="A251" s="1">
        <v>410470022021</v>
      </c>
      <c r="B251" t="s">
        <v>5</v>
      </c>
      <c r="C251">
        <v>2443279.1630699998</v>
      </c>
      <c r="D251">
        <v>1</v>
      </c>
      <c r="E251" t="s">
        <v>37</v>
      </c>
    </row>
    <row r="252" spans="1:5" x14ac:dyDescent="0.25">
      <c r="A252" s="1">
        <v>410470022022</v>
      </c>
      <c r="B252" t="s">
        <v>5</v>
      </c>
      <c r="C252">
        <v>407397.79281200003</v>
      </c>
      <c r="D252">
        <v>0.99999998000000001</v>
      </c>
      <c r="E252" t="s">
        <v>37</v>
      </c>
    </row>
    <row r="253" spans="1:5" x14ac:dyDescent="0.25">
      <c r="A253" s="1">
        <v>410470022023</v>
      </c>
      <c r="B253" t="s">
        <v>5</v>
      </c>
      <c r="C253">
        <v>1174784.14316</v>
      </c>
      <c r="D253">
        <v>0.99999999000000006</v>
      </c>
      <c r="E253" t="s">
        <v>37</v>
      </c>
    </row>
    <row r="254" spans="1:5" x14ac:dyDescent="0.25">
      <c r="A254" s="1">
        <v>410470023011</v>
      </c>
      <c r="B254" t="s">
        <v>5</v>
      </c>
      <c r="C254">
        <v>952993.85346200003</v>
      </c>
      <c r="D254">
        <v>1</v>
      </c>
      <c r="E254" t="s">
        <v>37</v>
      </c>
    </row>
    <row r="255" spans="1:5" x14ac:dyDescent="0.25">
      <c r="A255" s="1">
        <v>410470023012</v>
      </c>
      <c r="B255" t="s">
        <v>5</v>
      </c>
      <c r="C255">
        <v>1040168.030644</v>
      </c>
      <c r="D255">
        <v>0.38764111999999995</v>
      </c>
      <c r="E255" t="s">
        <v>37</v>
      </c>
    </row>
    <row r="256" spans="1:5" x14ac:dyDescent="0.25">
      <c r="A256" s="1">
        <v>410470023031</v>
      </c>
      <c r="B256" t="s">
        <v>5</v>
      </c>
      <c r="C256">
        <v>1719435.8888590001</v>
      </c>
      <c r="D256">
        <v>1</v>
      </c>
      <c r="E256" t="s">
        <v>37</v>
      </c>
    </row>
    <row r="257" spans="1:5" x14ac:dyDescent="0.25">
      <c r="A257" s="1">
        <v>410470023032</v>
      </c>
      <c r="B257" t="s">
        <v>5</v>
      </c>
      <c r="C257">
        <v>965155.57664099999</v>
      </c>
      <c r="D257">
        <v>1</v>
      </c>
      <c r="E257" t="s">
        <v>37</v>
      </c>
    </row>
    <row r="258" spans="1:5" x14ac:dyDescent="0.25">
      <c r="A258" s="1">
        <v>410470023033</v>
      </c>
      <c r="B258" t="s">
        <v>5</v>
      </c>
      <c r="C258">
        <v>826042.29894699994</v>
      </c>
      <c r="D258">
        <v>0.99999999000000006</v>
      </c>
      <c r="E258" t="s">
        <v>37</v>
      </c>
    </row>
    <row r="259" spans="1:5" x14ac:dyDescent="0.25">
      <c r="A259" s="1">
        <v>410470023041</v>
      </c>
      <c r="B259" t="s">
        <v>5</v>
      </c>
      <c r="C259">
        <v>3100597.7076349999</v>
      </c>
      <c r="D259">
        <v>0.80253212000000007</v>
      </c>
      <c r="E259" t="s">
        <v>37</v>
      </c>
    </row>
    <row r="260" spans="1:5" x14ac:dyDescent="0.25">
      <c r="A260" s="1">
        <v>410470023042</v>
      </c>
      <c r="B260" t="s">
        <v>5</v>
      </c>
      <c r="C260">
        <v>333557.43614800001</v>
      </c>
      <c r="D260">
        <v>1</v>
      </c>
      <c r="E260" t="s">
        <v>37</v>
      </c>
    </row>
    <row r="261" spans="1:5" x14ac:dyDescent="0.25">
      <c r="A261" s="1">
        <v>410470023043</v>
      </c>
      <c r="B261" t="s">
        <v>5</v>
      </c>
      <c r="C261">
        <v>798989.50844600005</v>
      </c>
      <c r="D261">
        <v>1</v>
      </c>
      <c r="E261" t="s">
        <v>37</v>
      </c>
    </row>
    <row r="262" spans="1:5" x14ac:dyDescent="0.25">
      <c r="A262" s="1">
        <v>410470023044</v>
      </c>
      <c r="B262" t="s">
        <v>5</v>
      </c>
      <c r="C262">
        <v>547735.92673599999</v>
      </c>
      <c r="D262">
        <v>0.99999999000000006</v>
      </c>
      <c r="E262" t="s">
        <v>37</v>
      </c>
    </row>
    <row r="263" spans="1:5" x14ac:dyDescent="0.25">
      <c r="A263" s="1">
        <v>410470024001</v>
      </c>
      <c r="B263" t="s">
        <v>5</v>
      </c>
      <c r="C263">
        <v>4351711.1929329997</v>
      </c>
      <c r="D263">
        <v>0.99950000000000006</v>
      </c>
      <c r="E263" t="s">
        <v>37</v>
      </c>
    </row>
    <row r="264" spans="1:5" x14ac:dyDescent="0.25">
      <c r="A264" s="1">
        <v>410470024002</v>
      </c>
      <c r="B264" t="s">
        <v>5</v>
      </c>
      <c r="C264">
        <v>8477931.6582859997</v>
      </c>
      <c r="D264">
        <v>0.34969509999999998</v>
      </c>
      <c r="E264" t="s">
        <v>37</v>
      </c>
    </row>
    <row r="265" spans="1:5" x14ac:dyDescent="0.25">
      <c r="A265" s="1">
        <v>410470027011</v>
      </c>
      <c r="B265" t="s">
        <v>5</v>
      </c>
      <c r="C265">
        <v>546963.81491399999</v>
      </c>
      <c r="D265">
        <v>3.7309869999999995E-2</v>
      </c>
      <c r="E265" t="s">
        <v>37</v>
      </c>
    </row>
    <row r="266" spans="1:5" x14ac:dyDescent="0.25">
      <c r="A266" s="1">
        <v>410470027013</v>
      </c>
      <c r="B266" t="s">
        <v>5</v>
      </c>
      <c r="C266">
        <v>31673.024436</v>
      </c>
      <c r="D266">
        <v>2.7389300000000001E-3</v>
      </c>
      <c r="E266" t="s">
        <v>37</v>
      </c>
    </row>
    <row r="267" spans="1:5" x14ac:dyDescent="0.25">
      <c r="A267" s="1">
        <v>410470027022</v>
      </c>
      <c r="B267" t="s">
        <v>5</v>
      </c>
      <c r="C267">
        <v>1819.473516</v>
      </c>
      <c r="D267">
        <v>1.7715999999999999E-4</v>
      </c>
      <c r="E267" t="s">
        <v>37</v>
      </c>
    </row>
    <row r="268" spans="1:5" x14ac:dyDescent="0.25">
      <c r="A268" s="1">
        <v>410470028002</v>
      </c>
      <c r="B268" t="s">
        <v>5</v>
      </c>
      <c r="C268">
        <v>1032232.254362</v>
      </c>
      <c r="D268">
        <v>8.9069040000000002E-2</v>
      </c>
      <c r="E268" t="s">
        <v>37</v>
      </c>
    </row>
    <row r="269" spans="1:5" x14ac:dyDescent="0.25">
      <c r="A269" s="1">
        <v>410530052041</v>
      </c>
      <c r="B269" t="s">
        <v>5</v>
      </c>
      <c r="C269">
        <v>29422.890071000002</v>
      </c>
      <c r="D269">
        <v>1.7006010000000002E-2</v>
      </c>
      <c r="E269" t="s">
        <v>37</v>
      </c>
    </row>
    <row r="270" spans="1:5" x14ac:dyDescent="0.25">
      <c r="A270" s="1">
        <v>410530053021</v>
      </c>
      <c r="B270" t="s">
        <v>5</v>
      </c>
      <c r="C270">
        <v>1078.2500030000001</v>
      </c>
      <c r="D270">
        <v>1.0939000000000001E-3</v>
      </c>
      <c r="E270" t="s">
        <v>37</v>
      </c>
    </row>
    <row r="271" spans="1:5" x14ac:dyDescent="0.25">
      <c r="A271" s="1">
        <v>410470027011</v>
      </c>
      <c r="B271" t="s">
        <v>29</v>
      </c>
      <c r="C271">
        <v>2605654.4590400001</v>
      </c>
      <c r="D271">
        <v>0.17773868000000001</v>
      </c>
      <c r="E271" t="s">
        <v>37</v>
      </c>
    </row>
    <row r="272" spans="1:5" x14ac:dyDescent="0.25">
      <c r="A272" s="1">
        <v>410470027012</v>
      </c>
      <c r="B272" t="s">
        <v>29</v>
      </c>
      <c r="C272">
        <v>1525528.140038</v>
      </c>
      <c r="D272">
        <v>0.97315567999999997</v>
      </c>
      <c r="E272" t="s">
        <v>37</v>
      </c>
    </row>
    <row r="273" spans="1:5" x14ac:dyDescent="0.25">
      <c r="A273" s="1">
        <v>410470027013</v>
      </c>
      <c r="B273" t="s">
        <v>29</v>
      </c>
      <c r="C273">
        <v>5018.0524949999999</v>
      </c>
      <c r="D273">
        <v>4.3394000000000001E-4</v>
      </c>
      <c r="E273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A86F-AD5D-4AF1-8BCF-378F5C86F319}">
  <dimension ref="A1:C247"/>
  <sheetViews>
    <sheetView tabSelected="1" workbookViewId="0">
      <selection activeCell="L14" sqref="L14"/>
    </sheetView>
  </sheetViews>
  <sheetFormatPr defaultRowHeight="15" x14ac:dyDescent="0.25"/>
  <cols>
    <col min="1" max="1" width="6.42578125" bestFit="1" customWidth="1"/>
    <col min="2" max="2" width="20.7109375" bestFit="1" customWidth="1"/>
    <col min="3" max="3" width="6.5703125" bestFit="1" customWidth="1"/>
    <col min="6" max="6" width="19.7109375" bestFit="1" customWidth="1"/>
    <col min="7" max="7" width="16.7109375" bestFit="1" customWidth="1"/>
  </cols>
  <sheetData>
    <row r="1" spans="1:3" x14ac:dyDescent="0.25">
      <c r="A1" t="s">
        <v>11</v>
      </c>
      <c r="B1" t="s">
        <v>14</v>
      </c>
      <c r="C1" t="s">
        <v>2</v>
      </c>
    </row>
    <row r="2" spans="1:3" x14ac:dyDescent="0.25">
      <c r="A2">
        <v>31</v>
      </c>
      <c r="B2" t="s">
        <v>8</v>
      </c>
      <c r="C2" t="s">
        <v>4</v>
      </c>
    </row>
    <row r="3" spans="1:3" x14ac:dyDescent="0.25">
      <c r="A3">
        <v>32</v>
      </c>
      <c r="B3" t="s">
        <v>8</v>
      </c>
      <c r="C3" t="s">
        <v>4</v>
      </c>
    </row>
    <row r="4" spans="1:3" x14ac:dyDescent="0.25">
      <c r="A4">
        <v>33</v>
      </c>
      <c r="B4" t="s">
        <v>8</v>
      </c>
      <c r="C4" t="s">
        <v>4</v>
      </c>
    </row>
    <row r="5" spans="1:3" x14ac:dyDescent="0.25">
      <c r="A5">
        <v>34</v>
      </c>
      <c r="B5" t="s">
        <v>8</v>
      </c>
      <c r="C5" t="s">
        <v>4</v>
      </c>
    </row>
    <row r="6" spans="1:3" x14ac:dyDescent="0.25">
      <c r="A6">
        <v>35</v>
      </c>
      <c r="B6" t="s">
        <v>8</v>
      </c>
      <c r="C6" t="s">
        <v>4</v>
      </c>
    </row>
    <row r="7" spans="1:3" x14ac:dyDescent="0.25">
      <c r="A7">
        <v>36</v>
      </c>
      <c r="B7" t="s">
        <v>8</v>
      </c>
      <c r="C7" t="s">
        <v>4</v>
      </c>
    </row>
    <row r="8" spans="1:3" x14ac:dyDescent="0.25">
      <c r="A8">
        <v>37</v>
      </c>
      <c r="B8" t="s">
        <v>8</v>
      </c>
      <c r="C8" t="s">
        <v>4</v>
      </c>
    </row>
    <row r="9" spans="1:3" x14ac:dyDescent="0.25">
      <c r="A9">
        <v>38</v>
      </c>
      <c r="B9" t="s">
        <v>8</v>
      </c>
      <c r="C9" t="s">
        <v>4</v>
      </c>
    </row>
    <row r="10" spans="1:3" x14ac:dyDescent="0.25">
      <c r="A10">
        <v>39</v>
      </c>
      <c r="B10" t="s">
        <v>8</v>
      </c>
      <c r="C10" t="s">
        <v>4</v>
      </c>
    </row>
    <row r="11" spans="1:3" x14ac:dyDescent="0.25">
      <c r="A11">
        <v>40</v>
      </c>
      <c r="B11" t="s">
        <v>9</v>
      </c>
      <c r="C11" t="s">
        <v>4</v>
      </c>
    </row>
    <row r="12" spans="1:3" x14ac:dyDescent="0.25">
      <c r="A12">
        <v>41</v>
      </c>
      <c r="B12" t="s">
        <v>8</v>
      </c>
      <c r="C12" t="s">
        <v>4</v>
      </c>
    </row>
    <row r="13" spans="1:3" x14ac:dyDescent="0.25">
      <c r="A13">
        <v>42</v>
      </c>
      <c r="B13" t="s">
        <v>8</v>
      </c>
      <c r="C13" t="s">
        <v>4</v>
      </c>
    </row>
    <row r="14" spans="1:3" x14ac:dyDescent="0.25">
      <c r="A14">
        <v>43</v>
      </c>
      <c r="B14" t="s">
        <v>8</v>
      </c>
      <c r="C14" t="s">
        <v>4</v>
      </c>
    </row>
    <row r="15" spans="1:3" x14ac:dyDescent="0.25">
      <c r="A15">
        <v>44</v>
      </c>
      <c r="B15" t="s">
        <v>9</v>
      </c>
      <c r="C15" t="s">
        <v>4</v>
      </c>
    </row>
    <row r="16" spans="1:3" x14ac:dyDescent="0.25">
      <c r="A16">
        <v>45</v>
      </c>
      <c r="B16" t="s">
        <v>9</v>
      </c>
      <c r="C16" t="s">
        <v>4</v>
      </c>
    </row>
    <row r="17" spans="1:3" x14ac:dyDescent="0.25">
      <c r="A17">
        <v>47</v>
      </c>
      <c r="B17" t="s">
        <v>9</v>
      </c>
      <c r="C17" t="s">
        <v>4</v>
      </c>
    </row>
    <row r="18" spans="1:3" x14ac:dyDescent="0.25">
      <c r="A18">
        <v>48</v>
      </c>
      <c r="B18" t="s">
        <v>9</v>
      </c>
      <c r="C18" t="s">
        <v>4</v>
      </c>
    </row>
    <row r="19" spans="1:3" x14ac:dyDescent="0.25">
      <c r="A19">
        <v>49</v>
      </c>
      <c r="B19" t="s">
        <v>9</v>
      </c>
      <c r="C19" t="s">
        <v>4</v>
      </c>
    </row>
    <row r="20" spans="1:3" x14ac:dyDescent="0.25">
      <c r="A20">
        <v>50</v>
      </c>
      <c r="B20" t="s">
        <v>9</v>
      </c>
      <c r="C20" t="s">
        <v>4</v>
      </c>
    </row>
    <row r="21" spans="1:3" x14ac:dyDescent="0.25">
      <c r="A21">
        <v>51</v>
      </c>
      <c r="B21" t="s">
        <v>9</v>
      </c>
      <c r="C21" t="s">
        <v>4</v>
      </c>
    </row>
    <row r="22" spans="1:3" x14ac:dyDescent="0.25">
      <c r="A22">
        <v>52</v>
      </c>
      <c r="B22" t="s">
        <v>9</v>
      </c>
      <c r="C22" t="s">
        <v>4</v>
      </c>
    </row>
    <row r="23" spans="1:3" x14ac:dyDescent="0.25">
      <c r="A23">
        <v>53</v>
      </c>
      <c r="B23" t="s">
        <v>9</v>
      </c>
      <c r="C23" t="s">
        <v>4</v>
      </c>
    </row>
    <row r="24" spans="1:3" x14ac:dyDescent="0.25">
      <c r="A24">
        <v>54</v>
      </c>
      <c r="B24" t="s">
        <v>9</v>
      </c>
      <c r="C24" t="s">
        <v>4</v>
      </c>
    </row>
    <row r="25" spans="1:3" x14ac:dyDescent="0.25">
      <c r="A25">
        <v>55</v>
      </c>
      <c r="B25" t="s">
        <v>9</v>
      </c>
      <c r="C25" t="s">
        <v>4</v>
      </c>
    </row>
    <row r="26" spans="1:3" x14ac:dyDescent="0.25">
      <c r="A26">
        <v>56</v>
      </c>
      <c r="B26" t="s">
        <v>8</v>
      </c>
      <c r="C26" t="s">
        <v>4</v>
      </c>
    </row>
    <row r="27" spans="1:3" x14ac:dyDescent="0.25">
      <c r="A27">
        <v>61</v>
      </c>
      <c r="B27" t="s">
        <v>10</v>
      </c>
      <c r="C27" t="s">
        <v>4</v>
      </c>
    </row>
    <row r="28" spans="1:3" x14ac:dyDescent="0.25">
      <c r="A28">
        <v>64</v>
      </c>
      <c r="B28" t="s">
        <v>10</v>
      </c>
      <c r="C28" t="s">
        <v>4</v>
      </c>
    </row>
    <row r="29" spans="1:3" x14ac:dyDescent="0.25">
      <c r="A29">
        <v>65</v>
      </c>
      <c r="B29" t="s">
        <v>9</v>
      </c>
      <c r="C29" t="s">
        <v>4</v>
      </c>
    </row>
    <row r="30" spans="1:3" x14ac:dyDescent="0.25">
      <c r="A30">
        <v>66</v>
      </c>
      <c r="B30" t="s">
        <v>9</v>
      </c>
      <c r="C30" t="s">
        <v>4</v>
      </c>
    </row>
    <row r="31" spans="1:3" x14ac:dyDescent="0.25">
      <c r="A31">
        <v>67</v>
      </c>
      <c r="B31" t="s">
        <v>9</v>
      </c>
      <c r="C31" t="s">
        <v>4</v>
      </c>
    </row>
    <row r="32" spans="1:3" x14ac:dyDescent="0.25">
      <c r="A32">
        <v>70</v>
      </c>
      <c r="B32" t="s">
        <v>9</v>
      </c>
      <c r="C32" t="s">
        <v>4</v>
      </c>
    </row>
    <row r="33" spans="1:3" x14ac:dyDescent="0.25">
      <c r="A33">
        <v>71</v>
      </c>
      <c r="B33" t="s">
        <v>9</v>
      </c>
      <c r="C33" t="s">
        <v>4</v>
      </c>
    </row>
    <row r="34" spans="1:3" x14ac:dyDescent="0.25">
      <c r="A34">
        <v>74</v>
      </c>
      <c r="B34" t="s">
        <v>9</v>
      </c>
      <c r="C34" t="s">
        <v>4</v>
      </c>
    </row>
    <row r="35" spans="1:3" x14ac:dyDescent="0.25">
      <c r="A35">
        <v>75</v>
      </c>
      <c r="B35" t="s">
        <v>9</v>
      </c>
      <c r="C35" t="s">
        <v>4</v>
      </c>
    </row>
    <row r="36" spans="1:3" x14ac:dyDescent="0.25">
      <c r="A36">
        <v>76</v>
      </c>
      <c r="B36" t="s">
        <v>9</v>
      </c>
      <c r="C36" t="s">
        <v>4</v>
      </c>
    </row>
    <row r="37" spans="1:3" x14ac:dyDescent="0.25">
      <c r="A37">
        <v>77</v>
      </c>
      <c r="B37" t="s">
        <v>9</v>
      </c>
      <c r="C37" t="s">
        <v>4</v>
      </c>
    </row>
    <row r="38" spans="1:3" x14ac:dyDescent="0.25">
      <c r="A38">
        <v>78</v>
      </c>
      <c r="B38" t="s">
        <v>9</v>
      </c>
      <c r="C38" t="s">
        <v>4</v>
      </c>
    </row>
    <row r="39" spans="1:3" x14ac:dyDescent="0.25">
      <c r="A39">
        <v>80</v>
      </c>
      <c r="B39" t="s">
        <v>6</v>
      </c>
      <c r="C39" t="s">
        <v>4</v>
      </c>
    </row>
    <row r="40" spans="1:3" x14ac:dyDescent="0.25">
      <c r="A40">
        <v>81</v>
      </c>
      <c r="B40" t="s">
        <v>6</v>
      </c>
      <c r="C40" t="s">
        <v>4</v>
      </c>
    </row>
    <row r="41" spans="1:3" x14ac:dyDescent="0.25">
      <c r="A41">
        <v>82</v>
      </c>
      <c r="B41" t="s">
        <v>7</v>
      </c>
      <c r="C41" t="s">
        <v>4</v>
      </c>
    </row>
    <row r="42" spans="1:3" x14ac:dyDescent="0.25">
      <c r="A42">
        <v>83</v>
      </c>
      <c r="B42" t="s">
        <v>6</v>
      </c>
      <c r="C42" t="s">
        <v>4</v>
      </c>
    </row>
    <row r="43" spans="1:3" x14ac:dyDescent="0.25">
      <c r="A43">
        <v>84</v>
      </c>
      <c r="B43" t="s">
        <v>6</v>
      </c>
      <c r="C43" t="s">
        <v>4</v>
      </c>
    </row>
    <row r="44" spans="1:3" x14ac:dyDescent="0.25">
      <c r="A44">
        <v>85</v>
      </c>
      <c r="B44" t="s">
        <v>6</v>
      </c>
      <c r="C44" t="s">
        <v>4</v>
      </c>
    </row>
    <row r="45" spans="1:3" x14ac:dyDescent="0.25">
      <c r="A45">
        <v>86</v>
      </c>
      <c r="B45" t="s">
        <v>6</v>
      </c>
      <c r="C45" t="s">
        <v>4</v>
      </c>
    </row>
    <row r="46" spans="1:3" x14ac:dyDescent="0.25">
      <c r="A46">
        <v>87</v>
      </c>
      <c r="B46" t="s">
        <v>7</v>
      </c>
      <c r="C46" t="s">
        <v>4</v>
      </c>
    </row>
    <row r="47" spans="1:3" x14ac:dyDescent="0.25">
      <c r="A47">
        <v>88</v>
      </c>
      <c r="B47" t="s">
        <v>7</v>
      </c>
      <c r="C47" t="s">
        <v>4</v>
      </c>
    </row>
    <row r="48" spans="1:3" x14ac:dyDescent="0.25">
      <c r="A48">
        <v>89</v>
      </c>
      <c r="B48" t="s">
        <v>7</v>
      </c>
      <c r="C48" t="s">
        <v>4</v>
      </c>
    </row>
    <row r="49" spans="1:3" x14ac:dyDescent="0.25">
      <c r="A49">
        <v>90</v>
      </c>
      <c r="B49" t="s">
        <v>7</v>
      </c>
      <c r="C49" t="s">
        <v>4</v>
      </c>
    </row>
    <row r="50" spans="1:3" x14ac:dyDescent="0.25">
      <c r="A50">
        <v>91</v>
      </c>
      <c r="B50" t="s">
        <v>7</v>
      </c>
      <c r="C50" t="s">
        <v>4</v>
      </c>
    </row>
    <row r="51" spans="1:3" x14ac:dyDescent="0.25">
      <c r="A51">
        <v>92</v>
      </c>
      <c r="B51" t="s">
        <v>7</v>
      </c>
      <c r="C51" t="s">
        <v>4</v>
      </c>
    </row>
    <row r="52" spans="1:3" x14ac:dyDescent="0.25">
      <c r="A52">
        <v>94</v>
      </c>
      <c r="B52" t="s">
        <v>7</v>
      </c>
      <c r="C52" t="s">
        <v>4</v>
      </c>
    </row>
    <row r="53" spans="1:3" x14ac:dyDescent="0.25">
      <c r="A53">
        <v>95</v>
      </c>
      <c r="B53" t="s">
        <v>7</v>
      </c>
      <c r="C53" t="s">
        <v>4</v>
      </c>
    </row>
    <row r="54" spans="1:3" x14ac:dyDescent="0.25">
      <c r="A54">
        <v>100</v>
      </c>
      <c r="B54" t="s">
        <v>7</v>
      </c>
      <c r="C54" t="s">
        <v>4</v>
      </c>
    </row>
    <row r="55" spans="1:3" x14ac:dyDescent="0.25">
      <c r="A55">
        <v>103</v>
      </c>
      <c r="B55" t="s">
        <v>7</v>
      </c>
      <c r="C55" t="s">
        <v>4</v>
      </c>
    </row>
    <row r="56" spans="1:3" x14ac:dyDescent="0.25">
      <c r="A56">
        <v>104</v>
      </c>
      <c r="B56" t="s">
        <v>7</v>
      </c>
      <c r="C56" t="s">
        <v>4</v>
      </c>
    </row>
    <row r="57" spans="1:3" x14ac:dyDescent="0.25">
      <c r="A57">
        <v>107</v>
      </c>
      <c r="B57" t="s">
        <v>7</v>
      </c>
      <c r="C57" t="s">
        <v>4</v>
      </c>
    </row>
    <row r="58" spans="1:3" x14ac:dyDescent="0.25">
      <c r="A58">
        <v>110</v>
      </c>
      <c r="B58" t="s">
        <v>7</v>
      </c>
      <c r="C58" t="s">
        <v>4</v>
      </c>
    </row>
    <row r="59" spans="1:3" x14ac:dyDescent="0.25">
      <c r="A59">
        <v>111</v>
      </c>
      <c r="B59" t="s">
        <v>7</v>
      </c>
      <c r="C59" t="s">
        <v>4</v>
      </c>
    </row>
    <row r="60" spans="1:3" x14ac:dyDescent="0.25">
      <c r="A60">
        <v>112</v>
      </c>
      <c r="B60" t="s">
        <v>7</v>
      </c>
      <c r="C60" t="s">
        <v>4</v>
      </c>
    </row>
    <row r="61" spans="1:3" x14ac:dyDescent="0.25">
      <c r="A61">
        <v>114</v>
      </c>
      <c r="B61" t="s">
        <v>7</v>
      </c>
      <c r="C61" t="s">
        <v>4</v>
      </c>
    </row>
    <row r="62" spans="1:3" x14ac:dyDescent="0.25">
      <c r="A62">
        <v>116</v>
      </c>
      <c r="B62" t="s">
        <v>7</v>
      </c>
      <c r="C62" t="s">
        <v>4</v>
      </c>
    </row>
    <row r="63" spans="1:3" x14ac:dyDescent="0.25">
      <c r="A63">
        <v>117</v>
      </c>
      <c r="B63" t="s">
        <v>7</v>
      </c>
      <c r="C63" t="s">
        <v>4</v>
      </c>
    </row>
    <row r="64" spans="1:3" x14ac:dyDescent="0.25">
      <c r="A64">
        <v>118</v>
      </c>
      <c r="B64" t="s">
        <v>7</v>
      </c>
      <c r="C64" t="s">
        <v>4</v>
      </c>
    </row>
    <row r="65" spans="1:3" x14ac:dyDescent="0.25">
      <c r="A65">
        <v>120</v>
      </c>
      <c r="B65" t="s">
        <v>7</v>
      </c>
      <c r="C65" t="s">
        <v>4</v>
      </c>
    </row>
    <row r="66" spans="1:3" x14ac:dyDescent="0.25">
      <c r="A66">
        <v>124</v>
      </c>
      <c r="B66" t="s">
        <v>7</v>
      </c>
      <c r="C66" t="s">
        <v>4</v>
      </c>
    </row>
    <row r="67" spans="1:3" x14ac:dyDescent="0.25">
      <c r="A67">
        <v>125</v>
      </c>
      <c r="B67" t="s">
        <v>7</v>
      </c>
      <c r="C67" t="s">
        <v>4</v>
      </c>
    </row>
    <row r="68" spans="1:3" x14ac:dyDescent="0.25">
      <c r="A68">
        <v>126</v>
      </c>
      <c r="B68" t="s">
        <v>7</v>
      </c>
      <c r="C68" t="s">
        <v>4</v>
      </c>
    </row>
    <row r="69" spans="1:3" x14ac:dyDescent="0.25">
      <c r="A69">
        <v>128</v>
      </c>
      <c r="B69" t="s">
        <v>7</v>
      </c>
      <c r="C69" t="s">
        <v>4</v>
      </c>
    </row>
    <row r="70" spans="1:3" x14ac:dyDescent="0.25">
      <c r="A70">
        <v>129</v>
      </c>
      <c r="B70" t="s">
        <v>6</v>
      </c>
      <c r="C70" t="s">
        <v>4</v>
      </c>
    </row>
    <row r="71" spans="1:3" x14ac:dyDescent="0.25">
      <c r="A71">
        <v>130</v>
      </c>
      <c r="B71" t="s">
        <v>6</v>
      </c>
      <c r="C71" t="s">
        <v>4</v>
      </c>
    </row>
    <row r="72" spans="1:3" x14ac:dyDescent="0.25">
      <c r="A72">
        <v>131</v>
      </c>
      <c r="B72" t="s">
        <v>6</v>
      </c>
      <c r="C72" t="s">
        <v>4</v>
      </c>
    </row>
    <row r="73" spans="1:3" x14ac:dyDescent="0.25">
      <c r="A73">
        <v>132</v>
      </c>
      <c r="B73" t="s">
        <v>6</v>
      </c>
      <c r="C73" t="s">
        <v>4</v>
      </c>
    </row>
    <row r="74" spans="1:3" x14ac:dyDescent="0.25">
      <c r="A74">
        <v>133</v>
      </c>
      <c r="B74" t="s">
        <v>6</v>
      </c>
      <c r="C74" t="s">
        <v>4</v>
      </c>
    </row>
    <row r="75" spans="1:3" x14ac:dyDescent="0.25">
      <c r="A75">
        <v>134</v>
      </c>
      <c r="B75" t="s">
        <v>6</v>
      </c>
      <c r="C75" t="s">
        <v>4</v>
      </c>
    </row>
    <row r="76" spans="1:3" x14ac:dyDescent="0.25">
      <c r="A76">
        <v>135</v>
      </c>
      <c r="B76" t="s">
        <v>3</v>
      </c>
      <c r="C76" t="s">
        <v>4</v>
      </c>
    </row>
    <row r="77" spans="1:3" x14ac:dyDescent="0.25">
      <c r="A77">
        <v>136</v>
      </c>
      <c r="B77" t="s">
        <v>3</v>
      </c>
      <c r="C77" t="s">
        <v>4</v>
      </c>
    </row>
    <row r="78" spans="1:3" x14ac:dyDescent="0.25">
      <c r="A78">
        <v>137</v>
      </c>
      <c r="B78" t="s">
        <v>3</v>
      </c>
      <c r="C78" t="s">
        <v>4</v>
      </c>
    </row>
    <row r="79" spans="1:3" x14ac:dyDescent="0.25">
      <c r="A79">
        <v>138</v>
      </c>
      <c r="B79" t="s">
        <v>6</v>
      </c>
      <c r="C79" t="s">
        <v>4</v>
      </c>
    </row>
    <row r="80" spans="1:3" x14ac:dyDescent="0.25">
      <c r="A80">
        <v>139</v>
      </c>
      <c r="B80" t="s">
        <v>6</v>
      </c>
      <c r="C80" t="s">
        <v>4</v>
      </c>
    </row>
    <row r="81" spans="1:3" x14ac:dyDescent="0.25">
      <c r="A81">
        <v>140</v>
      </c>
      <c r="B81" t="s">
        <v>56</v>
      </c>
      <c r="C81" t="s">
        <v>4</v>
      </c>
    </row>
    <row r="82" spans="1:3" x14ac:dyDescent="0.25">
      <c r="A82">
        <v>141</v>
      </c>
      <c r="B82" t="s">
        <v>56</v>
      </c>
      <c r="C82" t="s">
        <v>4</v>
      </c>
    </row>
    <row r="83" spans="1:3" x14ac:dyDescent="0.25">
      <c r="A83">
        <v>143</v>
      </c>
      <c r="B83" t="s">
        <v>3</v>
      </c>
      <c r="C83" t="s">
        <v>4</v>
      </c>
    </row>
    <row r="84" spans="1:3" x14ac:dyDescent="0.25">
      <c r="A84">
        <v>144</v>
      </c>
      <c r="B84" t="s">
        <v>3</v>
      </c>
      <c r="C84" t="s">
        <v>4</v>
      </c>
    </row>
    <row r="85" spans="1:3" x14ac:dyDescent="0.25">
      <c r="A85">
        <v>146</v>
      </c>
      <c r="B85" t="s">
        <v>56</v>
      </c>
      <c r="C85" t="s">
        <v>4</v>
      </c>
    </row>
    <row r="86" spans="1:3" x14ac:dyDescent="0.25">
      <c r="A86">
        <v>147</v>
      </c>
      <c r="B86" t="s">
        <v>56</v>
      </c>
      <c r="C86" t="s">
        <v>4</v>
      </c>
    </row>
    <row r="87" spans="1:3" x14ac:dyDescent="0.25">
      <c r="A87">
        <v>148</v>
      </c>
      <c r="B87" t="s">
        <v>56</v>
      </c>
      <c r="C87" t="s">
        <v>4</v>
      </c>
    </row>
    <row r="88" spans="1:3" x14ac:dyDescent="0.25">
      <c r="A88">
        <v>149</v>
      </c>
      <c r="B88" t="s">
        <v>56</v>
      </c>
      <c r="C88" t="s">
        <v>4</v>
      </c>
    </row>
    <row r="89" spans="1:3" x14ac:dyDescent="0.25">
      <c r="A89">
        <v>150</v>
      </c>
      <c r="B89" t="s">
        <v>56</v>
      </c>
      <c r="C89" t="s">
        <v>4</v>
      </c>
    </row>
    <row r="90" spans="1:3" x14ac:dyDescent="0.25">
      <c r="A90">
        <v>151</v>
      </c>
      <c r="B90" t="s">
        <v>3</v>
      </c>
      <c r="C90" t="s">
        <v>4</v>
      </c>
    </row>
    <row r="91" spans="1:3" x14ac:dyDescent="0.25">
      <c r="A91">
        <v>152</v>
      </c>
      <c r="B91" t="s">
        <v>6</v>
      </c>
      <c r="C91" t="s">
        <v>4</v>
      </c>
    </row>
    <row r="92" spans="1:3" x14ac:dyDescent="0.25">
      <c r="A92">
        <v>153</v>
      </c>
      <c r="B92" t="s">
        <v>6</v>
      </c>
      <c r="C92" t="s">
        <v>4</v>
      </c>
    </row>
    <row r="93" spans="1:3" x14ac:dyDescent="0.25">
      <c r="A93">
        <v>154</v>
      </c>
      <c r="B93" t="s">
        <v>56</v>
      </c>
      <c r="C93" t="s">
        <v>4</v>
      </c>
    </row>
    <row r="94" spans="1:3" x14ac:dyDescent="0.25">
      <c r="A94">
        <v>155</v>
      </c>
      <c r="B94" t="s">
        <v>56</v>
      </c>
      <c r="C94" t="s">
        <v>4</v>
      </c>
    </row>
    <row r="95" spans="1:3" x14ac:dyDescent="0.25">
      <c r="A95">
        <v>156</v>
      </c>
      <c r="B95" t="s">
        <v>56</v>
      </c>
      <c r="C95" t="s">
        <v>4</v>
      </c>
    </row>
    <row r="96" spans="1:3" x14ac:dyDescent="0.25">
      <c r="A96">
        <v>158</v>
      </c>
      <c r="B96" t="s">
        <v>3</v>
      </c>
      <c r="C96" t="s">
        <v>4</v>
      </c>
    </row>
    <row r="97" spans="1:3" x14ac:dyDescent="0.25">
      <c r="A97">
        <v>162</v>
      </c>
      <c r="B97" t="s">
        <v>3</v>
      </c>
      <c r="C97" t="s">
        <v>4</v>
      </c>
    </row>
    <row r="98" spans="1:3" x14ac:dyDescent="0.25">
      <c r="A98">
        <v>164</v>
      </c>
      <c r="B98" t="s">
        <v>3</v>
      </c>
      <c r="C98" t="s">
        <v>4</v>
      </c>
    </row>
    <row r="99" spans="1:3" x14ac:dyDescent="0.25">
      <c r="A99">
        <v>168</v>
      </c>
      <c r="B99" t="s">
        <v>3</v>
      </c>
      <c r="C99" t="s">
        <v>4</v>
      </c>
    </row>
    <row r="100" spans="1:3" x14ac:dyDescent="0.25">
      <c r="A100">
        <v>169</v>
      </c>
      <c r="B100" t="s">
        <v>6</v>
      </c>
      <c r="C100" t="s">
        <v>4</v>
      </c>
    </row>
    <row r="101" spans="1:3" x14ac:dyDescent="0.25">
      <c r="A101">
        <v>170</v>
      </c>
      <c r="B101" t="s">
        <v>6</v>
      </c>
      <c r="C101" t="s">
        <v>4</v>
      </c>
    </row>
    <row r="102" spans="1:3" x14ac:dyDescent="0.25">
      <c r="A102">
        <v>171</v>
      </c>
      <c r="B102" t="s">
        <v>6</v>
      </c>
      <c r="C102" t="s">
        <v>4</v>
      </c>
    </row>
    <row r="103" spans="1:3" x14ac:dyDescent="0.25">
      <c r="A103">
        <v>172</v>
      </c>
      <c r="B103" t="s">
        <v>3</v>
      </c>
      <c r="C103" t="s">
        <v>4</v>
      </c>
    </row>
    <row r="104" spans="1:3" x14ac:dyDescent="0.25">
      <c r="A104">
        <v>173</v>
      </c>
      <c r="B104" t="s">
        <v>3</v>
      </c>
      <c r="C104" t="s">
        <v>4</v>
      </c>
    </row>
    <row r="105" spans="1:3" x14ac:dyDescent="0.25">
      <c r="A105">
        <v>180</v>
      </c>
      <c r="B105" t="s">
        <v>57</v>
      </c>
      <c r="C105" t="s">
        <v>4</v>
      </c>
    </row>
    <row r="106" spans="1:3" x14ac:dyDescent="0.25">
      <c r="A106">
        <v>185</v>
      </c>
      <c r="B106" t="s">
        <v>6</v>
      </c>
      <c r="C106" t="s">
        <v>4</v>
      </c>
    </row>
    <row r="107" spans="1:3" x14ac:dyDescent="0.25">
      <c r="A107">
        <v>186</v>
      </c>
      <c r="B107" t="s">
        <v>6</v>
      </c>
      <c r="C107" t="s">
        <v>4</v>
      </c>
    </row>
    <row r="108" spans="1:3" x14ac:dyDescent="0.25">
      <c r="A108">
        <v>189</v>
      </c>
      <c r="B108" t="s">
        <v>57</v>
      </c>
      <c r="C108" t="s">
        <v>4</v>
      </c>
    </row>
    <row r="109" spans="1:3" x14ac:dyDescent="0.25">
      <c r="A109">
        <v>193</v>
      </c>
      <c r="B109" t="s">
        <v>6</v>
      </c>
      <c r="C109" t="s">
        <v>4</v>
      </c>
    </row>
    <row r="110" spans="1:3" x14ac:dyDescent="0.25">
      <c r="A110">
        <v>194</v>
      </c>
      <c r="B110" t="s">
        <v>57</v>
      </c>
      <c r="C110" t="s">
        <v>4</v>
      </c>
    </row>
    <row r="111" spans="1:3" x14ac:dyDescent="0.25">
      <c r="A111">
        <v>196</v>
      </c>
      <c r="B111" t="s">
        <v>57</v>
      </c>
      <c r="C111" t="s">
        <v>4</v>
      </c>
    </row>
    <row r="112" spans="1:3" x14ac:dyDescent="0.25">
      <c r="A112">
        <v>200</v>
      </c>
      <c r="B112" t="s">
        <v>5</v>
      </c>
      <c r="C112" t="s">
        <v>4</v>
      </c>
    </row>
    <row r="113" spans="1:3" x14ac:dyDescent="0.25">
      <c r="A113">
        <v>204</v>
      </c>
      <c r="B113" t="s">
        <v>6</v>
      </c>
      <c r="C113" t="s">
        <v>4</v>
      </c>
    </row>
    <row r="114" spans="1:3" x14ac:dyDescent="0.25">
      <c r="A114">
        <v>205</v>
      </c>
      <c r="B114" t="s">
        <v>6</v>
      </c>
      <c r="C114" t="s">
        <v>4</v>
      </c>
    </row>
    <row r="115" spans="1:3" x14ac:dyDescent="0.25">
      <c r="A115">
        <v>206</v>
      </c>
      <c r="B115" t="s">
        <v>6</v>
      </c>
      <c r="C115" t="s">
        <v>4</v>
      </c>
    </row>
    <row r="116" spans="1:3" x14ac:dyDescent="0.25">
      <c r="A116">
        <v>207</v>
      </c>
      <c r="B116" t="s">
        <v>6</v>
      </c>
      <c r="C116" t="s">
        <v>4</v>
      </c>
    </row>
    <row r="117" spans="1:3" x14ac:dyDescent="0.25">
      <c r="A117">
        <v>211</v>
      </c>
      <c r="B117" t="s">
        <v>3</v>
      </c>
      <c r="C117" t="s">
        <v>4</v>
      </c>
    </row>
    <row r="118" spans="1:3" x14ac:dyDescent="0.25">
      <c r="A118">
        <v>212</v>
      </c>
      <c r="B118" t="s">
        <v>3</v>
      </c>
      <c r="C118" t="s">
        <v>4</v>
      </c>
    </row>
    <row r="119" spans="1:3" x14ac:dyDescent="0.25">
      <c r="A119">
        <v>213</v>
      </c>
      <c r="B119" t="s">
        <v>3</v>
      </c>
      <c r="C119" t="s">
        <v>4</v>
      </c>
    </row>
    <row r="120" spans="1:3" x14ac:dyDescent="0.25">
      <c r="A120">
        <v>214</v>
      </c>
      <c r="B120" t="s">
        <v>3</v>
      </c>
      <c r="C120" t="s">
        <v>4</v>
      </c>
    </row>
    <row r="121" spans="1:3" x14ac:dyDescent="0.25">
      <c r="A121">
        <v>220</v>
      </c>
      <c r="B121" t="s">
        <v>3</v>
      </c>
      <c r="C121" t="s">
        <v>4</v>
      </c>
    </row>
    <row r="122" spans="1:3" x14ac:dyDescent="0.25">
      <c r="A122">
        <v>221</v>
      </c>
      <c r="B122" t="s">
        <v>3</v>
      </c>
      <c r="C122" t="s">
        <v>4</v>
      </c>
    </row>
    <row r="123" spans="1:3" x14ac:dyDescent="0.25">
      <c r="A123">
        <v>222</v>
      </c>
      <c r="B123" t="s">
        <v>3</v>
      </c>
      <c r="C123" t="s">
        <v>4</v>
      </c>
    </row>
    <row r="124" spans="1:3" x14ac:dyDescent="0.25">
      <c r="A124">
        <v>223</v>
      </c>
      <c r="B124" t="s">
        <v>3</v>
      </c>
      <c r="C124" t="s">
        <v>4</v>
      </c>
    </row>
    <row r="125" spans="1:3" x14ac:dyDescent="0.25">
      <c r="A125">
        <v>224</v>
      </c>
      <c r="B125" t="s">
        <v>3</v>
      </c>
      <c r="C125" t="s">
        <v>4</v>
      </c>
    </row>
    <row r="126" spans="1:3" x14ac:dyDescent="0.25">
      <c r="A126">
        <v>225</v>
      </c>
      <c r="B126" t="s">
        <v>3</v>
      </c>
      <c r="C126" t="s">
        <v>4</v>
      </c>
    </row>
    <row r="127" spans="1:3" x14ac:dyDescent="0.25">
      <c r="A127">
        <v>226</v>
      </c>
      <c r="B127" t="s">
        <v>3</v>
      </c>
      <c r="C127" t="s">
        <v>4</v>
      </c>
    </row>
    <row r="128" spans="1:3" x14ac:dyDescent="0.25">
      <c r="A128">
        <v>227</v>
      </c>
      <c r="B128" t="s">
        <v>28</v>
      </c>
      <c r="C128" t="s">
        <v>4</v>
      </c>
    </row>
    <row r="129" spans="1:3" x14ac:dyDescent="0.25">
      <c r="A129">
        <v>229</v>
      </c>
      <c r="B129" t="s">
        <v>3</v>
      </c>
      <c r="C129" t="s">
        <v>4</v>
      </c>
    </row>
    <row r="130" spans="1:3" x14ac:dyDescent="0.25">
      <c r="A130">
        <v>230</v>
      </c>
      <c r="B130" t="s">
        <v>3</v>
      </c>
      <c r="C130" t="s">
        <v>4</v>
      </c>
    </row>
    <row r="131" spans="1:3" x14ac:dyDescent="0.25">
      <c r="A131">
        <v>231</v>
      </c>
      <c r="B131" t="s">
        <v>3</v>
      </c>
      <c r="C131" t="s">
        <v>4</v>
      </c>
    </row>
    <row r="132" spans="1:3" x14ac:dyDescent="0.25">
      <c r="A132">
        <v>232</v>
      </c>
      <c r="B132" t="s">
        <v>28</v>
      </c>
      <c r="C132" t="s">
        <v>4</v>
      </c>
    </row>
    <row r="133" spans="1:3" x14ac:dyDescent="0.25">
      <c r="A133">
        <v>233</v>
      </c>
      <c r="B133" t="s">
        <v>3</v>
      </c>
      <c r="C133" t="s">
        <v>4</v>
      </c>
    </row>
    <row r="134" spans="1:3" x14ac:dyDescent="0.25">
      <c r="A134">
        <v>234</v>
      </c>
      <c r="B134" t="s">
        <v>3</v>
      </c>
      <c r="C134" t="s">
        <v>4</v>
      </c>
    </row>
    <row r="135" spans="1:3" x14ac:dyDescent="0.25">
      <c r="A135">
        <v>235</v>
      </c>
      <c r="B135" t="s">
        <v>3</v>
      </c>
      <c r="C135" t="s">
        <v>4</v>
      </c>
    </row>
    <row r="136" spans="1:3" x14ac:dyDescent="0.25">
      <c r="A136">
        <v>236</v>
      </c>
      <c r="B136" t="s">
        <v>3</v>
      </c>
      <c r="C136" t="s">
        <v>4</v>
      </c>
    </row>
    <row r="137" spans="1:3" x14ac:dyDescent="0.25">
      <c r="A137">
        <v>237</v>
      </c>
      <c r="B137" t="s">
        <v>3</v>
      </c>
      <c r="C137" t="s">
        <v>4</v>
      </c>
    </row>
    <row r="138" spans="1:3" x14ac:dyDescent="0.25">
      <c r="A138">
        <v>238</v>
      </c>
      <c r="B138" t="s">
        <v>28</v>
      </c>
      <c r="C138" t="s">
        <v>4</v>
      </c>
    </row>
    <row r="139" spans="1:3" x14ac:dyDescent="0.25">
      <c r="A139">
        <v>242</v>
      </c>
      <c r="B139" t="s">
        <v>3</v>
      </c>
      <c r="C139" t="s">
        <v>4</v>
      </c>
    </row>
    <row r="140" spans="1:3" x14ac:dyDescent="0.25">
      <c r="A140">
        <v>243</v>
      </c>
      <c r="B140" t="s">
        <v>3</v>
      </c>
      <c r="C140" t="s">
        <v>4</v>
      </c>
    </row>
    <row r="141" spans="1:3" x14ac:dyDescent="0.25">
      <c r="A141">
        <v>244</v>
      </c>
      <c r="B141" t="s">
        <v>3</v>
      </c>
      <c r="C141" t="s">
        <v>4</v>
      </c>
    </row>
    <row r="142" spans="1:3" x14ac:dyDescent="0.25">
      <c r="A142">
        <v>245</v>
      </c>
      <c r="B142" t="s">
        <v>3</v>
      </c>
      <c r="C142" t="s">
        <v>4</v>
      </c>
    </row>
    <row r="143" spans="1:3" x14ac:dyDescent="0.25">
      <c r="A143">
        <v>246</v>
      </c>
      <c r="B143" t="s">
        <v>3</v>
      </c>
      <c r="C143" t="s">
        <v>4</v>
      </c>
    </row>
    <row r="144" spans="1:3" x14ac:dyDescent="0.25">
      <c r="A144">
        <v>249</v>
      </c>
      <c r="B144" t="s">
        <v>28</v>
      </c>
      <c r="C144" t="s">
        <v>4</v>
      </c>
    </row>
    <row r="145" spans="1:3" x14ac:dyDescent="0.25">
      <c r="A145">
        <v>254</v>
      </c>
      <c r="B145" t="s">
        <v>3</v>
      </c>
      <c r="C145" t="s">
        <v>4</v>
      </c>
    </row>
    <row r="146" spans="1:3" x14ac:dyDescent="0.25">
      <c r="A146">
        <v>256</v>
      </c>
      <c r="B146" t="s">
        <v>3</v>
      </c>
      <c r="C146" t="s">
        <v>4</v>
      </c>
    </row>
    <row r="147" spans="1:3" x14ac:dyDescent="0.25">
      <c r="A147">
        <v>257</v>
      </c>
      <c r="B147" t="s">
        <v>3</v>
      </c>
      <c r="C147" t="s">
        <v>4</v>
      </c>
    </row>
    <row r="148" spans="1:3" x14ac:dyDescent="0.25">
      <c r="A148">
        <v>258</v>
      </c>
      <c r="B148" t="s">
        <v>3</v>
      </c>
      <c r="C148" t="s">
        <v>4</v>
      </c>
    </row>
    <row r="149" spans="1:3" x14ac:dyDescent="0.25">
      <c r="A149">
        <v>259</v>
      </c>
      <c r="B149" t="s">
        <v>3</v>
      </c>
      <c r="C149" t="s">
        <v>4</v>
      </c>
    </row>
    <row r="150" spans="1:3" x14ac:dyDescent="0.25">
      <c r="A150">
        <v>260</v>
      </c>
      <c r="B150" t="s">
        <v>3</v>
      </c>
      <c r="C150" t="s">
        <v>4</v>
      </c>
    </row>
    <row r="151" spans="1:3" x14ac:dyDescent="0.25">
      <c r="A151">
        <v>261</v>
      </c>
      <c r="B151" t="s">
        <v>28</v>
      </c>
      <c r="C151" t="s">
        <v>4</v>
      </c>
    </row>
    <row r="152" spans="1:3" x14ac:dyDescent="0.25">
      <c r="A152">
        <v>279</v>
      </c>
      <c r="B152" t="s">
        <v>5</v>
      </c>
      <c r="C152" t="s">
        <v>4</v>
      </c>
    </row>
    <row r="153" spans="1:3" x14ac:dyDescent="0.25">
      <c r="A153">
        <v>280</v>
      </c>
      <c r="B153" t="s">
        <v>5</v>
      </c>
      <c r="C153" t="s">
        <v>4</v>
      </c>
    </row>
    <row r="154" spans="1:3" x14ac:dyDescent="0.25">
      <c r="A154">
        <v>281</v>
      </c>
      <c r="B154" t="s">
        <v>5</v>
      </c>
      <c r="C154" t="s">
        <v>4</v>
      </c>
    </row>
    <row r="155" spans="1:3" x14ac:dyDescent="0.25">
      <c r="A155">
        <v>282</v>
      </c>
      <c r="B155" t="s">
        <v>3</v>
      </c>
      <c r="C155" t="s">
        <v>4</v>
      </c>
    </row>
    <row r="156" spans="1:3" x14ac:dyDescent="0.25">
      <c r="A156">
        <v>283</v>
      </c>
      <c r="B156" t="s">
        <v>3</v>
      </c>
      <c r="C156" t="s">
        <v>4</v>
      </c>
    </row>
    <row r="157" spans="1:3" x14ac:dyDescent="0.25">
      <c r="A157">
        <v>284</v>
      </c>
      <c r="B157" t="s">
        <v>3</v>
      </c>
      <c r="C157" t="s">
        <v>4</v>
      </c>
    </row>
    <row r="158" spans="1:3" x14ac:dyDescent="0.25">
      <c r="A158">
        <v>285</v>
      </c>
      <c r="B158" t="s">
        <v>3</v>
      </c>
      <c r="C158" t="s">
        <v>4</v>
      </c>
    </row>
    <row r="159" spans="1:3" x14ac:dyDescent="0.25">
      <c r="A159">
        <v>286</v>
      </c>
      <c r="B159" t="s">
        <v>3</v>
      </c>
      <c r="C159" t="s">
        <v>4</v>
      </c>
    </row>
    <row r="160" spans="1:3" x14ac:dyDescent="0.25">
      <c r="A160">
        <v>289</v>
      </c>
      <c r="B160" t="s">
        <v>3</v>
      </c>
      <c r="C160" t="s">
        <v>4</v>
      </c>
    </row>
    <row r="161" spans="1:3" x14ac:dyDescent="0.25">
      <c r="A161">
        <v>290</v>
      </c>
      <c r="B161" t="s">
        <v>3</v>
      </c>
      <c r="C161" t="s">
        <v>4</v>
      </c>
    </row>
    <row r="162" spans="1:3" x14ac:dyDescent="0.25">
      <c r="A162">
        <v>294</v>
      </c>
      <c r="B162" t="s">
        <v>3</v>
      </c>
      <c r="C162" t="s">
        <v>4</v>
      </c>
    </row>
    <row r="163" spans="1:3" x14ac:dyDescent="0.25">
      <c r="A163">
        <v>295</v>
      </c>
      <c r="B163" t="s">
        <v>3</v>
      </c>
      <c r="C163" t="s">
        <v>4</v>
      </c>
    </row>
    <row r="164" spans="1:3" x14ac:dyDescent="0.25">
      <c r="A164">
        <v>296</v>
      </c>
      <c r="B164" t="s">
        <v>3</v>
      </c>
      <c r="C164" t="s">
        <v>4</v>
      </c>
    </row>
    <row r="165" spans="1:3" x14ac:dyDescent="0.25">
      <c r="A165">
        <v>298</v>
      </c>
      <c r="B165" t="s">
        <v>3</v>
      </c>
      <c r="C165" t="s">
        <v>4</v>
      </c>
    </row>
    <row r="166" spans="1:3" x14ac:dyDescent="0.25">
      <c r="A166">
        <v>299</v>
      </c>
      <c r="B166" t="s">
        <v>3</v>
      </c>
      <c r="C166" t="s">
        <v>4</v>
      </c>
    </row>
    <row r="167" spans="1:3" x14ac:dyDescent="0.25">
      <c r="A167">
        <v>300</v>
      </c>
      <c r="B167" t="s">
        <v>3</v>
      </c>
      <c r="C167" t="s">
        <v>4</v>
      </c>
    </row>
    <row r="168" spans="1:3" x14ac:dyDescent="0.25">
      <c r="A168">
        <v>301</v>
      </c>
      <c r="B168" t="s">
        <v>3</v>
      </c>
      <c r="C168" t="s">
        <v>4</v>
      </c>
    </row>
    <row r="169" spans="1:3" x14ac:dyDescent="0.25">
      <c r="A169">
        <v>302</v>
      </c>
      <c r="B169" t="s">
        <v>3</v>
      </c>
      <c r="C169" t="s">
        <v>4</v>
      </c>
    </row>
    <row r="170" spans="1:3" x14ac:dyDescent="0.25">
      <c r="A170">
        <v>303</v>
      </c>
      <c r="B170" t="s">
        <v>3</v>
      </c>
      <c r="C170" t="s">
        <v>4</v>
      </c>
    </row>
    <row r="171" spans="1:3" x14ac:dyDescent="0.25">
      <c r="A171">
        <v>304</v>
      </c>
      <c r="B171" t="s">
        <v>3</v>
      </c>
      <c r="C171" t="s">
        <v>4</v>
      </c>
    </row>
    <row r="172" spans="1:3" x14ac:dyDescent="0.25">
      <c r="A172">
        <v>309</v>
      </c>
      <c r="B172" t="s">
        <v>5</v>
      </c>
      <c r="C172" t="s">
        <v>4</v>
      </c>
    </row>
    <row r="173" spans="1:3" x14ac:dyDescent="0.25">
      <c r="A173">
        <v>310</v>
      </c>
      <c r="B173" t="s">
        <v>5</v>
      </c>
      <c r="C173" t="s">
        <v>4</v>
      </c>
    </row>
    <row r="174" spans="1:3" x14ac:dyDescent="0.25">
      <c r="A174">
        <v>312</v>
      </c>
      <c r="B174" t="s">
        <v>5</v>
      </c>
      <c r="C174" t="s">
        <v>4</v>
      </c>
    </row>
    <row r="175" spans="1:3" x14ac:dyDescent="0.25">
      <c r="A175">
        <v>313</v>
      </c>
      <c r="B175" t="s">
        <v>5</v>
      </c>
      <c r="C175" t="s">
        <v>4</v>
      </c>
    </row>
    <row r="176" spans="1:3" x14ac:dyDescent="0.25">
      <c r="A176">
        <v>314</v>
      </c>
      <c r="B176" t="s">
        <v>5</v>
      </c>
      <c r="C176" t="s">
        <v>4</v>
      </c>
    </row>
    <row r="177" spans="1:3" x14ac:dyDescent="0.25">
      <c r="A177">
        <v>322</v>
      </c>
      <c r="B177" t="s">
        <v>5</v>
      </c>
      <c r="C177" t="s">
        <v>4</v>
      </c>
    </row>
    <row r="178" spans="1:3" x14ac:dyDescent="0.25">
      <c r="A178">
        <v>323</v>
      </c>
      <c r="B178" t="s">
        <v>5</v>
      </c>
      <c r="C178" t="s">
        <v>4</v>
      </c>
    </row>
    <row r="179" spans="1:3" x14ac:dyDescent="0.25">
      <c r="A179">
        <v>324</v>
      </c>
      <c r="B179" t="s">
        <v>5</v>
      </c>
      <c r="C179" t="s">
        <v>4</v>
      </c>
    </row>
    <row r="180" spans="1:3" x14ac:dyDescent="0.25">
      <c r="A180">
        <v>330</v>
      </c>
      <c r="B180" t="s">
        <v>5</v>
      </c>
      <c r="C180" t="s">
        <v>4</v>
      </c>
    </row>
    <row r="181" spans="1:3" x14ac:dyDescent="0.25">
      <c r="A181">
        <v>332</v>
      </c>
      <c r="B181" t="s">
        <v>5</v>
      </c>
      <c r="C181" t="s">
        <v>4</v>
      </c>
    </row>
    <row r="182" spans="1:3" x14ac:dyDescent="0.25">
      <c r="A182">
        <v>333</v>
      </c>
      <c r="B182" t="s">
        <v>5</v>
      </c>
      <c r="C182" t="s">
        <v>4</v>
      </c>
    </row>
    <row r="183" spans="1:3" x14ac:dyDescent="0.25">
      <c r="A183">
        <v>334</v>
      </c>
      <c r="B183" t="s">
        <v>5</v>
      </c>
      <c r="C183" t="s">
        <v>4</v>
      </c>
    </row>
    <row r="184" spans="1:3" x14ac:dyDescent="0.25">
      <c r="A184">
        <v>335</v>
      </c>
      <c r="B184" t="s">
        <v>5</v>
      </c>
      <c r="C184" t="s">
        <v>4</v>
      </c>
    </row>
    <row r="185" spans="1:3" x14ac:dyDescent="0.25">
      <c r="A185">
        <v>336</v>
      </c>
      <c r="B185" t="s">
        <v>5</v>
      </c>
      <c r="C185" t="s">
        <v>4</v>
      </c>
    </row>
    <row r="186" spans="1:3" x14ac:dyDescent="0.25">
      <c r="A186">
        <v>338</v>
      </c>
      <c r="B186" t="s">
        <v>5</v>
      </c>
      <c r="C186" t="s">
        <v>4</v>
      </c>
    </row>
    <row r="187" spans="1:3" x14ac:dyDescent="0.25">
      <c r="A187">
        <v>345</v>
      </c>
      <c r="B187" t="s">
        <v>5</v>
      </c>
      <c r="C187" t="s">
        <v>4</v>
      </c>
    </row>
    <row r="188" spans="1:3" x14ac:dyDescent="0.25">
      <c r="A188">
        <v>346</v>
      </c>
      <c r="B188" t="s">
        <v>5</v>
      </c>
      <c r="C188" t="s">
        <v>4</v>
      </c>
    </row>
    <row r="189" spans="1:3" x14ac:dyDescent="0.25">
      <c r="A189">
        <v>347</v>
      </c>
      <c r="B189" t="s">
        <v>5</v>
      </c>
      <c r="C189" t="s">
        <v>4</v>
      </c>
    </row>
    <row r="190" spans="1:3" x14ac:dyDescent="0.25">
      <c r="A190">
        <v>350</v>
      </c>
      <c r="B190" t="s">
        <v>5</v>
      </c>
      <c r="C190" t="s">
        <v>4</v>
      </c>
    </row>
    <row r="191" spans="1:3" x14ac:dyDescent="0.25">
      <c r="A191">
        <v>354</v>
      </c>
      <c r="B191" t="s">
        <v>5</v>
      </c>
      <c r="C191" t="s">
        <v>4</v>
      </c>
    </row>
    <row r="192" spans="1:3" x14ac:dyDescent="0.25">
      <c r="A192">
        <v>357</v>
      </c>
      <c r="B192" t="s">
        <v>5</v>
      </c>
      <c r="C192" t="s">
        <v>4</v>
      </c>
    </row>
    <row r="193" spans="1:3" x14ac:dyDescent="0.25">
      <c r="A193">
        <v>358</v>
      </c>
      <c r="B193" t="s">
        <v>5</v>
      </c>
      <c r="C193" t="s">
        <v>4</v>
      </c>
    </row>
    <row r="194" spans="1:3" x14ac:dyDescent="0.25">
      <c r="A194">
        <v>359</v>
      </c>
      <c r="B194" t="s">
        <v>5</v>
      </c>
      <c r="C194" t="s">
        <v>4</v>
      </c>
    </row>
    <row r="195" spans="1:3" x14ac:dyDescent="0.25">
      <c r="A195">
        <v>360</v>
      </c>
      <c r="B195" t="s">
        <v>5</v>
      </c>
      <c r="C195" t="s">
        <v>4</v>
      </c>
    </row>
    <row r="196" spans="1:3" x14ac:dyDescent="0.25">
      <c r="A196">
        <v>361</v>
      </c>
      <c r="B196" t="s">
        <v>5</v>
      </c>
      <c r="C196" t="s">
        <v>4</v>
      </c>
    </row>
    <row r="197" spans="1:3" x14ac:dyDescent="0.25">
      <c r="A197">
        <v>362</v>
      </c>
      <c r="B197" t="s">
        <v>5</v>
      </c>
      <c r="C197" t="s">
        <v>4</v>
      </c>
    </row>
    <row r="198" spans="1:3" x14ac:dyDescent="0.25">
      <c r="A198">
        <v>363</v>
      </c>
      <c r="B198" t="s">
        <v>5</v>
      </c>
      <c r="C198" t="s">
        <v>4</v>
      </c>
    </row>
    <row r="199" spans="1:3" x14ac:dyDescent="0.25">
      <c r="A199">
        <v>365</v>
      </c>
      <c r="B199" t="s">
        <v>5</v>
      </c>
      <c r="C199" t="s">
        <v>4</v>
      </c>
    </row>
    <row r="200" spans="1:3" x14ac:dyDescent="0.25">
      <c r="A200">
        <v>366</v>
      </c>
      <c r="B200" t="s">
        <v>5</v>
      </c>
      <c r="C200" t="s">
        <v>4</v>
      </c>
    </row>
    <row r="201" spans="1:3" x14ac:dyDescent="0.25">
      <c r="A201">
        <v>368</v>
      </c>
      <c r="B201" t="s">
        <v>5</v>
      </c>
      <c r="C201" t="s">
        <v>4</v>
      </c>
    </row>
    <row r="202" spans="1:3" x14ac:dyDescent="0.25">
      <c r="A202">
        <v>373</v>
      </c>
      <c r="B202" t="s">
        <v>5</v>
      </c>
      <c r="C202" t="s">
        <v>4</v>
      </c>
    </row>
    <row r="203" spans="1:3" x14ac:dyDescent="0.25">
      <c r="A203">
        <v>374</v>
      </c>
      <c r="B203" t="s">
        <v>5</v>
      </c>
      <c r="C203" t="s">
        <v>4</v>
      </c>
    </row>
    <row r="204" spans="1:3" x14ac:dyDescent="0.25">
      <c r="A204">
        <v>376</v>
      </c>
      <c r="B204" t="s">
        <v>5</v>
      </c>
      <c r="C204" t="s">
        <v>4</v>
      </c>
    </row>
    <row r="205" spans="1:3" x14ac:dyDescent="0.25">
      <c r="A205">
        <v>378</v>
      </c>
      <c r="B205" t="s">
        <v>5</v>
      </c>
      <c r="C205" t="s">
        <v>4</v>
      </c>
    </row>
    <row r="206" spans="1:3" x14ac:dyDescent="0.25">
      <c r="A206">
        <v>379</v>
      </c>
      <c r="B206" t="s">
        <v>5</v>
      </c>
      <c r="C206" t="s">
        <v>4</v>
      </c>
    </row>
    <row r="207" spans="1:3" x14ac:dyDescent="0.25">
      <c r="A207">
        <v>380</v>
      </c>
      <c r="B207" t="s">
        <v>5</v>
      </c>
      <c r="C207" t="s">
        <v>4</v>
      </c>
    </row>
    <row r="208" spans="1:3" x14ac:dyDescent="0.25">
      <c r="A208">
        <v>381</v>
      </c>
      <c r="B208" t="s">
        <v>5</v>
      </c>
      <c r="C208" t="s">
        <v>4</v>
      </c>
    </row>
    <row r="209" spans="1:3" x14ac:dyDescent="0.25">
      <c r="A209">
        <v>382</v>
      </c>
      <c r="B209" t="s">
        <v>5</v>
      </c>
      <c r="C209" t="s">
        <v>4</v>
      </c>
    </row>
    <row r="210" spans="1:3" x14ac:dyDescent="0.25">
      <c r="A210">
        <v>383</v>
      </c>
      <c r="B210" t="s">
        <v>5</v>
      </c>
      <c r="C210" t="s">
        <v>4</v>
      </c>
    </row>
    <row r="211" spans="1:3" x14ac:dyDescent="0.25">
      <c r="A211">
        <v>384</v>
      </c>
      <c r="B211" t="s">
        <v>5</v>
      </c>
      <c r="C211" t="s">
        <v>4</v>
      </c>
    </row>
    <row r="212" spans="1:3" x14ac:dyDescent="0.25">
      <c r="A212">
        <v>388</v>
      </c>
      <c r="B212" t="s">
        <v>5</v>
      </c>
      <c r="C212" t="s">
        <v>4</v>
      </c>
    </row>
    <row r="213" spans="1:3" x14ac:dyDescent="0.25">
      <c r="A213">
        <v>389</v>
      </c>
      <c r="B213" t="s">
        <v>5</v>
      </c>
      <c r="C213" t="s">
        <v>4</v>
      </c>
    </row>
    <row r="214" spans="1:3" x14ac:dyDescent="0.25">
      <c r="A214">
        <v>390</v>
      </c>
      <c r="B214" t="s">
        <v>5</v>
      </c>
      <c r="C214" t="s">
        <v>4</v>
      </c>
    </row>
    <row r="215" spans="1:3" x14ac:dyDescent="0.25">
      <c r="A215">
        <v>395</v>
      </c>
      <c r="B215" t="s">
        <v>5</v>
      </c>
      <c r="C215" t="s">
        <v>4</v>
      </c>
    </row>
    <row r="216" spans="1:3" x14ac:dyDescent="0.25">
      <c r="A216">
        <v>396</v>
      </c>
      <c r="B216" t="s">
        <v>5</v>
      </c>
      <c r="C216" t="s">
        <v>4</v>
      </c>
    </row>
    <row r="217" spans="1:3" x14ac:dyDescent="0.25">
      <c r="A217">
        <v>411</v>
      </c>
      <c r="B217" t="s">
        <v>58</v>
      </c>
      <c r="C217" t="s">
        <v>4</v>
      </c>
    </row>
    <row r="218" spans="1:3" x14ac:dyDescent="0.25">
      <c r="A218">
        <v>414</v>
      </c>
      <c r="B218" t="s">
        <v>6</v>
      </c>
      <c r="C218" t="s">
        <v>4</v>
      </c>
    </row>
    <row r="219" spans="1:3" x14ac:dyDescent="0.25">
      <c r="A219">
        <v>415</v>
      </c>
      <c r="B219" t="s">
        <v>6</v>
      </c>
      <c r="C219" t="s">
        <v>4</v>
      </c>
    </row>
    <row r="220" spans="1:3" x14ac:dyDescent="0.25">
      <c r="A220">
        <v>416</v>
      </c>
      <c r="B220" t="s">
        <v>29</v>
      </c>
      <c r="C220" t="s">
        <v>4</v>
      </c>
    </row>
    <row r="221" spans="1:3" x14ac:dyDescent="0.25">
      <c r="A221">
        <v>417</v>
      </c>
      <c r="B221" t="s">
        <v>29</v>
      </c>
      <c r="C221" t="s">
        <v>4</v>
      </c>
    </row>
    <row r="222" spans="1:3" x14ac:dyDescent="0.25">
      <c r="A222">
        <v>418</v>
      </c>
      <c r="B222" t="s">
        <v>6</v>
      </c>
      <c r="C222" t="s">
        <v>4</v>
      </c>
    </row>
    <row r="223" spans="1:3" x14ac:dyDescent="0.25">
      <c r="A223">
        <v>419</v>
      </c>
      <c r="B223" t="s">
        <v>6</v>
      </c>
      <c r="C223" t="s">
        <v>4</v>
      </c>
    </row>
    <row r="224" spans="1:3" x14ac:dyDescent="0.25">
      <c r="A224">
        <v>420</v>
      </c>
      <c r="B224" t="s">
        <v>6</v>
      </c>
      <c r="C224" t="s">
        <v>4</v>
      </c>
    </row>
    <row r="225" spans="1:3" x14ac:dyDescent="0.25">
      <c r="A225">
        <v>421</v>
      </c>
      <c r="B225" t="s">
        <v>5</v>
      </c>
      <c r="C225" t="s">
        <v>4</v>
      </c>
    </row>
    <row r="226" spans="1:3" x14ac:dyDescent="0.25">
      <c r="A226">
        <v>422</v>
      </c>
      <c r="B226" t="s">
        <v>6</v>
      </c>
      <c r="C226" t="s">
        <v>4</v>
      </c>
    </row>
    <row r="227" spans="1:3" x14ac:dyDescent="0.25">
      <c r="A227">
        <v>423</v>
      </c>
      <c r="B227" t="s">
        <v>6</v>
      </c>
      <c r="C227" t="s">
        <v>4</v>
      </c>
    </row>
    <row r="228" spans="1:3" x14ac:dyDescent="0.25">
      <c r="A228">
        <v>424</v>
      </c>
      <c r="B228" t="s">
        <v>6</v>
      </c>
      <c r="C228" t="s">
        <v>4</v>
      </c>
    </row>
    <row r="229" spans="1:3" x14ac:dyDescent="0.25">
      <c r="A229">
        <v>426</v>
      </c>
      <c r="B229" t="s">
        <v>5</v>
      </c>
      <c r="C229" t="s">
        <v>4</v>
      </c>
    </row>
    <row r="230" spans="1:3" x14ac:dyDescent="0.25">
      <c r="A230">
        <v>427</v>
      </c>
      <c r="B230" t="s">
        <v>6</v>
      </c>
      <c r="C230" t="s">
        <v>4</v>
      </c>
    </row>
    <row r="231" spans="1:3" x14ac:dyDescent="0.25">
      <c r="A231">
        <v>428</v>
      </c>
      <c r="B231" t="s">
        <v>6</v>
      </c>
      <c r="C231" t="s">
        <v>4</v>
      </c>
    </row>
    <row r="232" spans="1:3" x14ac:dyDescent="0.25">
      <c r="A232">
        <v>429</v>
      </c>
      <c r="B232" t="s">
        <v>5</v>
      </c>
      <c r="C232" t="s">
        <v>4</v>
      </c>
    </row>
    <row r="233" spans="1:3" x14ac:dyDescent="0.25">
      <c r="A233">
        <v>430</v>
      </c>
      <c r="B233" t="s">
        <v>5</v>
      </c>
      <c r="C233" t="s">
        <v>4</v>
      </c>
    </row>
    <row r="234" spans="1:3" x14ac:dyDescent="0.25">
      <c r="A234">
        <v>431</v>
      </c>
      <c r="B234" t="s">
        <v>6</v>
      </c>
      <c r="C234" t="s">
        <v>4</v>
      </c>
    </row>
    <row r="235" spans="1:3" x14ac:dyDescent="0.25">
      <c r="A235">
        <v>432</v>
      </c>
      <c r="B235" t="s">
        <v>6</v>
      </c>
      <c r="C235" t="s">
        <v>4</v>
      </c>
    </row>
    <row r="236" spans="1:3" x14ac:dyDescent="0.25">
      <c r="A236">
        <v>433</v>
      </c>
      <c r="B236" t="s">
        <v>5</v>
      </c>
      <c r="C236" t="s">
        <v>4</v>
      </c>
    </row>
    <row r="237" spans="1:3" x14ac:dyDescent="0.25">
      <c r="A237">
        <v>434</v>
      </c>
      <c r="B237" t="s">
        <v>5</v>
      </c>
      <c r="C237" t="s">
        <v>4</v>
      </c>
    </row>
    <row r="238" spans="1:3" x14ac:dyDescent="0.25">
      <c r="A238">
        <v>435</v>
      </c>
      <c r="B238" t="s">
        <v>5</v>
      </c>
      <c r="C238" t="s">
        <v>4</v>
      </c>
    </row>
    <row r="239" spans="1:3" x14ac:dyDescent="0.25">
      <c r="A239">
        <v>436</v>
      </c>
      <c r="B239" t="s">
        <v>5</v>
      </c>
      <c r="C239" t="s">
        <v>4</v>
      </c>
    </row>
    <row r="240" spans="1:3" x14ac:dyDescent="0.25">
      <c r="A240">
        <v>437</v>
      </c>
      <c r="B240" t="s">
        <v>6</v>
      </c>
      <c r="C240" t="s">
        <v>4</v>
      </c>
    </row>
    <row r="241" spans="1:3" x14ac:dyDescent="0.25">
      <c r="A241">
        <v>439</v>
      </c>
      <c r="B241" t="s">
        <v>3</v>
      </c>
      <c r="C241" t="s">
        <v>4</v>
      </c>
    </row>
    <row r="242" spans="1:3" x14ac:dyDescent="0.25">
      <c r="A242">
        <v>442</v>
      </c>
      <c r="B242" t="s">
        <v>5</v>
      </c>
      <c r="C242" t="s">
        <v>4</v>
      </c>
    </row>
    <row r="243" spans="1:3" x14ac:dyDescent="0.25">
      <c r="A243">
        <v>443</v>
      </c>
      <c r="B243" t="s">
        <v>6</v>
      </c>
      <c r="C243" t="s">
        <v>4</v>
      </c>
    </row>
    <row r="244" spans="1:3" x14ac:dyDescent="0.25">
      <c r="A244">
        <v>444</v>
      </c>
      <c r="B244" t="s">
        <v>6</v>
      </c>
      <c r="C244" t="s">
        <v>4</v>
      </c>
    </row>
    <row r="245" spans="1:3" x14ac:dyDescent="0.25">
      <c r="A245">
        <v>447</v>
      </c>
      <c r="B245" t="s">
        <v>9</v>
      </c>
      <c r="C245" t="s">
        <v>4</v>
      </c>
    </row>
    <row r="246" spans="1:3" x14ac:dyDescent="0.25">
      <c r="A246">
        <v>450</v>
      </c>
      <c r="B246" t="s">
        <v>6</v>
      </c>
      <c r="C246" t="s">
        <v>4</v>
      </c>
    </row>
    <row r="247" spans="1:3" x14ac:dyDescent="0.25">
      <c r="A247">
        <v>451</v>
      </c>
      <c r="B247" t="s">
        <v>58</v>
      </c>
      <c r="C247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BA16-35C7-4278-AF23-373EB872DB64}">
  <dimension ref="A1:Y739"/>
  <sheetViews>
    <sheetView topLeftCell="L1" workbookViewId="0">
      <selection activeCell="S3" sqref="S3"/>
    </sheetView>
  </sheetViews>
  <sheetFormatPr defaultRowHeight="15" x14ac:dyDescent="0.25"/>
  <cols>
    <col min="7" max="7" width="11.5703125" bestFit="1" customWidth="1"/>
    <col min="8" max="8" width="28.85546875" customWidth="1"/>
    <col min="9" max="9" width="15.5703125" bestFit="1" customWidth="1"/>
    <col min="20" max="20" width="18.28515625" bestFit="1" customWidth="1"/>
    <col min="21" max="21" width="15.5703125" bestFit="1" customWidth="1"/>
    <col min="22" max="22" width="7.140625" bestFit="1" customWidth="1"/>
    <col min="23" max="23" width="5.85546875" bestFit="1" customWidth="1"/>
    <col min="24" max="24" width="9.5703125" customWidth="1"/>
    <col min="25" max="25" width="10.7109375" bestFit="1" customWidth="1"/>
  </cols>
  <sheetData>
    <row r="1" spans="1:21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47</v>
      </c>
      <c r="H1" t="s">
        <v>48</v>
      </c>
      <c r="I1" t="s">
        <v>49</v>
      </c>
      <c r="L1" t="s">
        <v>38</v>
      </c>
      <c r="M1" t="s">
        <v>39</v>
      </c>
      <c r="N1" t="s">
        <v>43</v>
      </c>
      <c r="O1" t="s">
        <v>44</v>
      </c>
    </row>
    <row r="2" spans="1:21" x14ac:dyDescent="0.25">
      <c r="A2">
        <v>31</v>
      </c>
      <c r="B2">
        <v>2005</v>
      </c>
      <c r="C2">
        <v>42</v>
      </c>
      <c r="D2">
        <v>5</v>
      </c>
      <c r="E2">
        <v>0</v>
      </c>
      <c r="F2" t="str" cm="1">
        <f t="array" ref="F2">_xlfn.XLOOKUP(A2&amp;B2,$L$2:$L$739&amp;$M$2:$M$739,$N$2:$N$739)</f>
        <v>Low</v>
      </c>
      <c r="G2">
        <f>IF(F2="High",SUM(C2:D2),0)</f>
        <v>0</v>
      </c>
      <c r="H2" t="str">
        <f>_xlfn.XLOOKUP(A2,VE!$A$2:$A$247,VE!$B$2:$B$247)</f>
        <v>Polk</v>
      </c>
      <c r="I2" t="str" cm="1">
        <f t="array" ref="I2">_xlfn.IFS(OR(H2=$S$2,H2=$S$13,H2=$S$5),"Other",OR(H2=$S$3,H2=$S$4,H2=$S$7,H2=$S$10,H2=$S$11),"Salem",OR(H2=$S$6),"Keizer",OR(H2=$S$8,H2=$S$9,H2=$S$12),"Marion")</f>
        <v>Other</v>
      </c>
      <c r="L2">
        <v>31</v>
      </c>
      <c r="M2">
        <v>2005</v>
      </c>
      <c r="N2" t="s">
        <v>45</v>
      </c>
      <c r="O2">
        <v>0</v>
      </c>
      <c r="S2" t="str" cm="1">
        <f t="array" ref="S2:S13">_xlfn.UNIQUE(H2:H739)</f>
        <v>Polk</v>
      </c>
    </row>
    <row r="3" spans="1:21" x14ac:dyDescent="0.25">
      <c r="A3">
        <v>31</v>
      </c>
      <c r="B3">
        <v>2021</v>
      </c>
      <c r="C3">
        <v>42</v>
      </c>
      <c r="D3">
        <v>5</v>
      </c>
      <c r="E3">
        <v>0</v>
      </c>
      <c r="F3" t="str" cm="1">
        <f t="array" ref="F3">_xlfn.XLOOKUP(A3&amp;B3,$L$2:$L$739&amp;$M$2:$M$739,$N$2:$N$739)</f>
        <v>Low</v>
      </c>
      <c r="G3">
        <f t="shared" ref="G3:G66" si="0">IF(F3="High",SUM(C3:D3),0)</f>
        <v>0</v>
      </c>
      <c r="H3" t="str">
        <f>_xlfn.XLOOKUP(A3,VE!$A$2:$A$247,VE!$B$2:$B$247)</f>
        <v>Polk</v>
      </c>
      <c r="I3" t="str" cm="1">
        <f t="array" ref="I3">_xlfn.IFS(OR(H3=$S$2,H3=$S$13,H3=$S$5),"Other",OR(H3=$S$3,H3=$S$4,H3=$S$7,H3=$S$10,H3=$S$11),"Salem",OR(H3=$S$6),"Keizer",OR(H3=$S$8,H3=$S$9,H3=$S$12),"Marion")</f>
        <v>Other</v>
      </c>
      <c r="L3">
        <v>31</v>
      </c>
      <c r="M3">
        <v>2021</v>
      </c>
      <c r="N3" t="s">
        <v>45</v>
      </c>
      <c r="O3">
        <v>0</v>
      </c>
      <c r="S3" t="str">
        <v>Salem_1</v>
      </c>
    </row>
    <row r="4" spans="1:21" x14ac:dyDescent="0.25">
      <c r="A4">
        <v>31</v>
      </c>
      <c r="B4">
        <v>2050</v>
      </c>
      <c r="C4">
        <v>40</v>
      </c>
      <c r="D4">
        <v>5</v>
      </c>
      <c r="E4">
        <v>0</v>
      </c>
      <c r="F4" t="str" cm="1">
        <f t="array" ref="F4">_xlfn.XLOOKUP(A4&amp;B4,$L$2:$L$739&amp;$M$2:$M$739,$N$2:$N$739)</f>
        <v>Low</v>
      </c>
      <c r="G4">
        <f t="shared" si="0"/>
        <v>0</v>
      </c>
      <c r="H4" t="str">
        <f>_xlfn.XLOOKUP(A4,VE!$A$2:$A$247,VE!$B$2:$B$247)</f>
        <v>Polk</v>
      </c>
      <c r="I4" t="str" cm="1">
        <f t="array" ref="I4">_xlfn.IFS(OR(H4=$S$2,H4=$S$13,H4=$S$5),"Other",OR(H4=$S$3,H4=$S$4,H4=$S$7,H4=$S$10,H4=$S$11),"Salem",OR(H4=$S$6),"Keizer",OR(H4=$S$8,H4=$S$9,H4=$S$12),"Marion")</f>
        <v>Other</v>
      </c>
      <c r="L4">
        <v>31</v>
      </c>
      <c r="M4">
        <v>2050</v>
      </c>
      <c r="N4" t="s">
        <v>45</v>
      </c>
      <c r="O4">
        <v>0</v>
      </c>
      <c r="S4" t="str">
        <v>Salem_2</v>
      </c>
    </row>
    <row r="5" spans="1:21" x14ac:dyDescent="0.25">
      <c r="A5">
        <v>32</v>
      </c>
      <c r="B5">
        <v>2005</v>
      </c>
      <c r="C5">
        <v>35</v>
      </c>
      <c r="D5">
        <v>0</v>
      </c>
      <c r="E5">
        <v>0</v>
      </c>
      <c r="F5" t="str" cm="1">
        <f t="array" ref="F5">_xlfn.XLOOKUP(A5&amp;B5,$L$2:$L$739&amp;$M$2:$M$739,$N$2:$N$739)</f>
        <v>Low</v>
      </c>
      <c r="G5">
        <f t="shared" si="0"/>
        <v>0</v>
      </c>
      <c r="H5" t="str">
        <f>_xlfn.XLOOKUP(A5,VE!$A$2:$A$247,VE!$B$2:$B$247)</f>
        <v>Polk</v>
      </c>
      <c r="I5" t="str" cm="1">
        <f t="array" ref="I5">_xlfn.IFS(OR(H5=$S$2,H5=$S$13,H5=$S$5),"Other",OR(H5=$S$3,H5=$S$4,H5=$S$7,H5=$S$10,H5=$S$11),"Salem",OR(H5=$S$6),"Keizer",OR(H5=$S$8,H5=$S$9,H5=$S$12),"Marion")</f>
        <v>Other</v>
      </c>
      <c r="L5">
        <v>32</v>
      </c>
      <c r="M5">
        <v>2005</v>
      </c>
      <c r="N5" t="s">
        <v>45</v>
      </c>
      <c r="O5">
        <v>0</v>
      </c>
      <c r="S5" t="str">
        <v>Marion_Outside_UGB</v>
      </c>
    </row>
    <row r="6" spans="1:21" x14ac:dyDescent="0.25">
      <c r="A6">
        <v>32</v>
      </c>
      <c r="B6">
        <v>2021</v>
      </c>
      <c r="C6">
        <v>48</v>
      </c>
      <c r="D6">
        <v>1</v>
      </c>
      <c r="E6">
        <v>0</v>
      </c>
      <c r="F6" t="str" cm="1">
        <f t="array" ref="F6">_xlfn.XLOOKUP(A6&amp;B6,$L$2:$L$739&amp;$M$2:$M$739,$N$2:$N$739)</f>
        <v>Low</v>
      </c>
      <c r="G6">
        <f t="shared" si="0"/>
        <v>0</v>
      </c>
      <c r="H6" t="str">
        <f>_xlfn.XLOOKUP(A6,VE!$A$2:$A$247,VE!$B$2:$B$247)</f>
        <v>Polk</v>
      </c>
      <c r="I6" t="str" cm="1">
        <f t="array" ref="I6">_xlfn.IFS(OR(H6=$S$2,H6=$S$13,H6=$S$5),"Other",OR(H6=$S$3,H6=$S$4,H6=$S$7,H6=$S$10,H6=$S$11),"Salem",OR(H6=$S$6),"Keizer",OR(H6=$S$8,H6=$S$9,H6=$S$12),"Marion")</f>
        <v>Other</v>
      </c>
      <c r="L6">
        <v>32</v>
      </c>
      <c r="M6">
        <v>2021</v>
      </c>
      <c r="N6" t="s">
        <v>45</v>
      </c>
      <c r="O6">
        <v>0</v>
      </c>
      <c r="S6" t="str">
        <v>Keizer</v>
      </c>
    </row>
    <row r="7" spans="1:21" x14ac:dyDescent="0.25">
      <c r="A7">
        <v>32</v>
      </c>
      <c r="B7">
        <v>2050</v>
      </c>
      <c r="C7">
        <v>45</v>
      </c>
      <c r="D7">
        <v>1</v>
      </c>
      <c r="E7">
        <v>0</v>
      </c>
      <c r="F7" t="str" cm="1">
        <f t="array" ref="F7">_xlfn.XLOOKUP(A7&amp;B7,$L$2:$L$739&amp;$M$2:$M$739,$N$2:$N$739)</f>
        <v>Low</v>
      </c>
      <c r="G7">
        <f t="shared" si="0"/>
        <v>0</v>
      </c>
      <c r="H7" t="str">
        <f>_xlfn.XLOOKUP(A7,VE!$A$2:$A$247,VE!$B$2:$B$247)</f>
        <v>Polk</v>
      </c>
      <c r="I7" t="str" cm="1">
        <f t="array" ref="I7">_xlfn.IFS(OR(H7=$S$2,H7=$S$13,H7=$S$5),"Other",OR(H7=$S$3,H7=$S$4,H7=$S$7,H7=$S$10,H7=$S$11),"Salem",OR(H7=$S$6),"Keizer",OR(H7=$S$8,H7=$S$9,H7=$S$12),"Marion")</f>
        <v>Other</v>
      </c>
      <c r="L7">
        <v>32</v>
      </c>
      <c r="M7">
        <v>2050</v>
      </c>
      <c r="N7" t="s">
        <v>45</v>
      </c>
      <c r="O7">
        <v>0</v>
      </c>
      <c r="S7" t="str">
        <v>Salem_4</v>
      </c>
    </row>
    <row r="8" spans="1:21" x14ac:dyDescent="0.25">
      <c r="A8">
        <v>33</v>
      </c>
      <c r="B8">
        <v>2005</v>
      </c>
      <c r="C8">
        <v>87</v>
      </c>
      <c r="D8">
        <v>0</v>
      </c>
      <c r="E8">
        <v>0</v>
      </c>
      <c r="F8" t="str" cm="1">
        <f t="array" ref="F8">_xlfn.XLOOKUP(A8&amp;B8,$L$2:$L$739&amp;$M$2:$M$739,$N$2:$N$739)</f>
        <v>Low</v>
      </c>
      <c r="G8">
        <f t="shared" si="0"/>
        <v>0</v>
      </c>
      <c r="H8" t="str">
        <f>_xlfn.XLOOKUP(A8,VE!$A$2:$A$247,VE!$B$2:$B$247)</f>
        <v>Polk</v>
      </c>
      <c r="I8" t="str" cm="1">
        <f t="array" ref="I8">_xlfn.IFS(OR(H8=$S$2,H8=$S$13,H8=$S$5),"Other",OR(H8=$S$3,H8=$S$4,H8=$S$7,H8=$S$10,H8=$S$11),"Salem",OR(H8=$S$6),"Keizer",OR(H8=$S$8,H8=$S$9,H8=$S$12),"Marion")</f>
        <v>Other</v>
      </c>
      <c r="L8">
        <v>33</v>
      </c>
      <c r="M8">
        <v>2005</v>
      </c>
      <c r="N8" t="s">
        <v>45</v>
      </c>
      <c r="O8">
        <v>0</v>
      </c>
      <c r="S8" t="str">
        <v>Marion_Inside_UGB_1</v>
      </c>
    </row>
    <row r="9" spans="1:21" x14ac:dyDescent="0.25">
      <c r="A9">
        <v>33</v>
      </c>
      <c r="B9">
        <v>2021</v>
      </c>
      <c r="C9">
        <v>87</v>
      </c>
      <c r="D9">
        <v>2</v>
      </c>
      <c r="E9">
        <v>0</v>
      </c>
      <c r="F9" t="str" cm="1">
        <f t="array" ref="F9">_xlfn.XLOOKUP(A9&amp;B9,$L$2:$L$739&amp;$M$2:$M$739,$N$2:$N$739)</f>
        <v>Low</v>
      </c>
      <c r="G9">
        <f t="shared" si="0"/>
        <v>0</v>
      </c>
      <c r="H9" t="str">
        <f>_xlfn.XLOOKUP(A9,VE!$A$2:$A$247,VE!$B$2:$B$247)</f>
        <v>Polk</v>
      </c>
      <c r="I9" t="str" cm="1">
        <f t="array" ref="I9">_xlfn.IFS(OR(H9=$S$2,H9=$S$13,H9=$S$5),"Other",OR(H9=$S$3,H9=$S$4,H9=$S$7,H9=$S$10,H9=$S$11),"Salem",OR(H9=$S$6),"Keizer",OR(H9=$S$8,H9=$S$9,H9=$S$12),"Marion")</f>
        <v>Other</v>
      </c>
      <c r="L9">
        <v>33</v>
      </c>
      <c r="M9">
        <v>2021</v>
      </c>
      <c r="N9" t="s">
        <v>45</v>
      </c>
      <c r="O9">
        <v>0</v>
      </c>
      <c r="S9" t="str">
        <v>Marion_Inside_UGB_2</v>
      </c>
    </row>
    <row r="10" spans="1:21" x14ac:dyDescent="0.25">
      <c r="A10">
        <v>33</v>
      </c>
      <c r="B10">
        <v>2050</v>
      </c>
      <c r="C10">
        <v>104</v>
      </c>
      <c r="D10">
        <v>2</v>
      </c>
      <c r="E10">
        <v>0</v>
      </c>
      <c r="F10" t="str" cm="1">
        <f t="array" ref="F10">_xlfn.XLOOKUP(A10&amp;B10,$L$2:$L$739&amp;$M$2:$M$739,$N$2:$N$739)</f>
        <v>Low</v>
      </c>
      <c r="G10">
        <f t="shared" si="0"/>
        <v>0</v>
      </c>
      <c r="H10" t="str">
        <f>_xlfn.XLOOKUP(A10,VE!$A$2:$A$247,VE!$B$2:$B$247)</f>
        <v>Polk</v>
      </c>
      <c r="I10" t="str" cm="1">
        <f t="array" ref="I10">_xlfn.IFS(OR(H10=$S$2,H10=$S$13,H10=$S$5),"Other",OR(H10=$S$3,H10=$S$4,H10=$S$7,H10=$S$10,H10=$S$11),"Salem",OR(H10=$S$6),"Keizer",OR(H10=$S$8,H10=$S$9,H10=$S$12),"Marion")</f>
        <v>Other</v>
      </c>
      <c r="L10">
        <v>33</v>
      </c>
      <c r="M10">
        <v>2050</v>
      </c>
      <c r="N10" t="s">
        <v>45</v>
      </c>
      <c r="O10">
        <v>0</v>
      </c>
      <c r="S10" t="str">
        <v>Salem_5</v>
      </c>
    </row>
    <row r="11" spans="1:21" x14ac:dyDescent="0.25">
      <c r="A11">
        <v>34</v>
      </c>
      <c r="B11">
        <v>2005</v>
      </c>
      <c r="C11">
        <v>25</v>
      </c>
      <c r="D11">
        <v>0</v>
      </c>
      <c r="E11">
        <v>0</v>
      </c>
      <c r="F11" t="str" cm="1">
        <f t="array" ref="F11">_xlfn.XLOOKUP(A11&amp;B11,$L$2:$L$739&amp;$M$2:$M$739,$N$2:$N$739)</f>
        <v>Low</v>
      </c>
      <c r="G11">
        <f t="shared" si="0"/>
        <v>0</v>
      </c>
      <c r="H11" t="str">
        <f>_xlfn.XLOOKUP(A11,VE!$A$2:$A$247,VE!$B$2:$B$247)</f>
        <v>Polk</v>
      </c>
      <c r="I11" t="str" cm="1">
        <f t="array" ref="I11">_xlfn.IFS(OR(H11=$S$2,H11=$S$13,H11=$S$5),"Other",OR(H11=$S$3,H11=$S$4,H11=$S$7,H11=$S$10,H11=$S$11),"Salem",OR(H11=$S$6),"Keizer",OR(H11=$S$8,H11=$S$9,H11=$S$12),"Marion")</f>
        <v>Other</v>
      </c>
      <c r="L11">
        <v>34</v>
      </c>
      <c r="M11">
        <v>2005</v>
      </c>
      <c r="N11" t="s">
        <v>45</v>
      </c>
      <c r="O11">
        <v>0</v>
      </c>
      <c r="S11" t="str">
        <v>Salem_3</v>
      </c>
    </row>
    <row r="12" spans="1:21" x14ac:dyDescent="0.25">
      <c r="A12">
        <v>34</v>
      </c>
      <c r="B12">
        <v>2021</v>
      </c>
      <c r="C12">
        <v>38</v>
      </c>
      <c r="D12">
        <v>1</v>
      </c>
      <c r="E12">
        <v>0</v>
      </c>
      <c r="F12" t="str" cm="1">
        <f t="array" ref="F12">_xlfn.XLOOKUP(A12&amp;B12,$L$2:$L$739&amp;$M$2:$M$739,$N$2:$N$739)</f>
        <v>Low</v>
      </c>
      <c r="G12">
        <f t="shared" si="0"/>
        <v>0</v>
      </c>
      <c r="H12" t="str">
        <f>_xlfn.XLOOKUP(A12,VE!$A$2:$A$247,VE!$B$2:$B$247)</f>
        <v>Polk</v>
      </c>
      <c r="I12" t="str" cm="1">
        <f t="array" ref="I12">_xlfn.IFS(OR(H12=$S$2,H12=$S$13,H12=$S$5),"Other",OR(H12=$S$3,H12=$S$4,H12=$S$7,H12=$S$10,H12=$S$11),"Salem",OR(H12=$S$6),"Keizer",OR(H12=$S$8,H12=$S$9,H12=$S$12),"Marion")</f>
        <v>Other</v>
      </c>
      <c r="L12">
        <v>34</v>
      </c>
      <c r="M12">
        <v>2021</v>
      </c>
      <c r="N12" t="s">
        <v>45</v>
      </c>
      <c r="O12">
        <v>0</v>
      </c>
      <c r="S12" t="str">
        <v>Marion_Inside_UGB_3</v>
      </c>
    </row>
    <row r="13" spans="1:21" x14ac:dyDescent="0.25">
      <c r="A13">
        <v>34</v>
      </c>
      <c r="B13">
        <v>2050</v>
      </c>
      <c r="C13">
        <v>76</v>
      </c>
      <c r="D13">
        <v>1</v>
      </c>
      <c r="E13">
        <v>0</v>
      </c>
      <c r="F13" t="str" cm="1">
        <f t="array" ref="F13">_xlfn.XLOOKUP(A13&amp;B13,$L$2:$L$739&amp;$M$2:$M$739,$N$2:$N$739)</f>
        <v>Low</v>
      </c>
      <c r="G13">
        <f t="shared" si="0"/>
        <v>0</v>
      </c>
      <c r="H13" t="str">
        <f>_xlfn.XLOOKUP(A13,VE!$A$2:$A$247,VE!$B$2:$B$247)</f>
        <v>Polk</v>
      </c>
      <c r="I13" t="str" cm="1">
        <f t="array" ref="I13">_xlfn.IFS(OR(H13=$S$2,H13=$S$13,H13=$S$5),"Other",OR(H13=$S$3,H13=$S$4,H13=$S$7,H13=$S$10,H13=$S$11),"Salem",OR(H13=$S$6),"Keizer",OR(H13=$S$8,H13=$S$9,H13=$S$12),"Marion")</f>
        <v>Other</v>
      </c>
      <c r="L13">
        <v>34</v>
      </c>
      <c r="M13">
        <v>2050</v>
      </c>
      <c r="N13" t="s">
        <v>45</v>
      </c>
      <c r="O13">
        <v>0</v>
      </c>
      <c r="S13" t="str">
        <v>Turner</v>
      </c>
    </row>
    <row r="14" spans="1:21" x14ac:dyDescent="0.25">
      <c r="A14">
        <v>35</v>
      </c>
      <c r="B14">
        <v>2005</v>
      </c>
      <c r="C14">
        <v>50</v>
      </c>
      <c r="D14">
        <v>2</v>
      </c>
      <c r="E14">
        <v>0</v>
      </c>
      <c r="F14" t="str" cm="1">
        <f t="array" ref="F14">_xlfn.XLOOKUP(A14&amp;B14,$L$2:$L$739&amp;$M$2:$M$739,$N$2:$N$739)</f>
        <v>Low</v>
      </c>
      <c r="G14">
        <f t="shared" si="0"/>
        <v>0</v>
      </c>
      <c r="H14" t="str">
        <f>_xlfn.XLOOKUP(A14,VE!$A$2:$A$247,VE!$B$2:$B$247)</f>
        <v>Polk</v>
      </c>
      <c r="I14" t="str" cm="1">
        <f t="array" ref="I14">_xlfn.IFS(OR(H14=$S$2,H14=$S$13,H14=$S$5),"Other",OR(H14=$S$3,H14=$S$4,H14=$S$7,H14=$S$10,H14=$S$11),"Salem",OR(H14=$S$6),"Keizer",OR(H14=$S$8,H14=$S$9,H14=$S$12),"Marion")</f>
        <v>Other</v>
      </c>
      <c r="L14">
        <v>35</v>
      </c>
      <c r="M14">
        <v>2005</v>
      </c>
      <c r="N14" t="s">
        <v>45</v>
      </c>
      <c r="O14">
        <v>0</v>
      </c>
    </row>
    <row r="15" spans="1:21" x14ac:dyDescent="0.25">
      <c r="A15">
        <v>35</v>
      </c>
      <c r="B15">
        <v>2021</v>
      </c>
      <c r="C15">
        <v>50</v>
      </c>
      <c r="D15">
        <v>2</v>
      </c>
      <c r="E15">
        <v>0</v>
      </c>
      <c r="F15" t="str" cm="1">
        <f t="array" ref="F15">_xlfn.XLOOKUP(A15&amp;B15,$L$2:$L$739&amp;$M$2:$M$739,$N$2:$N$739)</f>
        <v>Low</v>
      </c>
      <c r="G15">
        <f t="shared" si="0"/>
        <v>0</v>
      </c>
      <c r="H15" t="str">
        <f>_xlfn.XLOOKUP(A15,VE!$A$2:$A$247,VE!$B$2:$B$247)</f>
        <v>Polk</v>
      </c>
      <c r="I15" t="str" cm="1">
        <f t="array" ref="I15">_xlfn.IFS(OR(H15=$S$2,H15=$S$13,H15=$S$5),"Other",OR(H15=$S$3,H15=$S$4,H15=$S$7,H15=$S$10,H15=$S$11),"Salem",OR(H15=$S$6),"Keizer",OR(H15=$S$8,H15=$S$9,H15=$S$12),"Marion")</f>
        <v>Other</v>
      </c>
      <c r="L15">
        <v>35</v>
      </c>
      <c r="M15">
        <v>2021</v>
      </c>
      <c r="N15" t="s">
        <v>45</v>
      </c>
      <c r="O15">
        <v>0</v>
      </c>
    </row>
    <row r="16" spans="1:21" x14ac:dyDescent="0.25">
      <c r="A16">
        <v>35</v>
      </c>
      <c r="B16">
        <v>2050</v>
      </c>
      <c r="C16">
        <v>45</v>
      </c>
      <c r="D16">
        <v>2</v>
      </c>
      <c r="E16">
        <v>0</v>
      </c>
      <c r="F16" t="str" cm="1">
        <f t="array" ref="F16">_xlfn.XLOOKUP(A16&amp;B16,$L$2:$L$739&amp;$M$2:$M$739,$N$2:$N$739)</f>
        <v>Low</v>
      </c>
      <c r="G16">
        <f t="shared" si="0"/>
        <v>0</v>
      </c>
      <c r="H16" t="str">
        <f>_xlfn.XLOOKUP(A16,VE!$A$2:$A$247,VE!$B$2:$B$247)</f>
        <v>Polk</v>
      </c>
      <c r="I16" t="str" cm="1">
        <f t="array" ref="I16">_xlfn.IFS(OR(H16=$S$2,H16=$S$13,H16=$S$5),"Other",OR(H16=$S$3,H16=$S$4,H16=$S$7,H16=$S$10,H16=$S$11),"Salem",OR(H16=$S$6),"Keizer",OR(H16=$S$8,H16=$S$9,H16=$S$12),"Marion")</f>
        <v>Other</v>
      </c>
      <c r="L16">
        <v>35</v>
      </c>
      <c r="M16">
        <v>2050</v>
      </c>
      <c r="N16" t="s">
        <v>45</v>
      </c>
      <c r="O16">
        <v>0</v>
      </c>
      <c r="T16" s="2" t="s">
        <v>52</v>
      </c>
      <c r="U16" s="2" t="s">
        <v>53</v>
      </c>
    </row>
    <row r="17" spans="1:25" x14ac:dyDescent="0.25">
      <c r="A17">
        <v>36</v>
      </c>
      <c r="B17">
        <v>2005</v>
      </c>
      <c r="C17">
        <v>109</v>
      </c>
      <c r="D17">
        <v>6</v>
      </c>
      <c r="E17">
        <v>0</v>
      </c>
      <c r="F17" t="str" cm="1">
        <f t="array" ref="F17">_xlfn.XLOOKUP(A17&amp;B17,$L$2:$L$739&amp;$M$2:$M$739,$N$2:$N$739)</f>
        <v>Low</v>
      </c>
      <c r="G17">
        <f t="shared" si="0"/>
        <v>0</v>
      </c>
      <c r="H17" t="str">
        <f>_xlfn.XLOOKUP(A17,VE!$A$2:$A$247,VE!$B$2:$B$247)</f>
        <v>Polk</v>
      </c>
      <c r="I17" t="str" cm="1">
        <f t="array" ref="I17">_xlfn.IFS(OR(H17=$S$2,H17=$S$13,H17=$S$5),"Other",OR(H17=$S$3,H17=$S$4,H17=$S$7,H17=$S$10,H17=$S$11),"Salem",OR(H17=$S$6),"Keizer",OR(H17=$S$8,H17=$S$9,H17=$S$12),"Marion")</f>
        <v>Other</v>
      </c>
      <c r="L17">
        <v>36</v>
      </c>
      <c r="M17">
        <v>2005</v>
      </c>
      <c r="N17" t="s">
        <v>45</v>
      </c>
      <c r="O17">
        <v>0</v>
      </c>
      <c r="T17" s="2" t="s">
        <v>50</v>
      </c>
      <c r="U17" t="s">
        <v>7</v>
      </c>
      <c r="V17" t="s">
        <v>37</v>
      </c>
      <c r="W17" t="s">
        <v>54</v>
      </c>
      <c r="X17" t="s">
        <v>55</v>
      </c>
      <c r="Y17" t="s">
        <v>51</v>
      </c>
    </row>
    <row r="18" spans="1:25" x14ac:dyDescent="0.25">
      <c r="A18">
        <v>36</v>
      </c>
      <c r="B18">
        <v>2021</v>
      </c>
      <c r="C18">
        <v>109</v>
      </c>
      <c r="D18">
        <v>6</v>
      </c>
      <c r="E18">
        <v>0</v>
      </c>
      <c r="F18" t="str" cm="1">
        <f t="array" ref="F18">_xlfn.XLOOKUP(A18&amp;B18,$L$2:$L$739&amp;$M$2:$M$739,$N$2:$N$739)</f>
        <v>Low</v>
      </c>
      <c r="G18">
        <f t="shared" si="0"/>
        <v>0</v>
      </c>
      <c r="H18" t="str">
        <f>_xlfn.XLOOKUP(A18,VE!$A$2:$A$247,VE!$B$2:$B$247)</f>
        <v>Polk</v>
      </c>
      <c r="I18" t="str" cm="1">
        <f t="array" ref="I18">_xlfn.IFS(OR(H18=$S$2,H18=$S$13,H18=$S$5),"Other",OR(H18=$S$3,H18=$S$4,H18=$S$7,H18=$S$10,H18=$S$11),"Salem",OR(H18=$S$6),"Keizer",OR(H18=$S$8,H18=$S$9,H18=$S$12),"Marion")</f>
        <v>Other</v>
      </c>
      <c r="L18">
        <v>36</v>
      </c>
      <c r="M18">
        <v>2021</v>
      </c>
      <c r="N18" t="s">
        <v>45</v>
      </c>
      <c r="O18">
        <v>0</v>
      </c>
      <c r="T18" s="3">
        <v>2005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>
        <v>36</v>
      </c>
      <c r="B19">
        <v>2050</v>
      </c>
      <c r="C19">
        <v>145</v>
      </c>
      <c r="D19">
        <v>6</v>
      </c>
      <c r="E19">
        <v>0</v>
      </c>
      <c r="F19" t="str" cm="1">
        <f t="array" ref="F19">_xlfn.XLOOKUP(A19&amp;B19,$L$2:$L$739&amp;$M$2:$M$739,$N$2:$N$739)</f>
        <v>Low</v>
      </c>
      <c r="G19">
        <f t="shared" si="0"/>
        <v>0</v>
      </c>
      <c r="H19" t="str">
        <f>_xlfn.XLOOKUP(A19,VE!$A$2:$A$247,VE!$B$2:$B$247)</f>
        <v>Polk</v>
      </c>
      <c r="I19" t="str" cm="1">
        <f t="array" ref="I19">_xlfn.IFS(OR(H19=$S$2,H19=$S$13,H19=$S$5),"Other",OR(H19=$S$3,H19=$S$4,H19=$S$7,H19=$S$10,H19=$S$11),"Salem",OR(H19=$S$6),"Keizer",OR(H19=$S$8,H19=$S$9,H19=$S$12),"Marion")</f>
        <v>Other</v>
      </c>
      <c r="L19">
        <v>36</v>
      </c>
      <c r="M19">
        <v>2050</v>
      </c>
      <c r="N19" t="s">
        <v>45</v>
      </c>
      <c r="O19">
        <v>0</v>
      </c>
      <c r="T19" s="3">
        <v>2021</v>
      </c>
      <c r="U19">
        <v>3299</v>
      </c>
      <c r="V19">
        <v>5197</v>
      </c>
      <c r="W19">
        <v>0</v>
      </c>
      <c r="X19">
        <v>21364</v>
      </c>
      <c r="Y19">
        <v>29860</v>
      </c>
    </row>
    <row r="20" spans="1:25" x14ac:dyDescent="0.25">
      <c r="A20">
        <v>37</v>
      </c>
      <c r="B20">
        <v>2005</v>
      </c>
      <c r="C20">
        <v>85</v>
      </c>
      <c r="D20">
        <v>0</v>
      </c>
      <c r="E20">
        <v>0</v>
      </c>
      <c r="F20" t="str" cm="1">
        <f t="array" ref="F20">_xlfn.XLOOKUP(A20&amp;B20,$L$2:$L$739&amp;$M$2:$M$739,$N$2:$N$739)</f>
        <v>Low</v>
      </c>
      <c r="G20">
        <f t="shared" si="0"/>
        <v>0</v>
      </c>
      <c r="H20" t="str">
        <f>_xlfn.XLOOKUP(A20,VE!$A$2:$A$247,VE!$B$2:$B$247)</f>
        <v>Polk</v>
      </c>
      <c r="I20" t="str" cm="1">
        <f t="array" ref="I20">_xlfn.IFS(OR(H20=$S$2,H20=$S$13,H20=$S$5),"Other",OR(H20=$S$3,H20=$S$4,H20=$S$7,H20=$S$10,H20=$S$11),"Salem",OR(H20=$S$6),"Keizer",OR(H20=$S$8,H20=$S$9,H20=$S$12),"Marion")</f>
        <v>Other</v>
      </c>
      <c r="L20">
        <v>37</v>
      </c>
      <c r="M20">
        <v>2005</v>
      </c>
      <c r="N20" t="s">
        <v>45</v>
      </c>
      <c r="O20">
        <v>0</v>
      </c>
      <c r="T20" s="3">
        <v>2050</v>
      </c>
      <c r="U20">
        <v>6191</v>
      </c>
      <c r="V20">
        <v>8665</v>
      </c>
      <c r="W20">
        <v>0</v>
      </c>
      <c r="X20">
        <v>30335</v>
      </c>
      <c r="Y20">
        <v>45191</v>
      </c>
    </row>
    <row r="21" spans="1:25" x14ac:dyDescent="0.25">
      <c r="A21">
        <v>37</v>
      </c>
      <c r="B21">
        <v>2021</v>
      </c>
      <c r="C21">
        <v>56</v>
      </c>
      <c r="D21">
        <v>56</v>
      </c>
      <c r="E21">
        <v>0</v>
      </c>
      <c r="F21" t="str" cm="1">
        <f t="array" ref="F21">_xlfn.XLOOKUP(A21&amp;B21,$L$2:$L$739&amp;$M$2:$M$739,$N$2:$N$739)</f>
        <v>Low</v>
      </c>
      <c r="G21">
        <f t="shared" si="0"/>
        <v>0</v>
      </c>
      <c r="H21" t="str">
        <f>_xlfn.XLOOKUP(A21,VE!$A$2:$A$247,VE!$B$2:$B$247)</f>
        <v>Polk</v>
      </c>
      <c r="I21" t="str" cm="1">
        <f t="array" ref="I21">_xlfn.IFS(OR(H21=$S$2,H21=$S$13,H21=$S$5),"Other",OR(H21=$S$3,H21=$S$4,H21=$S$7,H21=$S$10,H21=$S$11),"Salem",OR(H21=$S$6),"Keizer",OR(H21=$S$8,H21=$S$9,H21=$S$12),"Marion")</f>
        <v>Other</v>
      </c>
      <c r="L21">
        <v>37</v>
      </c>
      <c r="M21">
        <v>2021</v>
      </c>
      <c r="N21" t="s">
        <v>45</v>
      </c>
      <c r="O21">
        <v>0</v>
      </c>
      <c r="T21" s="3" t="s">
        <v>51</v>
      </c>
      <c r="U21">
        <v>9490</v>
      </c>
      <c r="V21">
        <v>13862</v>
      </c>
      <c r="W21">
        <v>0</v>
      </c>
      <c r="X21">
        <v>51699</v>
      </c>
      <c r="Y21">
        <v>75051</v>
      </c>
    </row>
    <row r="22" spans="1:25" x14ac:dyDescent="0.25">
      <c r="A22">
        <v>37</v>
      </c>
      <c r="B22">
        <v>2050</v>
      </c>
      <c r="C22">
        <v>68</v>
      </c>
      <c r="D22">
        <v>56</v>
      </c>
      <c r="E22">
        <v>0</v>
      </c>
      <c r="F22" t="str" cm="1">
        <f t="array" ref="F22">_xlfn.XLOOKUP(A22&amp;B22,$L$2:$L$739&amp;$M$2:$M$739,$N$2:$N$739)</f>
        <v>Low</v>
      </c>
      <c r="G22">
        <f t="shared" si="0"/>
        <v>0</v>
      </c>
      <c r="H22" t="str">
        <f>_xlfn.XLOOKUP(A22,VE!$A$2:$A$247,VE!$B$2:$B$247)</f>
        <v>Polk</v>
      </c>
      <c r="I22" t="str" cm="1">
        <f t="array" ref="I22">_xlfn.IFS(OR(H22=$S$2,H22=$S$13,H22=$S$5),"Other",OR(H22=$S$3,H22=$S$4,H22=$S$7,H22=$S$10,H22=$S$11),"Salem",OR(H22=$S$6),"Keizer",OR(H22=$S$8,H22=$S$9,H22=$S$12),"Marion")</f>
        <v>Other</v>
      </c>
      <c r="L22">
        <v>37</v>
      </c>
      <c r="M22">
        <v>2050</v>
      </c>
      <c r="N22" t="s">
        <v>45</v>
      </c>
      <c r="O22">
        <v>0</v>
      </c>
    </row>
    <row r="23" spans="1:25" x14ac:dyDescent="0.25">
      <c r="A23">
        <v>38</v>
      </c>
      <c r="B23">
        <v>2005</v>
      </c>
      <c r="C23">
        <v>20</v>
      </c>
      <c r="D23">
        <v>0</v>
      </c>
      <c r="E23">
        <v>0</v>
      </c>
      <c r="F23" t="str" cm="1">
        <f t="array" ref="F23">_xlfn.XLOOKUP(A23&amp;B23,$L$2:$L$739&amp;$M$2:$M$739,$N$2:$N$739)</f>
        <v>Low</v>
      </c>
      <c r="G23">
        <f t="shared" si="0"/>
        <v>0</v>
      </c>
      <c r="H23" t="str">
        <f>_xlfn.XLOOKUP(A23,VE!$A$2:$A$247,VE!$B$2:$B$247)</f>
        <v>Polk</v>
      </c>
      <c r="I23" t="str" cm="1">
        <f t="array" ref="I23">_xlfn.IFS(OR(H23=$S$2,H23=$S$13,H23=$S$5),"Other",OR(H23=$S$3,H23=$S$4,H23=$S$7,H23=$S$10,H23=$S$11),"Salem",OR(H23=$S$6),"Keizer",OR(H23=$S$8,H23=$S$9,H23=$S$12),"Marion")</f>
        <v>Other</v>
      </c>
      <c r="L23">
        <v>38</v>
      </c>
      <c r="M23">
        <v>2005</v>
      </c>
      <c r="N23" t="s">
        <v>45</v>
      </c>
      <c r="O23">
        <v>0</v>
      </c>
    </row>
    <row r="24" spans="1:25" x14ac:dyDescent="0.25">
      <c r="A24">
        <v>38</v>
      </c>
      <c r="B24">
        <v>2021</v>
      </c>
      <c r="C24">
        <v>19</v>
      </c>
      <c r="D24">
        <v>4</v>
      </c>
      <c r="E24">
        <v>0</v>
      </c>
      <c r="F24" t="str" cm="1">
        <f t="array" ref="F24">_xlfn.XLOOKUP(A24&amp;B24,$L$2:$L$739&amp;$M$2:$M$739,$N$2:$N$739)</f>
        <v>Low</v>
      </c>
      <c r="G24">
        <f t="shared" si="0"/>
        <v>0</v>
      </c>
      <c r="H24" t="str">
        <f>_xlfn.XLOOKUP(A24,VE!$A$2:$A$247,VE!$B$2:$B$247)</f>
        <v>Polk</v>
      </c>
      <c r="I24" t="str" cm="1">
        <f t="array" ref="I24">_xlfn.IFS(OR(H24=$S$2,H24=$S$13,H24=$S$5),"Other",OR(H24=$S$3,H24=$S$4,H24=$S$7,H24=$S$10,H24=$S$11),"Salem",OR(H24=$S$6),"Keizer",OR(H24=$S$8,H24=$S$9,H24=$S$12),"Marion")</f>
        <v>Other</v>
      </c>
      <c r="L24">
        <v>38</v>
      </c>
      <c r="M24">
        <v>2021</v>
      </c>
      <c r="N24" t="s">
        <v>45</v>
      </c>
      <c r="O24">
        <v>0</v>
      </c>
    </row>
    <row r="25" spans="1:25" x14ac:dyDescent="0.25">
      <c r="A25">
        <v>38</v>
      </c>
      <c r="B25">
        <v>2050</v>
      </c>
      <c r="C25">
        <v>21</v>
      </c>
      <c r="D25">
        <v>3</v>
      </c>
      <c r="E25">
        <v>0</v>
      </c>
      <c r="F25" t="str" cm="1">
        <f t="array" ref="F25">_xlfn.XLOOKUP(A25&amp;B25,$L$2:$L$739&amp;$M$2:$M$739,$N$2:$N$739)</f>
        <v>Low</v>
      </c>
      <c r="G25">
        <f t="shared" si="0"/>
        <v>0</v>
      </c>
      <c r="H25" t="str">
        <f>_xlfn.XLOOKUP(A25,VE!$A$2:$A$247,VE!$B$2:$B$247)</f>
        <v>Polk</v>
      </c>
      <c r="I25" t="str" cm="1">
        <f t="array" ref="I25">_xlfn.IFS(OR(H25=$S$2,H25=$S$13,H25=$S$5),"Other",OR(H25=$S$3,H25=$S$4,H25=$S$7,H25=$S$10,H25=$S$11),"Salem",OR(H25=$S$6),"Keizer",OR(H25=$S$8,H25=$S$9,H25=$S$12),"Marion")</f>
        <v>Other</v>
      </c>
      <c r="L25">
        <v>38</v>
      </c>
      <c r="M25">
        <v>2050</v>
      </c>
      <c r="N25" t="s">
        <v>45</v>
      </c>
      <c r="O25">
        <v>0</v>
      </c>
    </row>
    <row r="26" spans="1:25" x14ac:dyDescent="0.25">
      <c r="A26">
        <v>39</v>
      </c>
      <c r="B26">
        <v>2005</v>
      </c>
      <c r="C26">
        <v>53</v>
      </c>
      <c r="D26">
        <v>4</v>
      </c>
      <c r="E26">
        <v>0</v>
      </c>
      <c r="F26" t="str" cm="1">
        <f t="array" ref="F26">_xlfn.XLOOKUP(A26&amp;B26,$L$2:$L$739&amp;$M$2:$M$739,$N$2:$N$739)</f>
        <v>Low</v>
      </c>
      <c r="G26">
        <f t="shared" si="0"/>
        <v>0</v>
      </c>
      <c r="H26" t="str">
        <f>_xlfn.XLOOKUP(A26,VE!$A$2:$A$247,VE!$B$2:$B$247)</f>
        <v>Polk</v>
      </c>
      <c r="I26" t="str" cm="1">
        <f t="array" ref="I26">_xlfn.IFS(OR(H26=$S$2,H26=$S$13,H26=$S$5),"Other",OR(H26=$S$3,H26=$S$4,H26=$S$7,H26=$S$10,H26=$S$11),"Salem",OR(H26=$S$6),"Keizer",OR(H26=$S$8,H26=$S$9,H26=$S$12),"Marion")</f>
        <v>Other</v>
      </c>
      <c r="L26">
        <v>39</v>
      </c>
      <c r="M26">
        <v>2005</v>
      </c>
      <c r="N26" t="s">
        <v>45</v>
      </c>
      <c r="O26">
        <v>0</v>
      </c>
    </row>
    <row r="27" spans="1:25" x14ac:dyDescent="0.25">
      <c r="A27">
        <v>39</v>
      </c>
      <c r="B27">
        <v>2021</v>
      </c>
      <c r="C27">
        <v>83</v>
      </c>
      <c r="D27">
        <v>1</v>
      </c>
      <c r="E27">
        <v>0</v>
      </c>
      <c r="F27" t="str" cm="1">
        <f t="array" ref="F27">_xlfn.XLOOKUP(A27&amp;B27,$L$2:$L$739&amp;$M$2:$M$739,$N$2:$N$739)</f>
        <v>Low</v>
      </c>
      <c r="G27">
        <f t="shared" si="0"/>
        <v>0</v>
      </c>
      <c r="H27" t="str">
        <f>_xlfn.XLOOKUP(A27,VE!$A$2:$A$247,VE!$B$2:$B$247)</f>
        <v>Polk</v>
      </c>
      <c r="I27" t="str" cm="1">
        <f t="array" ref="I27">_xlfn.IFS(OR(H27=$S$2,H27=$S$13,H27=$S$5),"Other",OR(H27=$S$3,H27=$S$4,H27=$S$7,H27=$S$10,H27=$S$11),"Salem",OR(H27=$S$6),"Keizer",OR(H27=$S$8,H27=$S$9,H27=$S$12),"Marion")</f>
        <v>Other</v>
      </c>
      <c r="L27">
        <v>39</v>
      </c>
      <c r="M27">
        <v>2021</v>
      </c>
      <c r="N27" t="s">
        <v>45</v>
      </c>
      <c r="O27">
        <v>0</v>
      </c>
    </row>
    <row r="28" spans="1:25" x14ac:dyDescent="0.25">
      <c r="A28">
        <v>39</v>
      </c>
      <c r="B28">
        <v>2050</v>
      </c>
      <c r="C28">
        <v>100</v>
      </c>
      <c r="D28">
        <v>1</v>
      </c>
      <c r="E28">
        <v>0</v>
      </c>
      <c r="F28" t="str" cm="1">
        <f t="array" ref="F28">_xlfn.XLOOKUP(A28&amp;B28,$L$2:$L$739&amp;$M$2:$M$739,$N$2:$N$739)</f>
        <v>Low</v>
      </c>
      <c r="G28">
        <f t="shared" si="0"/>
        <v>0</v>
      </c>
      <c r="H28" t="str">
        <f>_xlfn.XLOOKUP(A28,VE!$A$2:$A$247,VE!$B$2:$B$247)</f>
        <v>Polk</v>
      </c>
      <c r="I28" t="str" cm="1">
        <f t="array" ref="I28">_xlfn.IFS(OR(H28=$S$2,H28=$S$13,H28=$S$5),"Other",OR(H28=$S$3,H28=$S$4,H28=$S$7,H28=$S$10,H28=$S$11),"Salem",OR(H28=$S$6),"Keizer",OR(H28=$S$8,H28=$S$9,H28=$S$12),"Marion")</f>
        <v>Other</v>
      </c>
      <c r="L28">
        <v>39</v>
      </c>
      <c r="M28">
        <v>2050</v>
      </c>
      <c r="N28" t="s">
        <v>45</v>
      </c>
      <c r="O28">
        <v>0</v>
      </c>
    </row>
    <row r="29" spans="1:25" x14ac:dyDescent="0.25">
      <c r="A29">
        <v>40</v>
      </c>
      <c r="B29">
        <v>2005</v>
      </c>
      <c r="C29">
        <v>57</v>
      </c>
      <c r="D29">
        <v>0</v>
      </c>
      <c r="E29">
        <v>0</v>
      </c>
      <c r="F29" t="str" cm="1">
        <f t="array" ref="F29">_xlfn.XLOOKUP(A29&amp;B29,$L$2:$L$739&amp;$M$2:$M$739,$N$2:$N$739)</f>
        <v>Low</v>
      </c>
      <c r="G29">
        <f t="shared" si="0"/>
        <v>0</v>
      </c>
      <c r="H29" t="str">
        <f>_xlfn.XLOOKUP(A29,VE!$A$2:$A$247,VE!$B$2:$B$247)</f>
        <v>Salem_1</v>
      </c>
      <c r="I29" t="str" cm="1">
        <f t="array" ref="I29">_xlfn.IFS(OR(H29=$S$2,H29=$S$13,H29=$S$5),"Other",OR(H29=$S$3,H29=$S$4,H29=$S$7,H29=$S$10,H29=$S$11),"Salem",OR(H29=$S$6),"Keizer",OR(H29=$S$8,H29=$S$9,H29=$S$12),"Marion")</f>
        <v>Salem</v>
      </c>
      <c r="L29">
        <v>40</v>
      </c>
      <c r="M29">
        <v>2005</v>
      </c>
      <c r="N29" t="s">
        <v>45</v>
      </c>
      <c r="O29">
        <v>0</v>
      </c>
    </row>
    <row r="30" spans="1:25" x14ac:dyDescent="0.25">
      <c r="A30">
        <v>40</v>
      </c>
      <c r="B30">
        <v>2021</v>
      </c>
      <c r="C30">
        <v>67</v>
      </c>
      <c r="D30">
        <v>0</v>
      </c>
      <c r="E30">
        <v>0</v>
      </c>
      <c r="F30" t="str" cm="1">
        <f t="array" ref="F30">_xlfn.XLOOKUP(A30&amp;B30,$L$2:$L$739&amp;$M$2:$M$739,$N$2:$N$739)</f>
        <v>Low</v>
      </c>
      <c r="G30">
        <f t="shared" si="0"/>
        <v>0</v>
      </c>
      <c r="H30" t="str">
        <f>_xlfn.XLOOKUP(A30,VE!$A$2:$A$247,VE!$B$2:$B$247)</f>
        <v>Salem_1</v>
      </c>
      <c r="I30" t="str" cm="1">
        <f t="array" ref="I30">_xlfn.IFS(OR(H30=$S$2,H30=$S$13,H30=$S$5),"Other",OR(H30=$S$3,H30=$S$4,H30=$S$7,H30=$S$10,H30=$S$11),"Salem",OR(H30=$S$6),"Keizer",OR(H30=$S$8,H30=$S$9,H30=$S$12),"Marion")</f>
        <v>Salem</v>
      </c>
      <c r="L30">
        <v>40</v>
      </c>
      <c r="M30">
        <v>2021</v>
      </c>
      <c r="N30" t="s">
        <v>45</v>
      </c>
      <c r="O30">
        <v>0</v>
      </c>
    </row>
    <row r="31" spans="1:25" x14ac:dyDescent="0.25">
      <c r="A31">
        <v>40</v>
      </c>
      <c r="B31">
        <v>2050</v>
      </c>
      <c r="C31">
        <v>617</v>
      </c>
      <c r="D31">
        <v>164</v>
      </c>
      <c r="E31">
        <v>0</v>
      </c>
      <c r="F31" t="str" cm="1">
        <f t="array" ref="F31">_xlfn.XLOOKUP(A31&amp;B31,$L$2:$L$739&amp;$M$2:$M$739,$N$2:$N$739)</f>
        <v>Low</v>
      </c>
      <c r="G31">
        <f t="shared" si="0"/>
        <v>0</v>
      </c>
      <c r="H31" t="str">
        <f>_xlfn.XLOOKUP(A31,VE!$A$2:$A$247,VE!$B$2:$B$247)</f>
        <v>Salem_1</v>
      </c>
      <c r="I31" t="str" cm="1">
        <f t="array" ref="I31">_xlfn.IFS(OR(H31=$S$2,H31=$S$13,H31=$S$5),"Other",OR(H31=$S$3,H31=$S$4,H31=$S$7,H31=$S$10,H31=$S$11),"Salem",OR(H31=$S$6),"Keizer",OR(H31=$S$8,H31=$S$9,H31=$S$12),"Marion")</f>
        <v>Salem</v>
      </c>
      <c r="L31">
        <v>40</v>
      </c>
      <c r="M31">
        <v>2050</v>
      </c>
      <c r="N31" t="s">
        <v>45</v>
      </c>
      <c r="O31">
        <v>0</v>
      </c>
    </row>
    <row r="32" spans="1:25" x14ac:dyDescent="0.25">
      <c r="A32">
        <v>41</v>
      </c>
      <c r="B32">
        <v>2005</v>
      </c>
      <c r="C32">
        <v>70</v>
      </c>
      <c r="D32">
        <v>0</v>
      </c>
      <c r="E32">
        <v>0</v>
      </c>
      <c r="F32" t="str" cm="1">
        <f t="array" ref="F32">_xlfn.XLOOKUP(A32&amp;B32,$L$2:$L$739&amp;$M$2:$M$739,$N$2:$N$739)</f>
        <v>Low</v>
      </c>
      <c r="G32">
        <f t="shared" si="0"/>
        <v>0</v>
      </c>
      <c r="H32" t="str">
        <f>_xlfn.XLOOKUP(A32,VE!$A$2:$A$247,VE!$B$2:$B$247)</f>
        <v>Polk</v>
      </c>
      <c r="I32" t="str" cm="1">
        <f t="array" ref="I32">_xlfn.IFS(OR(H32=$S$2,H32=$S$13,H32=$S$5),"Other",OR(H32=$S$3,H32=$S$4,H32=$S$7,H32=$S$10,H32=$S$11),"Salem",OR(H32=$S$6),"Keizer",OR(H32=$S$8,H32=$S$9,H32=$S$12),"Marion")</f>
        <v>Other</v>
      </c>
      <c r="L32">
        <v>41</v>
      </c>
      <c r="M32">
        <v>2005</v>
      </c>
      <c r="N32" t="s">
        <v>45</v>
      </c>
      <c r="O32">
        <v>0</v>
      </c>
    </row>
    <row r="33" spans="1:15" x14ac:dyDescent="0.25">
      <c r="A33">
        <v>41</v>
      </c>
      <c r="B33">
        <v>2021</v>
      </c>
      <c r="C33">
        <v>106</v>
      </c>
      <c r="D33">
        <v>1</v>
      </c>
      <c r="E33">
        <v>0</v>
      </c>
      <c r="F33" t="str" cm="1">
        <f t="array" ref="F33">_xlfn.XLOOKUP(A33&amp;B33,$L$2:$L$739&amp;$M$2:$M$739,$N$2:$N$739)</f>
        <v>Low</v>
      </c>
      <c r="G33">
        <f t="shared" si="0"/>
        <v>0</v>
      </c>
      <c r="H33" t="str">
        <f>_xlfn.XLOOKUP(A33,VE!$A$2:$A$247,VE!$B$2:$B$247)</f>
        <v>Polk</v>
      </c>
      <c r="I33" t="str" cm="1">
        <f t="array" ref="I33">_xlfn.IFS(OR(H33=$S$2,H33=$S$13,H33=$S$5),"Other",OR(H33=$S$3,H33=$S$4,H33=$S$7,H33=$S$10,H33=$S$11),"Salem",OR(H33=$S$6),"Keizer",OR(H33=$S$8,H33=$S$9,H33=$S$12),"Marion")</f>
        <v>Other</v>
      </c>
      <c r="L33">
        <v>41</v>
      </c>
      <c r="M33">
        <v>2021</v>
      </c>
      <c r="N33" t="s">
        <v>45</v>
      </c>
      <c r="O33">
        <v>0</v>
      </c>
    </row>
    <row r="34" spans="1:15" x14ac:dyDescent="0.25">
      <c r="A34">
        <v>41</v>
      </c>
      <c r="B34">
        <v>2050</v>
      </c>
      <c r="C34">
        <v>115</v>
      </c>
      <c r="D34">
        <v>1</v>
      </c>
      <c r="E34">
        <v>0</v>
      </c>
      <c r="F34" t="str" cm="1">
        <f t="array" ref="F34">_xlfn.XLOOKUP(A34&amp;B34,$L$2:$L$739&amp;$M$2:$M$739,$N$2:$N$739)</f>
        <v>Low</v>
      </c>
      <c r="G34">
        <f t="shared" si="0"/>
        <v>0</v>
      </c>
      <c r="H34" t="str">
        <f>_xlfn.XLOOKUP(A34,VE!$A$2:$A$247,VE!$B$2:$B$247)</f>
        <v>Polk</v>
      </c>
      <c r="I34" t="str" cm="1">
        <f t="array" ref="I34">_xlfn.IFS(OR(H34=$S$2,H34=$S$13,H34=$S$5),"Other",OR(H34=$S$3,H34=$S$4,H34=$S$7,H34=$S$10,H34=$S$11),"Salem",OR(H34=$S$6),"Keizer",OR(H34=$S$8,H34=$S$9,H34=$S$12),"Marion")</f>
        <v>Other</v>
      </c>
      <c r="L34">
        <v>41</v>
      </c>
      <c r="M34">
        <v>2050</v>
      </c>
      <c r="N34" t="s">
        <v>45</v>
      </c>
      <c r="O34">
        <v>0</v>
      </c>
    </row>
    <row r="35" spans="1:15" x14ac:dyDescent="0.25">
      <c r="A35">
        <v>42</v>
      </c>
      <c r="B35">
        <v>2005</v>
      </c>
      <c r="C35">
        <v>21</v>
      </c>
      <c r="D35">
        <v>0</v>
      </c>
      <c r="E35">
        <v>0</v>
      </c>
      <c r="F35" t="str" cm="1">
        <f t="array" ref="F35">_xlfn.XLOOKUP(A35&amp;B35,$L$2:$L$739&amp;$M$2:$M$739,$N$2:$N$739)</f>
        <v>Low</v>
      </c>
      <c r="G35">
        <f t="shared" si="0"/>
        <v>0</v>
      </c>
      <c r="H35" t="str">
        <f>_xlfn.XLOOKUP(A35,VE!$A$2:$A$247,VE!$B$2:$B$247)</f>
        <v>Polk</v>
      </c>
      <c r="I35" t="str" cm="1">
        <f t="array" ref="I35">_xlfn.IFS(OR(H35=$S$2,H35=$S$13,H35=$S$5),"Other",OR(H35=$S$3,H35=$S$4,H35=$S$7,H35=$S$10,H35=$S$11),"Salem",OR(H35=$S$6),"Keizer",OR(H35=$S$8,H35=$S$9,H35=$S$12),"Marion")</f>
        <v>Other</v>
      </c>
      <c r="L35">
        <v>42</v>
      </c>
      <c r="M35">
        <v>2005</v>
      </c>
      <c r="N35" t="s">
        <v>45</v>
      </c>
      <c r="O35">
        <v>0</v>
      </c>
    </row>
    <row r="36" spans="1:15" x14ac:dyDescent="0.25">
      <c r="A36">
        <v>42</v>
      </c>
      <c r="B36">
        <v>2021</v>
      </c>
      <c r="C36">
        <v>27</v>
      </c>
      <c r="D36">
        <v>0</v>
      </c>
      <c r="E36">
        <v>0</v>
      </c>
      <c r="F36" t="str" cm="1">
        <f t="array" ref="F36">_xlfn.XLOOKUP(A36&amp;B36,$L$2:$L$739&amp;$M$2:$M$739,$N$2:$N$739)</f>
        <v>Low</v>
      </c>
      <c r="G36">
        <f t="shared" si="0"/>
        <v>0</v>
      </c>
      <c r="H36" t="str">
        <f>_xlfn.XLOOKUP(A36,VE!$A$2:$A$247,VE!$B$2:$B$247)</f>
        <v>Polk</v>
      </c>
      <c r="I36" t="str" cm="1">
        <f t="array" ref="I36">_xlfn.IFS(OR(H36=$S$2,H36=$S$13,H36=$S$5),"Other",OR(H36=$S$3,H36=$S$4,H36=$S$7,H36=$S$10,H36=$S$11),"Salem",OR(H36=$S$6),"Keizer",OR(H36=$S$8,H36=$S$9,H36=$S$12),"Marion")</f>
        <v>Other</v>
      </c>
      <c r="L36">
        <v>42</v>
      </c>
      <c r="M36">
        <v>2021</v>
      </c>
      <c r="N36" t="s">
        <v>45</v>
      </c>
      <c r="O36">
        <v>0</v>
      </c>
    </row>
    <row r="37" spans="1:15" x14ac:dyDescent="0.25">
      <c r="A37">
        <v>42</v>
      </c>
      <c r="B37">
        <v>2050</v>
      </c>
      <c r="C37">
        <v>62</v>
      </c>
      <c r="D37">
        <v>0</v>
      </c>
      <c r="E37">
        <v>0</v>
      </c>
      <c r="F37" t="str" cm="1">
        <f t="array" ref="F37">_xlfn.XLOOKUP(A37&amp;B37,$L$2:$L$739&amp;$M$2:$M$739,$N$2:$N$739)</f>
        <v>Low</v>
      </c>
      <c r="G37">
        <f t="shared" si="0"/>
        <v>0</v>
      </c>
      <c r="H37" t="str">
        <f>_xlfn.XLOOKUP(A37,VE!$A$2:$A$247,VE!$B$2:$B$247)</f>
        <v>Polk</v>
      </c>
      <c r="I37" t="str" cm="1">
        <f t="array" ref="I37">_xlfn.IFS(OR(H37=$S$2,H37=$S$13,H37=$S$5),"Other",OR(H37=$S$3,H37=$S$4,H37=$S$7,H37=$S$10,H37=$S$11),"Salem",OR(H37=$S$6),"Keizer",OR(H37=$S$8,H37=$S$9,H37=$S$12),"Marion")</f>
        <v>Other</v>
      </c>
      <c r="L37">
        <v>42</v>
      </c>
      <c r="M37">
        <v>2050</v>
      </c>
      <c r="N37" t="s">
        <v>45</v>
      </c>
      <c r="O37">
        <v>0</v>
      </c>
    </row>
    <row r="38" spans="1:15" x14ac:dyDescent="0.25">
      <c r="A38">
        <v>43</v>
      </c>
      <c r="B38">
        <v>2005</v>
      </c>
      <c r="C38">
        <v>31</v>
      </c>
      <c r="D38">
        <v>2</v>
      </c>
      <c r="E38">
        <v>0</v>
      </c>
      <c r="F38" t="str" cm="1">
        <f t="array" ref="F38">_xlfn.XLOOKUP(A38&amp;B38,$L$2:$L$739&amp;$M$2:$M$739,$N$2:$N$739)</f>
        <v>Low</v>
      </c>
      <c r="G38">
        <f t="shared" si="0"/>
        <v>0</v>
      </c>
      <c r="H38" t="str">
        <f>_xlfn.XLOOKUP(A38,VE!$A$2:$A$247,VE!$B$2:$B$247)</f>
        <v>Polk</v>
      </c>
      <c r="I38" t="str" cm="1">
        <f t="array" ref="I38">_xlfn.IFS(OR(H38=$S$2,H38=$S$13,H38=$S$5),"Other",OR(H38=$S$3,H38=$S$4,H38=$S$7,H38=$S$10,H38=$S$11),"Salem",OR(H38=$S$6),"Keizer",OR(H38=$S$8,H38=$S$9,H38=$S$12),"Marion")</f>
        <v>Other</v>
      </c>
      <c r="L38">
        <v>43</v>
      </c>
      <c r="M38">
        <v>2005</v>
      </c>
      <c r="N38" t="s">
        <v>45</v>
      </c>
      <c r="O38">
        <v>0</v>
      </c>
    </row>
    <row r="39" spans="1:15" x14ac:dyDescent="0.25">
      <c r="A39">
        <v>43</v>
      </c>
      <c r="B39">
        <v>2021</v>
      </c>
      <c r="C39">
        <v>15</v>
      </c>
      <c r="D39">
        <v>79</v>
      </c>
      <c r="E39">
        <v>0</v>
      </c>
      <c r="F39" t="str" cm="1">
        <f t="array" ref="F39">_xlfn.XLOOKUP(A39&amp;B39,$L$2:$L$739&amp;$M$2:$M$739,$N$2:$N$739)</f>
        <v>Low</v>
      </c>
      <c r="G39">
        <f t="shared" si="0"/>
        <v>0</v>
      </c>
      <c r="H39" t="str">
        <f>_xlfn.XLOOKUP(A39,VE!$A$2:$A$247,VE!$B$2:$B$247)</f>
        <v>Polk</v>
      </c>
      <c r="I39" t="str" cm="1">
        <f t="array" ref="I39">_xlfn.IFS(OR(H39=$S$2,H39=$S$13,H39=$S$5),"Other",OR(H39=$S$3,H39=$S$4,H39=$S$7,H39=$S$10,H39=$S$11),"Salem",OR(H39=$S$6),"Keizer",OR(H39=$S$8,H39=$S$9,H39=$S$12),"Marion")</f>
        <v>Other</v>
      </c>
      <c r="L39">
        <v>43</v>
      </c>
      <c r="M39">
        <v>2021</v>
      </c>
      <c r="N39" t="s">
        <v>45</v>
      </c>
      <c r="O39">
        <v>0</v>
      </c>
    </row>
    <row r="40" spans="1:15" x14ac:dyDescent="0.25">
      <c r="A40">
        <v>43</v>
      </c>
      <c r="B40">
        <v>2050</v>
      </c>
      <c r="C40">
        <v>14</v>
      </c>
      <c r="D40">
        <v>82</v>
      </c>
      <c r="E40">
        <v>0</v>
      </c>
      <c r="F40" t="str" cm="1">
        <f t="array" ref="F40">_xlfn.XLOOKUP(A40&amp;B40,$L$2:$L$739&amp;$M$2:$M$739,$N$2:$N$739)</f>
        <v>Low</v>
      </c>
      <c r="G40">
        <f t="shared" si="0"/>
        <v>0</v>
      </c>
      <c r="H40" t="str">
        <f>_xlfn.XLOOKUP(A40,VE!$A$2:$A$247,VE!$B$2:$B$247)</f>
        <v>Polk</v>
      </c>
      <c r="I40" t="str" cm="1">
        <f t="array" ref="I40">_xlfn.IFS(OR(H40=$S$2,H40=$S$13,H40=$S$5),"Other",OR(H40=$S$3,H40=$S$4,H40=$S$7,H40=$S$10,H40=$S$11),"Salem",OR(H40=$S$6),"Keizer",OR(H40=$S$8,H40=$S$9,H40=$S$12),"Marion")</f>
        <v>Other</v>
      </c>
      <c r="L40">
        <v>43</v>
      </c>
      <c r="M40">
        <v>2050</v>
      </c>
      <c r="N40" t="s">
        <v>45</v>
      </c>
      <c r="O40">
        <v>0</v>
      </c>
    </row>
    <row r="41" spans="1:15" x14ac:dyDescent="0.25">
      <c r="A41">
        <v>44</v>
      </c>
      <c r="B41">
        <v>2005</v>
      </c>
      <c r="C41">
        <v>549</v>
      </c>
      <c r="D41">
        <v>24</v>
      </c>
      <c r="E41">
        <v>0</v>
      </c>
      <c r="F41" t="str" cm="1">
        <f t="array" ref="F41">_xlfn.XLOOKUP(A41&amp;B41,$L$2:$L$739&amp;$M$2:$M$739,$N$2:$N$739)</f>
        <v>Low</v>
      </c>
      <c r="G41">
        <f t="shared" si="0"/>
        <v>0</v>
      </c>
      <c r="H41" t="str">
        <f>_xlfn.XLOOKUP(A41,VE!$A$2:$A$247,VE!$B$2:$B$247)</f>
        <v>Salem_1</v>
      </c>
      <c r="I41" t="str" cm="1">
        <f t="array" ref="I41">_xlfn.IFS(OR(H41=$S$2,H41=$S$13,H41=$S$5),"Other",OR(H41=$S$3,H41=$S$4,H41=$S$7,H41=$S$10,H41=$S$11),"Salem",OR(H41=$S$6),"Keizer",OR(H41=$S$8,H41=$S$9,H41=$S$12),"Marion")</f>
        <v>Salem</v>
      </c>
      <c r="L41">
        <v>44</v>
      </c>
      <c r="M41">
        <v>2005</v>
      </c>
      <c r="N41" t="s">
        <v>45</v>
      </c>
      <c r="O41">
        <v>0</v>
      </c>
    </row>
    <row r="42" spans="1:15" x14ac:dyDescent="0.25">
      <c r="A42">
        <v>44</v>
      </c>
      <c r="B42">
        <v>2021</v>
      </c>
      <c r="C42">
        <v>480</v>
      </c>
      <c r="D42">
        <v>124</v>
      </c>
      <c r="E42">
        <v>0</v>
      </c>
      <c r="F42" t="str" cm="1">
        <f t="array" ref="F42">_xlfn.XLOOKUP(A42&amp;B42,$L$2:$L$739&amp;$M$2:$M$739,$N$2:$N$739)</f>
        <v>Low</v>
      </c>
      <c r="G42">
        <f t="shared" si="0"/>
        <v>0</v>
      </c>
      <c r="H42" t="str">
        <f>_xlfn.XLOOKUP(A42,VE!$A$2:$A$247,VE!$B$2:$B$247)</f>
        <v>Salem_1</v>
      </c>
      <c r="I42" t="str" cm="1">
        <f t="array" ref="I42">_xlfn.IFS(OR(H42=$S$2,H42=$S$13,H42=$S$5),"Other",OR(H42=$S$3,H42=$S$4,H42=$S$7,H42=$S$10,H42=$S$11),"Salem",OR(H42=$S$6),"Keizer",OR(H42=$S$8,H42=$S$9,H42=$S$12),"Marion")</f>
        <v>Salem</v>
      </c>
      <c r="L42">
        <v>44</v>
      </c>
      <c r="M42">
        <v>2021</v>
      </c>
      <c r="N42" t="s">
        <v>45</v>
      </c>
      <c r="O42">
        <v>0</v>
      </c>
    </row>
    <row r="43" spans="1:15" x14ac:dyDescent="0.25">
      <c r="A43">
        <v>44</v>
      </c>
      <c r="B43">
        <v>2050</v>
      </c>
      <c r="C43">
        <v>479</v>
      </c>
      <c r="D43">
        <v>125</v>
      </c>
      <c r="E43">
        <v>0</v>
      </c>
      <c r="F43" t="str" cm="1">
        <f t="array" ref="F43">_xlfn.XLOOKUP(A43&amp;B43,$L$2:$L$739&amp;$M$2:$M$739,$N$2:$N$739)</f>
        <v>Low</v>
      </c>
      <c r="G43">
        <f t="shared" si="0"/>
        <v>0</v>
      </c>
      <c r="H43" t="str">
        <f>_xlfn.XLOOKUP(A43,VE!$A$2:$A$247,VE!$B$2:$B$247)</f>
        <v>Salem_1</v>
      </c>
      <c r="I43" t="str" cm="1">
        <f t="array" ref="I43">_xlfn.IFS(OR(H43=$S$2,H43=$S$13,H43=$S$5),"Other",OR(H43=$S$3,H43=$S$4,H43=$S$7,H43=$S$10,H43=$S$11),"Salem",OR(H43=$S$6),"Keizer",OR(H43=$S$8,H43=$S$9,H43=$S$12),"Marion")</f>
        <v>Salem</v>
      </c>
      <c r="L43">
        <v>44</v>
      </c>
      <c r="M43">
        <v>2050</v>
      </c>
      <c r="N43" t="s">
        <v>45</v>
      </c>
      <c r="O43">
        <v>0</v>
      </c>
    </row>
    <row r="44" spans="1:15" x14ac:dyDescent="0.25">
      <c r="A44">
        <v>45</v>
      </c>
      <c r="B44">
        <v>2005</v>
      </c>
      <c r="C44">
        <v>362</v>
      </c>
      <c r="D44">
        <v>7</v>
      </c>
      <c r="E44">
        <v>0</v>
      </c>
      <c r="F44" t="str" cm="1">
        <f t="array" ref="F44">_xlfn.XLOOKUP(A44&amp;B44,$L$2:$L$739&amp;$M$2:$M$739,$N$2:$N$739)</f>
        <v>Low</v>
      </c>
      <c r="G44">
        <f t="shared" si="0"/>
        <v>0</v>
      </c>
      <c r="H44" t="str">
        <f>_xlfn.XLOOKUP(A44,VE!$A$2:$A$247,VE!$B$2:$B$247)</f>
        <v>Salem_1</v>
      </c>
      <c r="I44" t="str" cm="1">
        <f t="array" ref="I44">_xlfn.IFS(OR(H44=$S$2,H44=$S$13,H44=$S$5),"Other",OR(H44=$S$3,H44=$S$4,H44=$S$7,H44=$S$10,H44=$S$11),"Salem",OR(H44=$S$6),"Keizer",OR(H44=$S$8,H44=$S$9,H44=$S$12),"Marion")</f>
        <v>Salem</v>
      </c>
      <c r="L44">
        <v>45</v>
      </c>
      <c r="M44">
        <v>2005</v>
      </c>
      <c r="N44" t="s">
        <v>45</v>
      </c>
      <c r="O44">
        <v>0</v>
      </c>
    </row>
    <row r="45" spans="1:15" x14ac:dyDescent="0.25">
      <c r="A45">
        <v>45</v>
      </c>
      <c r="B45">
        <v>2021</v>
      </c>
      <c r="C45">
        <v>735</v>
      </c>
      <c r="D45">
        <v>7</v>
      </c>
      <c r="E45">
        <v>0</v>
      </c>
      <c r="F45" t="str" cm="1">
        <f t="array" ref="F45">_xlfn.XLOOKUP(A45&amp;B45,$L$2:$L$739&amp;$M$2:$M$739,$N$2:$N$739)</f>
        <v>Low</v>
      </c>
      <c r="G45">
        <f t="shared" si="0"/>
        <v>0</v>
      </c>
      <c r="H45" t="str">
        <f>_xlfn.XLOOKUP(A45,VE!$A$2:$A$247,VE!$B$2:$B$247)</f>
        <v>Salem_1</v>
      </c>
      <c r="I45" t="str" cm="1">
        <f t="array" ref="I45">_xlfn.IFS(OR(H45=$S$2,H45=$S$13,H45=$S$5),"Other",OR(H45=$S$3,H45=$S$4,H45=$S$7,H45=$S$10,H45=$S$11),"Salem",OR(H45=$S$6),"Keizer",OR(H45=$S$8,H45=$S$9,H45=$S$12),"Marion")</f>
        <v>Salem</v>
      </c>
      <c r="L45">
        <v>45</v>
      </c>
      <c r="M45">
        <v>2021</v>
      </c>
      <c r="N45" t="s">
        <v>45</v>
      </c>
      <c r="O45">
        <v>0</v>
      </c>
    </row>
    <row r="46" spans="1:15" x14ac:dyDescent="0.25">
      <c r="A46">
        <v>45</v>
      </c>
      <c r="B46">
        <v>2050</v>
      </c>
      <c r="C46">
        <v>1234</v>
      </c>
      <c r="D46">
        <v>12</v>
      </c>
      <c r="E46">
        <v>0</v>
      </c>
      <c r="F46" t="str" cm="1">
        <f t="array" ref="F46">_xlfn.XLOOKUP(A46&amp;B46,$L$2:$L$739&amp;$M$2:$M$739,$N$2:$N$739)</f>
        <v>Low</v>
      </c>
      <c r="G46">
        <f t="shared" si="0"/>
        <v>0</v>
      </c>
      <c r="H46" t="str">
        <f>_xlfn.XLOOKUP(A46,VE!$A$2:$A$247,VE!$B$2:$B$247)</f>
        <v>Salem_1</v>
      </c>
      <c r="I46" t="str" cm="1">
        <f t="array" ref="I46">_xlfn.IFS(OR(H46=$S$2,H46=$S$13,H46=$S$5),"Other",OR(H46=$S$3,H46=$S$4,H46=$S$7,H46=$S$10,H46=$S$11),"Salem",OR(H46=$S$6),"Keizer",OR(H46=$S$8,H46=$S$9,H46=$S$12),"Marion")</f>
        <v>Salem</v>
      </c>
      <c r="L46">
        <v>45</v>
      </c>
      <c r="M46">
        <v>2050</v>
      </c>
      <c r="N46" t="s">
        <v>45</v>
      </c>
      <c r="O46">
        <v>0</v>
      </c>
    </row>
    <row r="47" spans="1:15" x14ac:dyDescent="0.25">
      <c r="A47">
        <v>47</v>
      </c>
      <c r="B47">
        <v>2005</v>
      </c>
      <c r="C47">
        <v>98</v>
      </c>
      <c r="D47">
        <v>125</v>
      </c>
      <c r="E47">
        <v>0</v>
      </c>
      <c r="F47" t="str" cm="1">
        <f t="array" ref="F47">_xlfn.XLOOKUP(A47&amp;B47,$L$2:$L$739&amp;$M$2:$M$739,$N$2:$N$739)</f>
        <v>Low</v>
      </c>
      <c r="G47">
        <f t="shared" si="0"/>
        <v>0</v>
      </c>
      <c r="H47" t="str">
        <f>_xlfn.XLOOKUP(A47,VE!$A$2:$A$247,VE!$B$2:$B$247)</f>
        <v>Salem_1</v>
      </c>
      <c r="I47" t="str" cm="1">
        <f t="array" ref="I47">_xlfn.IFS(OR(H47=$S$2,H47=$S$13,H47=$S$5),"Other",OR(H47=$S$3,H47=$S$4,H47=$S$7,H47=$S$10,H47=$S$11),"Salem",OR(H47=$S$6),"Keizer",OR(H47=$S$8,H47=$S$9,H47=$S$12),"Marion")</f>
        <v>Salem</v>
      </c>
      <c r="L47">
        <v>47</v>
      </c>
      <c r="M47">
        <v>2005</v>
      </c>
      <c r="N47" t="s">
        <v>45</v>
      </c>
      <c r="O47">
        <v>0</v>
      </c>
    </row>
    <row r="48" spans="1:15" x14ac:dyDescent="0.25">
      <c r="A48">
        <v>47</v>
      </c>
      <c r="B48">
        <v>2021</v>
      </c>
      <c r="C48">
        <v>159</v>
      </c>
      <c r="D48">
        <v>89</v>
      </c>
      <c r="E48">
        <v>0</v>
      </c>
      <c r="F48" t="str" cm="1">
        <f t="array" ref="F48">_xlfn.XLOOKUP(A48&amp;B48,$L$2:$L$739&amp;$M$2:$M$739,$N$2:$N$739)</f>
        <v>Low</v>
      </c>
      <c r="G48">
        <f t="shared" si="0"/>
        <v>0</v>
      </c>
      <c r="H48" t="str">
        <f>_xlfn.XLOOKUP(A48,VE!$A$2:$A$247,VE!$B$2:$B$247)</f>
        <v>Salem_1</v>
      </c>
      <c r="I48" t="str" cm="1">
        <f t="array" ref="I48">_xlfn.IFS(OR(H48=$S$2,H48=$S$13,H48=$S$5),"Other",OR(H48=$S$3,H48=$S$4,H48=$S$7,H48=$S$10,H48=$S$11),"Salem",OR(H48=$S$6),"Keizer",OR(H48=$S$8,H48=$S$9,H48=$S$12),"Marion")</f>
        <v>Salem</v>
      </c>
      <c r="L48">
        <v>47</v>
      </c>
      <c r="M48">
        <v>2021</v>
      </c>
      <c r="N48" t="s">
        <v>45</v>
      </c>
      <c r="O48">
        <v>0</v>
      </c>
    </row>
    <row r="49" spans="1:15" x14ac:dyDescent="0.25">
      <c r="A49">
        <v>47</v>
      </c>
      <c r="B49">
        <v>2050</v>
      </c>
      <c r="C49">
        <v>161</v>
      </c>
      <c r="D49">
        <v>87</v>
      </c>
      <c r="E49">
        <v>0</v>
      </c>
      <c r="F49" t="str" cm="1">
        <f t="array" ref="F49">_xlfn.XLOOKUP(A49&amp;B49,$L$2:$L$739&amp;$M$2:$M$739,$N$2:$N$739)</f>
        <v>Low</v>
      </c>
      <c r="G49">
        <f t="shared" si="0"/>
        <v>0</v>
      </c>
      <c r="H49" t="str">
        <f>_xlfn.XLOOKUP(A49,VE!$A$2:$A$247,VE!$B$2:$B$247)</f>
        <v>Salem_1</v>
      </c>
      <c r="I49" t="str" cm="1">
        <f t="array" ref="I49">_xlfn.IFS(OR(H49=$S$2,H49=$S$13,H49=$S$5),"Other",OR(H49=$S$3,H49=$S$4,H49=$S$7,H49=$S$10,H49=$S$11),"Salem",OR(H49=$S$6),"Keizer",OR(H49=$S$8,H49=$S$9,H49=$S$12),"Marion")</f>
        <v>Salem</v>
      </c>
      <c r="L49">
        <v>47</v>
      </c>
      <c r="M49">
        <v>2050</v>
      </c>
      <c r="N49" t="s">
        <v>45</v>
      </c>
      <c r="O49">
        <v>0</v>
      </c>
    </row>
    <row r="50" spans="1:15" x14ac:dyDescent="0.25">
      <c r="A50">
        <v>48</v>
      </c>
      <c r="B50">
        <v>2005</v>
      </c>
      <c r="C50">
        <v>1</v>
      </c>
      <c r="D50">
        <v>1</v>
      </c>
      <c r="E50">
        <v>0</v>
      </c>
      <c r="F50" t="str" cm="1">
        <f t="array" ref="F50">_xlfn.XLOOKUP(A50&amp;B50,$L$2:$L$739&amp;$M$2:$M$739,$N$2:$N$739)</f>
        <v>Low</v>
      </c>
      <c r="G50">
        <f t="shared" si="0"/>
        <v>0</v>
      </c>
      <c r="H50" t="str">
        <f>_xlfn.XLOOKUP(A50,VE!$A$2:$A$247,VE!$B$2:$B$247)</f>
        <v>Salem_1</v>
      </c>
      <c r="I50" t="str" cm="1">
        <f t="array" ref="I50">_xlfn.IFS(OR(H50=$S$2,H50=$S$13,H50=$S$5),"Other",OR(H50=$S$3,H50=$S$4,H50=$S$7,H50=$S$10,H50=$S$11),"Salem",OR(H50=$S$6),"Keizer",OR(H50=$S$8,H50=$S$9,H50=$S$12),"Marion")</f>
        <v>Salem</v>
      </c>
      <c r="L50">
        <v>48</v>
      </c>
      <c r="M50">
        <v>2005</v>
      </c>
      <c r="N50" t="s">
        <v>45</v>
      </c>
      <c r="O50">
        <v>0</v>
      </c>
    </row>
    <row r="51" spans="1:15" x14ac:dyDescent="0.25">
      <c r="A51">
        <v>48</v>
      </c>
      <c r="B51">
        <v>2021</v>
      </c>
      <c r="C51">
        <v>1</v>
      </c>
      <c r="D51">
        <v>1</v>
      </c>
      <c r="E51">
        <v>0</v>
      </c>
      <c r="F51" t="str" cm="1">
        <f t="array" ref="F51">_xlfn.XLOOKUP(A51&amp;B51,$L$2:$L$739&amp;$M$2:$M$739,$N$2:$N$739)</f>
        <v>Low</v>
      </c>
      <c r="G51">
        <f t="shared" si="0"/>
        <v>0</v>
      </c>
      <c r="H51" t="str">
        <f>_xlfn.XLOOKUP(A51,VE!$A$2:$A$247,VE!$B$2:$B$247)</f>
        <v>Salem_1</v>
      </c>
      <c r="I51" t="str" cm="1">
        <f t="array" ref="I51">_xlfn.IFS(OR(H51=$S$2,H51=$S$13,H51=$S$5),"Other",OR(H51=$S$3,H51=$S$4,H51=$S$7,H51=$S$10,H51=$S$11),"Salem",OR(H51=$S$6),"Keizer",OR(H51=$S$8,H51=$S$9,H51=$S$12),"Marion")</f>
        <v>Salem</v>
      </c>
      <c r="L51">
        <v>48</v>
      </c>
      <c r="M51">
        <v>2021</v>
      </c>
      <c r="N51" t="s">
        <v>45</v>
      </c>
      <c r="O51">
        <v>0</v>
      </c>
    </row>
    <row r="52" spans="1:15" x14ac:dyDescent="0.25">
      <c r="A52">
        <v>48</v>
      </c>
      <c r="B52">
        <v>2050</v>
      </c>
      <c r="C52">
        <v>3</v>
      </c>
      <c r="D52">
        <v>82</v>
      </c>
      <c r="E52">
        <v>0</v>
      </c>
      <c r="F52" t="str" cm="1">
        <f t="array" ref="F52">_xlfn.XLOOKUP(A52&amp;B52,$L$2:$L$739&amp;$M$2:$M$739,$N$2:$N$739)</f>
        <v>Low</v>
      </c>
      <c r="G52">
        <f t="shared" si="0"/>
        <v>0</v>
      </c>
      <c r="H52" t="str">
        <f>_xlfn.XLOOKUP(A52,VE!$A$2:$A$247,VE!$B$2:$B$247)</f>
        <v>Salem_1</v>
      </c>
      <c r="I52" t="str" cm="1">
        <f t="array" ref="I52">_xlfn.IFS(OR(H52=$S$2,H52=$S$13,H52=$S$5),"Other",OR(H52=$S$3,H52=$S$4,H52=$S$7,H52=$S$10,H52=$S$11),"Salem",OR(H52=$S$6),"Keizer",OR(H52=$S$8,H52=$S$9,H52=$S$12),"Marion")</f>
        <v>Salem</v>
      </c>
      <c r="L52">
        <v>48</v>
      </c>
      <c r="M52">
        <v>2050</v>
      </c>
      <c r="N52" t="s">
        <v>45</v>
      </c>
      <c r="O52">
        <v>0</v>
      </c>
    </row>
    <row r="53" spans="1:15" x14ac:dyDescent="0.25">
      <c r="A53">
        <v>49</v>
      </c>
      <c r="B53">
        <v>2005</v>
      </c>
      <c r="C53">
        <v>549</v>
      </c>
      <c r="D53">
        <v>61</v>
      </c>
      <c r="E53">
        <v>0</v>
      </c>
      <c r="F53" t="str" cm="1">
        <f t="array" ref="F53">_xlfn.XLOOKUP(A53&amp;B53,$L$2:$L$739&amp;$M$2:$M$739,$N$2:$N$739)</f>
        <v>Low</v>
      </c>
      <c r="G53">
        <f t="shared" si="0"/>
        <v>0</v>
      </c>
      <c r="H53" t="str">
        <f>_xlfn.XLOOKUP(A53,VE!$A$2:$A$247,VE!$B$2:$B$247)</f>
        <v>Salem_1</v>
      </c>
      <c r="I53" t="str" cm="1">
        <f t="array" ref="I53">_xlfn.IFS(OR(H53=$S$2,H53=$S$13,H53=$S$5),"Other",OR(H53=$S$3,H53=$S$4,H53=$S$7,H53=$S$10,H53=$S$11),"Salem",OR(H53=$S$6),"Keizer",OR(H53=$S$8,H53=$S$9,H53=$S$12),"Marion")</f>
        <v>Salem</v>
      </c>
      <c r="L53">
        <v>49</v>
      </c>
      <c r="M53">
        <v>2005</v>
      </c>
      <c r="N53" t="s">
        <v>45</v>
      </c>
      <c r="O53">
        <v>0</v>
      </c>
    </row>
    <row r="54" spans="1:15" x14ac:dyDescent="0.25">
      <c r="A54">
        <v>49</v>
      </c>
      <c r="B54">
        <v>2021</v>
      </c>
      <c r="C54">
        <v>542</v>
      </c>
      <c r="D54">
        <v>144</v>
      </c>
      <c r="E54">
        <v>0</v>
      </c>
      <c r="F54" t="str" cm="1">
        <f t="array" ref="F54">_xlfn.XLOOKUP(A54&amp;B54,$L$2:$L$739&amp;$M$2:$M$739,$N$2:$N$739)</f>
        <v>Low</v>
      </c>
      <c r="G54">
        <f t="shared" si="0"/>
        <v>0</v>
      </c>
      <c r="H54" t="str">
        <f>_xlfn.XLOOKUP(A54,VE!$A$2:$A$247,VE!$B$2:$B$247)</f>
        <v>Salem_1</v>
      </c>
      <c r="I54" t="str" cm="1">
        <f t="array" ref="I54">_xlfn.IFS(OR(H54=$S$2,H54=$S$13,H54=$S$5),"Other",OR(H54=$S$3,H54=$S$4,H54=$S$7,H54=$S$10,H54=$S$11),"Salem",OR(H54=$S$6),"Keizer",OR(H54=$S$8,H54=$S$9,H54=$S$12),"Marion")</f>
        <v>Salem</v>
      </c>
      <c r="L54">
        <v>49</v>
      </c>
      <c r="M54">
        <v>2021</v>
      </c>
      <c r="N54" t="s">
        <v>45</v>
      </c>
      <c r="O54">
        <v>0</v>
      </c>
    </row>
    <row r="55" spans="1:15" x14ac:dyDescent="0.25">
      <c r="A55">
        <v>49</v>
      </c>
      <c r="B55">
        <v>2050</v>
      </c>
      <c r="C55">
        <v>637</v>
      </c>
      <c r="D55">
        <v>159</v>
      </c>
      <c r="E55">
        <v>0</v>
      </c>
      <c r="F55" t="str" cm="1">
        <f t="array" ref="F55">_xlfn.XLOOKUP(A55&amp;B55,$L$2:$L$739&amp;$M$2:$M$739,$N$2:$N$739)</f>
        <v>Low</v>
      </c>
      <c r="G55">
        <f t="shared" si="0"/>
        <v>0</v>
      </c>
      <c r="H55" t="str">
        <f>_xlfn.XLOOKUP(A55,VE!$A$2:$A$247,VE!$B$2:$B$247)</f>
        <v>Salem_1</v>
      </c>
      <c r="I55" t="str" cm="1">
        <f t="array" ref="I55">_xlfn.IFS(OR(H55=$S$2,H55=$S$13,H55=$S$5),"Other",OR(H55=$S$3,H55=$S$4,H55=$S$7,H55=$S$10,H55=$S$11),"Salem",OR(H55=$S$6),"Keizer",OR(H55=$S$8,H55=$S$9,H55=$S$12),"Marion")</f>
        <v>Salem</v>
      </c>
      <c r="L55">
        <v>49</v>
      </c>
      <c r="M55">
        <v>2050</v>
      </c>
      <c r="N55" t="s">
        <v>45</v>
      </c>
      <c r="O55">
        <v>0</v>
      </c>
    </row>
    <row r="56" spans="1:15" x14ac:dyDescent="0.25">
      <c r="A56">
        <v>50</v>
      </c>
      <c r="B56">
        <v>2005</v>
      </c>
      <c r="C56">
        <v>135</v>
      </c>
      <c r="D56">
        <v>9</v>
      </c>
      <c r="E56">
        <v>0</v>
      </c>
      <c r="F56" t="str" cm="1">
        <f t="array" ref="F56">_xlfn.XLOOKUP(A56&amp;B56,$L$2:$L$739&amp;$M$2:$M$739,$N$2:$N$739)</f>
        <v>Low</v>
      </c>
      <c r="G56">
        <f t="shared" si="0"/>
        <v>0</v>
      </c>
      <c r="H56" t="str">
        <f>_xlfn.XLOOKUP(A56,VE!$A$2:$A$247,VE!$B$2:$B$247)</f>
        <v>Salem_1</v>
      </c>
      <c r="I56" t="str" cm="1">
        <f t="array" ref="I56">_xlfn.IFS(OR(H56=$S$2,H56=$S$13,H56=$S$5),"Other",OR(H56=$S$3,H56=$S$4,H56=$S$7,H56=$S$10,H56=$S$11),"Salem",OR(H56=$S$6),"Keizer",OR(H56=$S$8,H56=$S$9,H56=$S$12),"Marion")</f>
        <v>Salem</v>
      </c>
      <c r="L56">
        <v>50</v>
      </c>
      <c r="M56">
        <v>2005</v>
      </c>
      <c r="N56" t="s">
        <v>45</v>
      </c>
      <c r="O56">
        <v>0</v>
      </c>
    </row>
    <row r="57" spans="1:15" x14ac:dyDescent="0.25">
      <c r="A57">
        <v>50</v>
      </c>
      <c r="B57">
        <v>2021</v>
      </c>
      <c r="C57">
        <v>146</v>
      </c>
      <c r="D57">
        <v>4</v>
      </c>
      <c r="E57">
        <v>0</v>
      </c>
      <c r="F57" t="str" cm="1">
        <f t="array" ref="F57">_xlfn.XLOOKUP(A57&amp;B57,$L$2:$L$739&amp;$M$2:$M$739,$N$2:$N$739)</f>
        <v>Low</v>
      </c>
      <c r="G57">
        <f t="shared" si="0"/>
        <v>0</v>
      </c>
      <c r="H57" t="str">
        <f>_xlfn.XLOOKUP(A57,VE!$A$2:$A$247,VE!$B$2:$B$247)</f>
        <v>Salem_1</v>
      </c>
      <c r="I57" t="str" cm="1">
        <f t="array" ref="I57">_xlfn.IFS(OR(H57=$S$2,H57=$S$13,H57=$S$5),"Other",OR(H57=$S$3,H57=$S$4,H57=$S$7,H57=$S$10,H57=$S$11),"Salem",OR(H57=$S$6),"Keizer",OR(H57=$S$8,H57=$S$9,H57=$S$12),"Marion")</f>
        <v>Salem</v>
      </c>
      <c r="L57">
        <v>50</v>
      </c>
      <c r="M57">
        <v>2021</v>
      </c>
      <c r="N57" t="s">
        <v>45</v>
      </c>
      <c r="O57">
        <v>0</v>
      </c>
    </row>
    <row r="58" spans="1:15" x14ac:dyDescent="0.25">
      <c r="A58">
        <v>50</v>
      </c>
      <c r="B58">
        <v>2050</v>
      </c>
      <c r="C58">
        <v>656</v>
      </c>
      <c r="D58">
        <v>185</v>
      </c>
      <c r="E58">
        <v>0</v>
      </c>
      <c r="F58" t="str" cm="1">
        <f t="array" ref="F58">_xlfn.XLOOKUP(A58&amp;B58,$L$2:$L$739&amp;$M$2:$M$739,$N$2:$N$739)</f>
        <v>Low</v>
      </c>
      <c r="G58">
        <f t="shared" si="0"/>
        <v>0</v>
      </c>
      <c r="H58" t="str">
        <f>_xlfn.XLOOKUP(A58,VE!$A$2:$A$247,VE!$B$2:$B$247)</f>
        <v>Salem_1</v>
      </c>
      <c r="I58" t="str" cm="1">
        <f t="array" ref="I58">_xlfn.IFS(OR(H58=$S$2,H58=$S$13,H58=$S$5),"Other",OR(H58=$S$3,H58=$S$4,H58=$S$7,H58=$S$10,H58=$S$11),"Salem",OR(H58=$S$6),"Keizer",OR(H58=$S$8,H58=$S$9,H58=$S$12),"Marion")</f>
        <v>Salem</v>
      </c>
      <c r="L58">
        <v>50</v>
      </c>
      <c r="M58">
        <v>2050</v>
      </c>
      <c r="N58" t="s">
        <v>45</v>
      </c>
      <c r="O58">
        <v>0</v>
      </c>
    </row>
    <row r="59" spans="1:15" x14ac:dyDescent="0.25">
      <c r="A59">
        <v>51</v>
      </c>
      <c r="B59">
        <v>2005</v>
      </c>
      <c r="C59">
        <v>396</v>
      </c>
      <c r="D59">
        <v>35</v>
      </c>
      <c r="E59">
        <v>0</v>
      </c>
      <c r="F59" t="str" cm="1">
        <f t="array" ref="F59">_xlfn.XLOOKUP(A59&amp;B59,$L$2:$L$739&amp;$M$2:$M$739,$N$2:$N$739)</f>
        <v>Low</v>
      </c>
      <c r="G59">
        <f t="shared" si="0"/>
        <v>0</v>
      </c>
      <c r="H59" t="str">
        <f>_xlfn.XLOOKUP(A59,VE!$A$2:$A$247,VE!$B$2:$B$247)</f>
        <v>Salem_1</v>
      </c>
      <c r="I59" t="str" cm="1">
        <f t="array" ref="I59">_xlfn.IFS(OR(H59=$S$2,H59=$S$13,H59=$S$5),"Other",OR(H59=$S$3,H59=$S$4,H59=$S$7,H59=$S$10,H59=$S$11),"Salem",OR(H59=$S$6),"Keizer",OR(H59=$S$8,H59=$S$9,H59=$S$12),"Marion")</f>
        <v>Salem</v>
      </c>
      <c r="L59">
        <v>51</v>
      </c>
      <c r="M59">
        <v>2005</v>
      </c>
      <c r="N59" t="s">
        <v>45</v>
      </c>
      <c r="O59">
        <v>0</v>
      </c>
    </row>
    <row r="60" spans="1:15" x14ac:dyDescent="0.25">
      <c r="A60">
        <v>51</v>
      </c>
      <c r="B60">
        <v>2021</v>
      </c>
      <c r="C60">
        <v>430</v>
      </c>
      <c r="D60">
        <v>505</v>
      </c>
      <c r="E60">
        <v>0</v>
      </c>
      <c r="F60" t="str" cm="1">
        <f t="array" ref="F60">_xlfn.XLOOKUP(A60&amp;B60,$L$2:$L$739&amp;$M$2:$M$739,$N$2:$N$739)</f>
        <v>Low</v>
      </c>
      <c r="G60">
        <f t="shared" si="0"/>
        <v>0</v>
      </c>
      <c r="H60" t="str">
        <f>_xlfn.XLOOKUP(A60,VE!$A$2:$A$247,VE!$B$2:$B$247)</f>
        <v>Salem_1</v>
      </c>
      <c r="I60" t="str" cm="1">
        <f t="array" ref="I60">_xlfn.IFS(OR(H60=$S$2,H60=$S$13,H60=$S$5),"Other",OR(H60=$S$3,H60=$S$4,H60=$S$7,H60=$S$10,H60=$S$11),"Salem",OR(H60=$S$6),"Keizer",OR(H60=$S$8,H60=$S$9,H60=$S$12),"Marion")</f>
        <v>Salem</v>
      </c>
      <c r="L60">
        <v>51</v>
      </c>
      <c r="M60">
        <v>2021</v>
      </c>
      <c r="N60" t="s">
        <v>45</v>
      </c>
      <c r="O60">
        <v>0</v>
      </c>
    </row>
    <row r="61" spans="1:15" x14ac:dyDescent="0.25">
      <c r="A61">
        <v>51</v>
      </c>
      <c r="B61">
        <v>2050</v>
      </c>
      <c r="C61">
        <v>549</v>
      </c>
      <c r="D61">
        <v>670</v>
      </c>
      <c r="E61">
        <v>0</v>
      </c>
      <c r="F61" t="str" cm="1">
        <f t="array" ref="F61">_xlfn.XLOOKUP(A61&amp;B61,$L$2:$L$739&amp;$M$2:$M$739,$N$2:$N$739)</f>
        <v>Low</v>
      </c>
      <c r="G61">
        <f t="shared" si="0"/>
        <v>0</v>
      </c>
      <c r="H61" t="str">
        <f>_xlfn.XLOOKUP(A61,VE!$A$2:$A$247,VE!$B$2:$B$247)</f>
        <v>Salem_1</v>
      </c>
      <c r="I61" t="str" cm="1">
        <f t="array" ref="I61">_xlfn.IFS(OR(H61=$S$2,H61=$S$13,H61=$S$5),"Other",OR(H61=$S$3,H61=$S$4,H61=$S$7,H61=$S$10,H61=$S$11),"Salem",OR(H61=$S$6),"Keizer",OR(H61=$S$8,H61=$S$9,H61=$S$12),"Marion")</f>
        <v>Salem</v>
      </c>
      <c r="L61">
        <v>51</v>
      </c>
      <c r="M61">
        <v>2050</v>
      </c>
      <c r="N61" t="s">
        <v>45</v>
      </c>
      <c r="O61">
        <v>0</v>
      </c>
    </row>
    <row r="62" spans="1:15" x14ac:dyDescent="0.25">
      <c r="A62">
        <v>52</v>
      </c>
      <c r="B62">
        <v>2005</v>
      </c>
      <c r="C62">
        <v>528</v>
      </c>
      <c r="D62">
        <v>156</v>
      </c>
      <c r="E62">
        <v>0</v>
      </c>
      <c r="F62" t="str" cm="1">
        <f t="array" ref="F62">_xlfn.XLOOKUP(A62&amp;B62,$L$2:$L$739&amp;$M$2:$M$739,$N$2:$N$739)</f>
        <v>Low</v>
      </c>
      <c r="G62">
        <f t="shared" si="0"/>
        <v>0</v>
      </c>
      <c r="H62" t="str">
        <f>_xlfn.XLOOKUP(A62,VE!$A$2:$A$247,VE!$B$2:$B$247)</f>
        <v>Salem_1</v>
      </c>
      <c r="I62" t="str" cm="1">
        <f t="array" ref="I62">_xlfn.IFS(OR(H62=$S$2,H62=$S$13,H62=$S$5),"Other",OR(H62=$S$3,H62=$S$4,H62=$S$7,H62=$S$10,H62=$S$11),"Salem",OR(H62=$S$6),"Keizer",OR(H62=$S$8,H62=$S$9,H62=$S$12),"Marion")</f>
        <v>Salem</v>
      </c>
      <c r="L62">
        <v>52</v>
      </c>
      <c r="M62">
        <v>2005</v>
      </c>
      <c r="N62" t="s">
        <v>45</v>
      </c>
      <c r="O62">
        <v>0</v>
      </c>
    </row>
    <row r="63" spans="1:15" x14ac:dyDescent="0.25">
      <c r="A63">
        <v>52</v>
      </c>
      <c r="B63">
        <v>2021</v>
      </c>
      <c r="C63">
        <v>528</v>
      </c>
      <c r="D63">
        <v>156</v>
      </c>
      <c r="E63">
        <v>0</v>
      </c>
      <c r="F63" t="str" cm="1">
        <f t="array" ref="F63">_xlfn.XLOOKUP(A63&amp;B63,$L$2:$L$739&amp;$M$2:$M$739,$N$2:$N$739)</f>
        <v>Low</v>
      </c>
      <c r="G63">
        <f t="shared" si="0"/>
        <v>0</v>
      </c>
      <c r="H63" t="str">
        <f>_xlfn.XLOOKUP(A63,VE!$A$2:$A$247,VE!$B$2:$B$247)</f>
        <v>Salem_1</v>
      </c>
      <c r="I63" t="str" cm="1">
        <f t="array" ref="I63">_xlfn.IFS(OR(H63=$S$2,H63=$S$13,H63=$S$5),"Other",OR(H63=$S$3,H63=$S$4,H63=$S$7,H63=$S$10,H63=$S$11),"Salem",OR(H63=$S$6),"Keizer",OR(H63=$S$8,H63=$S$9,H63=$S$12),"Marion")</f>
        <v>Salem</v>
      </c>
      <c r="L63">
        <v>52</v>
      </c>
      <c r="M63">
        <v>2021</v>
      </c>
      <c r="N63" t="s">
        <v>45</v>
      </c>
      <c r="O63">
        <v>0</v>
      </c>
    </row>
    <row r="64" spans="1:15" x14ac:dyDescent="0.25">
      <c r="A64">
        <v>52</v>
      </c>
      <c r="B64">
        <v>2050</v>
      </c>
      <c r="C64">
        <v>529</v>
      </c>
      <c r="D64">
        <v>207</v>
      </c>
      <c r="E64">
        <v>0</v>
      </c>
      <c r="F64" t="str" cm="1">
        <f t="array" ref="F64">_xlfn.XLOOKUP(A64&amp;B64,$L$2:$L$739&amp;$M$2:$M$739,$N$2:$N$739)</f>
        <v>Low</v>
      </c>
      <c r="G64">
        <f t="shared" si="0"/>
        <v>0</v>
      </c>
      <c r="H64" t="str">
        <f>_xlfn.XLOOKUP(A64,VE!$A$2:$A$247,VE!$B$2:$B$247)</f>
        <v>Salem_1</v>
      </c>
      <c r="I64" t="str" cm="1">
        <f t="array" ref="I64">_xlfn.IFS(OR(H64=$S$2,H64=$S$13,H64=$S$5),"Other",OR(H64=$S$3,H64=$S$4,H64=$S$7,H64=$S$10,H64=$S$11),"Salem",OR(H64=$S$6),"Keizer",OR(H64=$S$8,H64=$S$9,H64=$S$12),"Marion")</f>
        <v>Salem</v>
      </c>
      <c r="L64">
        <v>52</v>
      </c>
      <c r="M64">
        <v>2050</v>
      </c>
      <c r="N64" t="s">
        <v>45</v>
      </c>
      <c r="O64">
        <v>0</v>
      </c>
    </row>
    <row r="65" spans="1:15" x14ac:dyDescent="0.25">
      <c r="A65">
        <v>53</v>
      </c>
      <c r="B65">
        <v>2005</v>
      </c>
      <c r="C65">
        <v>151</v>
      </c>
      <c r="D65">
        <v>0</v>
      </c>
      <c r="E65">
        <v>0</v>
      </c>
      <c r="F65" t="str" cm="1">
        <f t="array" ref="F65">_xlfn.XLOOKUP(A65&amp;B65,$L$2:$L$739&amp;$M$2:$M$739,$N$2:$N$739)</f>
        <v>Low</v>
      </c>
      <c r="G65">
        <f t="shared" si="0"/>
        <v>0</v>
      </c>
      <c r="H65" t="str">
        <f>_xlfn.XLOOKUP(A65,VE!$A$2:$A$247,VE!$B$2:$B$247)</f>
        <v>Salem_1</v>
      </c>
      <c r="I65" t="str" cm="1">
        <f t="array" ref="I65">_xlfn.IFS(OR(H65=$S$2,H65=$S$13,H65=$S$5),"Other",OR(H65=$S$3,H65=$S$4,H65=$S$7,H65=$S$10,H65=$S$11),"Salem",OR(H65=$S$6),"Keizer",OR(H65=$S$8,H65=$S$9,H65=$S$12),"Marion")</f>
        <v>Salem</v>
      </c>
      <c r="L65">
        <v>53</v>
      </c>
      <c r="M65">
        <v>2005</v>
      </c>
      <c r="N65" t="s">
        <v>45</v>
      </c>
      <c r="O65">
        <v>0</v>
      </c>
    </row>
    <row r="66" spans="1:15" x14ac:dyDescent="0.25">
      <c r="A66">
        <v>53</v>
      </c>
      <c r="B66">
        <v>2021</v>
      </c>
      <c r="C66">
        <v>47</v>
      </c>
      <c r="D66">
        <v>264</v>
      </c>
      <c r="E66">
        <v>0</v>
      </c>
      <c r="F66" t="str" cm="1">
        <f t="array" ref="F66">_xlfn.XLOOKUP(A66&amp;B66,$L$2:$L$739&amp;$M$2:$M$739,$N$2:$N$739)</f>
        <v>Low</v>
      </c>
      <c r="G66">
        <f t="shared" si="0"/>
        <v>0</v>
      </c>
      <c r="H66" t="str">
        <f>_xlfn.XLOOKUP(A66,VE!$A$2:$A$247,VE!$B$2:$B$247)</f>
        <v>Salem_1</v>
      </c>
      <c r="I66" t="str" cm="1">
        <f t="array" ref="I66">_xlfn.IFS(OR(H66=$S$2,H66=$S$13,H66=$S$5),"Other",OR(H66=$S$3,H66=$S$4,H66=$S$7,H66=$S$10,H66=$S$11),"Salem",OR(H66=$S$6),"Keizer",OR(H66=$S$8,H66=$S$9,H66=$S$12),"Marion")</f>
        <v>Salem</v>
      </c>
      <c r="L66">
        <v>53</v>
      </c>
      <c r="M66">
        <v>2021</v>
      </c>
      <c r="N66" t="s">
        <v>45</v>
      </c>
      <c r="O66">
        <v>0</v>
      </c>
    </row>
    <row r="67" spans="1:15" x14ac:dyDescent="0.25">
      <c r="A67">
        <v>53</v>
      </c>
      <c r="B67">
        <v>2050</v>
      </c>
      <c r="C67">
        <v>78</v>
      </c>
      <c r="D67">
        <v>331</v>
      </c>
      <c r="E67">
        <v>0</v>
      </c>
      <c r="F67" t="str" cm="1">
        <f t="array" ref="F67">_xlfn.XLOOKUP(A67&amp;B67,$L$2:$L$739&amp;$M$2:$M$739,$N$2:$N$739)</f>
        <v>Low</v>
      </c>
      <c r="G67">
        <f t="shared" ref="G67:G130" si="1">IF(F67="High",SUM(C67:D67),0)</f>
        <v>0</v>
      </c>
      <c r="H67" t="str">
        <f>_xlfn.XLOOKUP(A67,VE!$A$2:$A$247,VE!$B$2:$B$247)</f>
        <v>Salem_1</v>
      </c>
      <c r="I67" t="str" cm="1">
        <f t="array" ref="I67">_xlfn.IFS(OR(H67=$S$2,H67=$S$13,H67=$S$5),"Other",OR(H67=$S$3,H67=$S$4,H67=$S$7,H67=$S$10,H67=$S$11),"Salem",OR(H67=$S$6),"Keizer",OR(H67=$S$8,H67=$S$9,H67=$S$12),"Marion")</f>
        <v>Salem</v>
      </c>
      <c r="L67">
        <v>53</v>
      </c>
      <c r="M67">
        <v>2050</v>
      </c>
      <c r="N67" t="s">
        <v>45</v>
      </c>
      <c r="O67">
        <v>0</v>
      </c>
    </row>
    <row r="68" spans="1:15" x14ac:dyDescent="0.25">
      <c r="A68">
        <v>54</v>
      </c>
      <c r="B68">
        <v>2005</v>
      </c>
      <c r="C68">
        <v>823</v>
      </c>
      <c r="D68">
        <v>106</v>
      </c>
      <c r="E68">
        <v>0</v>
      </c>
      <c r="F68" t="str" cm="1">
        <f t="array" ref="F68">_xlfn.XLOOKUP(A68&amp;B68,$L$2:$L$739&amp;$M$2:$M$739,$N$2:$N$739)</f>
        <v>Low</v>
      </c>
      <c r="G68">
        <f t="shared" si="1"/>
        <v>0</v>
      </c>
      <c r="H68" t="str">
        <f>_xlfn.XLOOKUP(A68,VE!$A$2:$A$247,VE!$B$2:$B$247)</f>
        <v>Salem_1</v>
      </c>
      <c r="I68" t="str" cm="1">
        <f t="array" ref="I68">_xlfn.IFS(OR(H68=$S$2,H68=$S$13,H68=$S$5),"Other",OR(H68=$S$3,H68=$S$4,H68=$S$7,H68=$S$10,H68=$S$11),"Salem",OR(H68=$S$6),"Keizer",OR(H68=$S$8,H68=$S$9,H68=$S$12),"Marion")</f>
        <v>Salem</v>
      </c>
      <c r="L68">
        <v>54</v>
      </c>
      <c r="M68">
        <v>2005</v>
      </c>
      <c r="N68" t="s">
        <v>45</v>
      </c>
      <c r="O68">
        <v>0</v>
      </c>
    </row>
    <row r="69" spans="1:15" x14ac:dyDescent="0.25">
      <c r="A69">
        <v>54</v>
      </c>
      <c r="B69">
        <v>2021</v>
      </c>
      <c r="C69">
        <v>912</v>
      </c>
      <c r="D69">
        <v>37</v>
      </c>
      <c r="E69">
        <v>0</v>
      </c>
      <c r="F69" t="str" cm="1">
        <f t="array" ref="F69">_xlfn.XLOOKUP(A69&amp;B69,$L$2:$L$739&amp;$M$2:$M$739,$N$2:$N$739)</f>
        <v>Low</v>
      </c>
      <c r="G69">
        <f t="shared" si="1"/>
        <v>0</v>
      </c>
      <c r="H69" t="str">
        <f>_xlfn.XLOOKUP(A69,VE!$A$2:$A$247,VE!$B$2:$B$247)</f>
        <v>Salem_1</v>
      </c>
      <c r="I69" t="str" cm="1">
        <f t="array" ref="I69">_xlfn.IFS(OR(H69=$S$2,H69=$S$13,H69=$S$5),"Other",OR(H69=$S$3,H69=$S$4,H69=$S$7,H69=$S$10,H69=$S$11),"Salem",OR(H69=$S$6),"Keizer",OR(H69=$S$8,H69=$S$9,H69=$S$12),"Marion")</f>
        <v>Salem</v>
      </c>
      <c r="L69">
        <v>54</v>
      </c>
      <c r="M69">
        <v>2021</v>
      </c>
      <c r="N69" t="s">
        <v>45</v>
      </c>
      <c r="O69">
        <v>0</v>
      </c>
    </row>
    <row r="70" spans="1:15" x14ac:dyDescent="0.25">
      <c r="A70">
        <v>54</v>
      </c>
      <c r="B70">
        <v>2050</v>
      </c>
      <c r="C70">
        <v>967</v>
      </c>
      <c r="D70">
        <v>37</v>
      </c>
      <c r="E70">
        <v>0</v>
      </c>
      <c r="F70" t="str" cm="1">
        <f t="array" ref="F70">_xlfn.XLOOKUP(A70&amp;B70,$L$2:$L$739&amp;$M$2:$M$739,$N$2:$N$739)</f>
        <v>Low</v>
      </c>
      <c r="G70">
        <f t="shared" si="1"/>
        <v>0</v>
      </c>
      <c r="H70" t="str">
        <f>_xlfn.XLOOKUP(A70,VE!$A$2:$A$247,VE!$B$2:$B$247)</f>
        <v>Salem_1</v>
      </c>
      <c r="I70" t="str" cm="1">
        <f t="array" ref="I70">_xlfn.IFS(OR(H70=$S$2,H70=$S$13,H70=$S$5),"Other",OR(H70=$S$3,H70=$S$4,H70=$S$7,H70=$S$10,H70=$S$11),"Salem",OR(H70=$S$6),"Keizer",OR(H70=$S$8,H70=$S$9,H70=$S$12),"Marion")</f>
        <v>Salem</v>
      </c>
      <c r="L70">
        <v>54</v>
      </c>
      <c r="M70">
        <v>2050</v>
      </c>
      <c r="N70" t="s">
        <v>45</v>
      </c>
      <c r="O70">
        <v>0</v>
      </c>
    </row>
    <row r="71" spans="1:15" x14ac:dyDescent="0.25">
      <c r="A71">
        <v>55</v>
      </c>
      <c r="B71">
        <v>2005</v>
      </c>
      <c r="C71">
        <v>8</v>
      </c>
      <c r="D71">
        <v>0</v>
      </c>
      <c r="E71">
        <v>0</v>
      </c>
      <c r="F71" t="str" cm="1">
        <f t="array" ref="F71">_xlfn.XLOOKUP(A71&amp;B71,$L$2:$L$739&amp;$M$2:$M$739,$N$2:$N$739)</f>
        <v>Low</v>
      </c>
      <c r="G71">
        <f t="shared" si="1"/>
        <v>0</v>
      </c>
      <c r="H71" t="str">
        <f>_xlfn.XLOOKUP(A71,VE!$A$2:$A$247,VE!$B$2:$B$247)</f>
        <v>Salem_1</v>
      </c>
      <c r="I71" t="str" cm="1">
        <f t="array" ref="I71">_xlfn.IFS(OR(H71=$S$2,H71=$S$13,H71=$S$5),"Other",OR(H71=$S$3,H71=$S$4,H71=$S$7,H71=$S$10,H71=$S$11),"Salem",OR(H71=$S$6),"Keizer",OR(H71=$S$8,H71=$S$9,H71=$S$12),"Marion")</f>
        <v>Salem</v>
      </c>
      <c r="L71">
        <v>55</v>
      </c>
      <c r="M71">
        <v>2005</v>
      </c>
      <c r="N71" t="s">
        <v>45</v>
      </c>
      <c r="O71">
        <v>0</v>
      </c>
    </row>
    <row r="72" spans="1:15" x14ac:dyDescent="0.25">
      <c r="A72">
        <v>55</v>
      </c>
      <c r="B72">
        <v>2021</v>
      </c>
      <c r="C72">
        <v>161</v>
      </c>
      <c r="D72">
        <v>0</v>
      </c>
      <c r="E72">
        <v>0</v>
      </c>
      <c r="F72" t="str" cm="1">
        <f t="array" ref="F72">_xlfn.XLOOKUP(A72&amp;B72,$L$2:$L$739&amp;$M$2:$M$739,$N$2:$N$739)</f>
        <v>Low</v>
      </c>
      <c r="G72">
        <f t="shared" si="1"/>
        <v>0</v>
      </c>
      <c r="H72" t="str">
        <f>_xlfn.XLOOKUP(A72,VE!$A$2:$A$247,VE!$B$2:$B$247)</f>
        <v>Salem_1</v>
      </c>
      <c r="I72" t="str" cm="1">
        <f t="array" ref="I72">_xlfn.IFS(OR(H72=$S$2,H72=$S$13,H72=$S$5),"Other",OR(H72=$S$3,H72=$S$4,H72=$S$7,H72=$S$10,H72=$S$11),"Salem",OR(H72=$S$6),"Keizer",OR(H72=$S$8,H72=$S$9,H72=$S$12),"Marion")</f>
        <v>Salem</v>
      </c>
      <c r="L72">
        <v>55</v>
      </c>
      <c r="M72">
        <v>2021</v>
      </c>
      <c r="N72" t="s">
        <v>45</v>
      </c>
      <c r="O72">
        <v>0</v>
      </c>
    </row>
    <row r="73" spans="1:15" x14ac:dyDescent="0.25">
      <c r="A73">
        <v>55</v>
      </c>
      <c r="B73">
        <v>2050</v>
      </c>
      <c r="C73">
        <v>194</v>
      </c>
      <c r="D73">
        <v>48</v>
      </c>
      <c r="E73">
        <v>0</v>
      </c>
      <c r="F73" t="str" cm="1">
        <f t="array" ref="F73">_xlfn.XLOOKUP(A73&amp;B73,$L$2:$L$739&amp;$M$2:$M$739,$N$2:$N$739)</f>
        <v>Low</v>
      </c>
      <c r="G73">
        <f t="shared" si="1"/>
        <v>0</v>
      </c>
      <c r="H73" t="str">
        <f>_xlfn.XLOOKUP(A73,VE!$A$2:$A$247,VE!$B$2:$B$247)</f>
        <v>Salem_1</v>
      </c>
      <c r="I73" t="str" cm="1">
        <f t="array" ref="I73">_xlfn.IFS(OR(H73=$S$2,H73=$S$13,H73=$S$5),"Other",OR(H73=$S$3,H73=$S$4,H73=$S$7,H73=$S$10,H73=$S$11),"Salem",OR(H73=$S$6),"Keizer",OR(H73=$S$8,H73=$S$9,H73=$S$12),"Marion")</f>
        <v>Salem</v>
      </c>
      <c r="L73">
        <v>55</v>
      </c>
      <c r="M73">
        <v>2050</v>
      </c>
      <c r="N73" t="s">
        <v>45</v>
      </c>
      <c r="O73">
        <v>0</v>
      </c>
    </row>
    <row r="74" spans="1:15" x14ac:dyDescent="0.25">
      <c r="A74">
        <v>56</v>
      </c>
      <c r="B74">
        <v>2005</v>
      </c>
      <c r="C74">
        <v>608</v>
      </c>
      <c r="D74">
        <v>27</v>
      </c>
      <c r="E74">
        <v>0</v>
      </c>
      <c r="F74" t="str" cm="1">
        <f t="array" ref="F74">_xlfn.XLOOKUP(A74&amp;B74,$L$2:$L$739&amp;$M$2:$M$739,$N$2:$N$739)</f>
        <v>Low</v>
      </c>
      <c r="G74">
        <f t="shared" si="1"/>
        <v>0</v>
      </c>
      <c r="H74" t="str">
        <f>_xlfn.XLOOKUP(A74,VE!$A$2:$A$247,VE!$B$2:$B$247)</f>
        <v>Polk</v>
      </c>
      <c r="I74" t="str" cm="1">
        <f t="array" ref="I74">_xlfn.IFS(OR(H74=$S$2,H74=$S$13,H74=$S$5),"Other",OR(H74=$S$3,H74=$S$4,H74=$S$7,H74=$S$10,H74=$S$11),"Salem",OR(H74=$S$6),"Keizer",OR(H74=$S$8,H74=$S$9,H74=$S$12),"Marion")</f>
        <v>Other</v>
      </c>
      <c r="L74">
        <v>56</v>
      </c>
      <c r="M74">
        <v>2005</v>
      </c>
      <c r="N74" t="s">
        <v>45</v>
      </c>
      <c r="O74">
        <v>0</v>
      </c>
    </row>
    <row r="75" spans="1:15" x14ac:dyDescent="0.25">
      <c r="A75">
        <v>56</v>
      </c>
      <c r="B75">
        <v>2021</v>
      </c>
      <c r="C75">
        <v>782</v>
      </c>
      <c r="D75">
        <v>0</v>
      </c>
      <c r="E75">
        <v>0</v>
      </c>
      <c r="F75" t="str" cm="1">
        <f t="array" ref="F75">_xlfn.XLOOKUP(A75&amp;B75,$L$2:$L$739&amp;$M$2:$M$739,$N$2:$N$739)</f>
        <v>Low</v>
      </c>
      <c r="G75">
        <f t="shared" si="1"/>
        <v>0</v>
      </c>
      <c r="H75" t="str">
        <f>_xlfn.XLOOKUP(A75,VE!$A$2:$A$247,VE!$B$2:$B$247)</f>
        <v>Polk</v>
      </c>
      <c r="I75" t="str" cm="1">
        <f t="array" ref="I75">_xlfn.IFS(OR(H75=$S$2,H75=$S$13,H75=$S$5),"Other",OR(H75=$S$3,H75=$S$4,H75=$S$7,H75=$S$10,H75=$S$11),"Salem",OR(H75=$S$6),"Keizer",OR(H75=$S$8,H75=$S$9,H75=$S$12),"Marion")</f>
        <v>Other</v>
      </c>
      <c r="L75">
        <v>56</v>
      </c>
      <c r="M75">
        <v>2021</v>
      </c>
      <c r="N75" t="s">
        <v>45</v>
      </c>
      <c r="O75">
        <v>0</v>
      </c>
    </row>
    <row r="76" spans="1:15" x14ac:dyDescent="0.25">
      <c r="A76">
        <v>56</v>
      </c>
      <c r="B76">
        <v>2050</v>
      </c>
      <c r="C76">
        <v>957</v>
      </c>
      <c r="D76">
        <v>8</v>
      </c>
      <c r="E76">
        <v>0</v>
      </c>
      <c r="F76" t="str" cm="1">
        <f t="array" ref="F76">_xlfn.XLOOKUP(A76&amp;B76,$L$2:$L$739&amp;$M$2:$M$739,$N$2:$N$739)</f>
        <v>Low</v>
      </c>
      <c r="G76">
        <f t="shared" si="1"/>
        <v>0</v>
      </c>
      <c r="H76" t="str">
        <f>_xlfn.XLOOKUP(A76,VE!$A$2:$A$247,VE!$B$2:$B$247)</f>
        <v>Polk</v>
      </c>
      <c r="I76" t="str" cm="1">
        <f t="array" ref="I76">_xlfn.IFS(OR(H76=$S$2,H76=$S$13,H76=$S$5),"Other",OR(H76=$S$3,H76=$S$4,H76=$S$7,H76=$S$10,H76=$S$11),"Salem",OR(H76=$S$6),"Keizer",OR(H76=$S$8,H76=$S$9,H76=$S$12),"Marion")</f>
        <v>Other</v>
      </c>
      <c r="L76">
        <v>56</v>
      </c>
      <c r="M76">
        <v>2050</v>
      </c>
      <c r="N76" t="s">
        <v>45</v>
      </c>
      <c r="O76">
        <v>0</v>
      </c>
    </row>
    <row r="77" spans="1:15" x14ac:dyDescent="0.25">
      <c r="A77">
        <v>61</v>
      </c>
      <c r="B77">
        <v>2005</v>
      </c>
      <c r="C77">
        <v>27</v>
      </c>
      <c r="D77">
        <v>475</v>
      </c>
      <c r="E77">
        <v>0</v>
      </c>
      <c r="F77" t="str" cm="1">
        <f t="array" ref="F77">_xlfn.XLOOKUP(A77&amp;B77,$L$2:$L$739&amp;$M$2:$M$739,$N$2:$N$739)</f>
        <v>Low</v>
      </c>
      <c r="G77">
        <f t="shared" si="1"/>
        <v>0</v>
      </c>
      <c r="H77" t="str">
        <f>_xlfn.XLOOKUP(A77,VE!$A$2:$A$247,VE!$B$2:$B$247)</f>
        <v>Salem_2</v>
      </c>
      <c r="I77" t="str" cm="1">
        <f t="array" ref="I77">_xlfn.IFS(OR(H77=$S$2,H77=$S$13,H77=$S$5),"Other",OR(H77=$S$3,H77=$S$4,H77=$S$7,H77=$S$10,H77=$S$11),"Salem",OR(H77=$S$6),"Keizer",OR(H77=$S$8,H77=$S$9,H77=$S$12),"Marion")</f>
        <v>Salem</v>
      </c>
      <c r="L77">
        <v>61</v>
      </c>
      <c r="M77">
        <v>2005</v>
      </c>
      <c r="N77" t="s">
        <v>45</v>
      </c>
      <c r="O77">
        <v>0</v>
      </c>
    </row>
    <row r="78" spans="1:15" x14ac:dyDescent="0.25">
      <c r="A78">
        <v>61</v>
      </c>
      <c r="B78">
        <v>2021</v>
      </c>
      <c r="C78">
        <v>27</v>
      </c>
      <c r="D78">
        <v>475</v>
      </c>
      <c r="E78">
        <v>0</v>
      </c>
      <c r="F78" t="str" cm="1">
        <f t="array" ref="F78">_xlfn.XLOOKUP(A78&amp;B78,$L$2:$L$739&amp;$M$2:$M$739,$N$2:$N$739)</f>
        <v>Low</v>
      </c>
      <c r="G78">
        <f t="shared" si="1"/>
        <v>0</v>
      </c>
      <c r="H78" t="str">
        <f>_xlfn.XLOOKUP(A78,VE!$A$2:$A$247,VE!$B$2:$B$247)</f>
        <v>Salem_2</v>
      </c>
      <c r="I78" t="str" cm="1">
        <f t="array" ref="I78">_xlfn.IFS(OR(H78=$S$2,H78=$S$13,H78=$S$5),"Other",OR(H78=$S$3,H78=$S$4,H78=$S$7,H78=$S$10,H78=$S$11),"Salem",OR(H78=$S$6),"Keizer",OR(H78=$S$8,H78=$S$9,H78=$S$12),"Marion")</f>
        <v>Salem</v>
      </c>
      <c r="L78">
        <v>61</v>
      </c>
      <c r="M78">
        <v>2021</v>
      </c>
      <c r="N78" t="s">
        <v>45</v>
      </c>
      <c r="O78">
        <v>0</v>
      </c>
    </row>
    <row r="79" spans="1:15" x14ac:dyDescent="0.25">
      <c r="A79">
        <v>61</v>
      </c>
      <c r="B79">
        <v>2050</v>
      </c>
      <c r="C79">
        <v>26</v>
      </c>
      <c r="D79">
        <v>504</v>
      </c>
      <c r="E79">
        <v>0</v>
      </c>
      <c r="F79" t="str" cm="1">
        <f t="array" ref="F79">_xlfn.XLOOKUP(A79&amp;B79,$L$2:$L$739&amp;$M$2:$M$739,$N$2:$N$739)</f>
        <v>Low</v>
      </c>
      <c r="G79">
        <f t="shared" si="1"/>
        <v>0</v>
      </c>
      <c r="H79" t="str">
        <f>_xlfn.XLOOKUP(A79,VE!$A$2:$A$247,VE!$B$2:$B$247)</f>
        <v>Salem_2</v>
      </c>
      <c r="I79" t="str" cm="1">
        <f t="array" ref="I79">_xlfn.IFS(OR(H79=$S$2,H79=$S$13,H79=$S$5),"Other",OR(H79=$S$3,H79=$S$4,H79=$S$7,H79=$S$10,H79=$S$11),"Salem",OR(H79=$S$6),"Keizer",OR(H79=$S$8,H79=$S$9,H79=$S$12),"Marion")</f>
        <v>Salem</v>
      </c>
      <c r="L79">
        <v>61</v>
      </c>
      <c r="M79">
        <v>2050</v>
      </c>
      <c r="N79" t="s">
        <v>45</v>
      </c>
      <c r="O79">
        <v>0</v>
      </c>
    </row>
    <row r="80" spans="1:15" x14ac:dyDescent="0.25">
      <c r="A80">
        <v>64</v>
      </c>
      <c r="B80">
        <v>2005</v>
      </c>
      <c r="C80">
        <v>0</v>
      </c>
      <c r="D80">
        <v>1</v>
      </c>
      <c r="E80">
        <v>0</v>
      </c>
      <c r="F80" t="str" cm="1">
        <f t="array" ref="F80">_xlfn.XLOOKUP(A80&amp;B80,$L$2:$L$739&amp;$M$2:$M$739,$N$2:$N$739)</f>
        <v>Low</v>
      </c>
      <c r="G80">
        <f t="shared" si="1"/>
        <v>0</v>
      </c>
      <c r="H80" t="str">
        <f>_xlfn.XLOOKUP(A80,VE!$A$2:$A$247,VE!$B$2:$B$247)</f>
        <v>Salem_2</v>
      </c>
      <c r="I80" t="str" cm="1">
        <f t="array" ref="I80">_xlfn.IFS(OR(H80=$S$2,H80=$S$13,H80=$S$5),"Other",OR(H80=$S$3,H80=$S$4,H80=$S$7,H80=$S$10,H80=$S$11),"Salem",OR(H80=$S$6),"Keizer",OR(H80=$S$8,H80=$S$9,H80=$S$12),"Marion")</f>
        <v>Salem</v>
      </c>
      <c r="L80">
        <v>64</v>
      </c>
      <c r="M80">
        <v>2005</v>
      </c>
      <c r="N80" t="s">
        <v>45</v>
      </c>
      <c r="O80">
        <v>0</v>
      </c>
    </row>
    <row r="81" spans="1:15" x14ac:dyDescent="0.25">
      <c r="A81">
        <v>64</v>
      </c>
      <c r="B81">
        <v>2021</v>
      </c>
      <c r="C81">
        <v>0</v>
      </c>
      <c r="D81">
        <v>1</v>
      </c>
      <c r="E81">
        <v>0</v>
      </c>
      <c r="F81" t="str" cm="1">
        <f t="array" ref="F81">_xlfn.XLOOKUP(A81&amp;B81,$L$2:$L$739&amp;$M$2:$M$739,$N$2:$N$739)</f>
        <v>High</v>
      </c>
      <c r="G81">
        <f t="shared" si="1"/>
        <v>1</v>
      </c>
      <c r="H81" t="str">
        <f>_xlfn.XLOOKUP(A81,VE!$A$2:$A$247,VE!$B$2:$B$247)</f>
        <v>Salem_2</v>
      </c>
      <c r="I81" t="str" cm="1">
        <f t="array" ref="I81">_xlfn.IFS(OR(H81=$S$2,H81=$S$13,H81=$S$5),"Other",OR(H81=$S$3,H81=$S$4,H81=$S$7,H81=$S$10,H81=$S$11),"Salem",OR(H81=$S$6),"Keizer",OR(H81=$S$8,H81=$S$9,H81=$S$12),"Marion")</f>
        <v>Salem</v>
      </c>
      <c r="L81">
        <v>64</v>
      </c>
      <c r="M81">
        <v>2021</v>
      </c>
      <c r="N81" t="s">
        <v>46</v>
      </c>
      <c r="O81">
        <v>1</v>
      </c>
    </row>
    <row r="82" spans="1:15" x14ac:dyDescent="0.25">
      <c r="A82">
        <v>64</v>
      </c>
      <c r="B82">
        <v>2050</v>
      </c>
      <c r="C82">
        <v>0</v>
      </c>
      <c r="D82">
        <v>228</v>
      </c>
      <c r="E82">
        <v>0</v>
      </c>
      <c r="F82" t="str" cm="1">
        <f t="array" ref="F82">_xlfn.XLOOKUP(A82&amp;B82,$L$2:$L$739&amp;$M$2:$M$739,$N$2:$N$739)</f>
        <v>High</v>
      </c>
      <c r="G82">
        <f t="shared" si="1"/>
        <v>228</v>
      </c>
      <c r="H82" t="str">
        <f>_xlfn.XLOOKUP(A82,VE!$A$2:$A$247,VE!$B$2:$B$247)</f>
        <v>Salem_2</v>
      </c>
      <c r="I82" t="str" cm="1">
        <f t="array" ref="I82">_xlfn.IFS(OR(H82=$S$2,H82=$S$13,H82=$S$5),"Other",OR(H82=$S$3,H82=$S$4,H82=$S$7,H82=$S$10,H82=$S$11),"Salem",OR(H82=$S$6),"Keizer",OR(H82=$S$8,H82=$S$9,H82=$S$12),"Marion")</f>
        <v>Salem</v>
      </c>
      <c r="L82">
        <v>64</v>
      </c>
      <c r="M82">
        <v>2050</v>
      </c>
      <c r="N82" t="s">
        <v>46</v>
      </c>
      <c r="O82">
        <v>1</v>
      </c>
    </row>
    <row r="83" spans="1:15" x14ac:dyDescent="0.25">
      <c r="A83">
        <v>65</v>
      </c>
      <c r="B83">
        <v>2005</v>
      </c>
      <c r="C83">
        <v>221</v>
      </c>
      <c r="D83">
        <v>5</v>
      </c>
      <c r="E83">
        <v>0</v>
      </c>
      <c r="F83" t="str" cm="1">
        <f t="array" ref="F83">_xlfn.XLOOKUP(A83&amp;B83,$L$2:$L$739&amp;$M$2:$M$739,$N$2:$N$739)</f>
        <v>Low</v>
      </c>
      <c r="G83">
        <f t="shared" si="1"/>
        <v>0</v>
      </c>
      <c r="H83" t="str">
        <f>_xlfn.XLOOKUP(A83,VE!$A$2:$A$247,VE!$B$2:$B$247)</f>
        <v>Salem_1</v>
      </c>
      <c r="I83" t="str" cm="1">
        <f t="array" ref="I83">_xlfn.IFS(OR(H83=$S$2,H83=$S$13,H83=$S$5),"Other",OR(H83=$S$3,H83=$S$4,H83=$S$7,H83=$S$10,H83=$S$11),"Salem",OR(H83=$S$6),"Keizer",OR(H83=$S$8,H83=$S$9,H83=$S$12),"Marion")</f>
        <v>Salem</v>
      </c>
      <c r="L83">
        <v>65</v>
      </c>
      <c r="M83">
        <v>2005</v>
      </c>
      <c r="N83" t="s">
        <v>45</v>
      </c>
      <c r="O83">
        <v>0</v>
      </c>
    </row>
    <row r="84" spans="1:15" x14ac:dyDescent="0.25">
      <c r="A84">
        <v>65</v>
      </c>
      <c r="B84">
        <v>2021</v>
      </c>
      <c r="C84">
        <v>227</v>
      </c>
      <c r="D84">
        <v>15</v>
      </c>
      <c r="E84">
        <v>0</v>
      </c>
      <c r="F84" t="str" cm="1">
        <f t="array" ref="F84">_xlfn.XLOOKUP(A84&amp;B84,$L$2:$L$739&amp;$M$2:$M$739,$N$2:$N$739)</f>
        <v>Low</v>
      </c>
      <c r="G84">
        <f t="shared" si="1"/>
        <v>0</v>
      </c>
      <c r="H84" t="str">
        <f>_xlfn.XLOOKUP(A84,VE!$A$2:$A$247,VE!$B$2:$B$247)</f>
        <v>Salem_1</v>
      </c>
      <c r="I84" t="str" cm="1">
        <f t="array" ref="I84">_xlfn.IFS(OR(H84=$S$2,H84=$S$13,H84=$S$5),"Other",OR(H84=$S$3,H84=$S$4,H84=$S$7,H84=$S$10,H84=$S$11),"Salem",OR(H84=$S$6),"Keizer",OR(H84=$S$8,H84=$S$9,H84=$S$12),"Marion")</f>
        <v>Salem</v>
      </c>
      <c r="L84">
        <v>65</v>
      </c>
      <c r="M84">
        <v>2021</v>
      </c>
      <c r="N84" t="s">
        <v>45</v>
      </c>
      <c r="O84">
        <v>0</v>
      </c>
    </row>
    <row r="85" spans="1:15" x14ac:dyDescent="0.25">
      <c r="A85">
        <v>65</v>
      </c>
      <c r="B85">
        <v>2050</v>
      </c>
      <c r="C85">
        <v>227</v>
      </c>
      <c r="D85">
        <v>37</v>
      </c>
      <c r="E85">
        <v>0</v>
      </c>
      <c r="F85" t="str" cm="1">
        <f t="array" ref="F85">_xlfn.XLOOKUP(A85&amp;B85,$L$2:$L$739&amp;$M$2:$M$739,$N$2:$N$739)</f>
        <v>Low</v>
      </c>
      <c r="G85">
        <f t="shared" si="1"/>
        <v>0</v>
      </c>
      <c r="H85" t="str">
        <f>_xlfn.XLOOKUP(A85,VE!$A$2:$A$247,VE!$B$2:$B$247)</f>
        <v>Salem_1</v>
      </c>
      <c r="I85" t="str" cm="1">
        <f t="array" ref="I85">_xlfn.IFS(OR(H85=$S$2,H85=$S$13,H85=$S$5),"Other",OR(H85=$S$3,H85=$S$4,H85=$S$7,H85=$S$10,H85=$S$11),"Salem",OR(H85=$S$6),"Keizer",OR(H85=$S$8,H85=$S$9,H85=$S$12),"Marion")</f>
        <v>Salem</v>
      </c>
      <c r="L85">
        <v>65</v>
      </c>
      <c r="M85">
        <v>2050</v>
      </c>
      <c r="N85" t="s">
        <v>45</v>
      </c>
      <c r="O85">
        <v>0</v>
      </c>
    </row>
    <row r="86" spans="1:15" x14ac:dyDescent="0.25">
      <c r="A86">
        <v>66</v>
      </c>
      <c r="B86">
        <v>2005</v>
      </c>
      <c r="C86">
        <v>661</v>
      </c>
      <c r="D86">
        <v>8</v>
      </c>
      <c r="E86">
        <v>0</v>
      </c>
      <c r="F86" t="str" cm="1">
        <f t="array" ref="F86">_xlfn.XLOOKUP(A86&amp;B86,$L$2:$L$739&amp;$M$2:$M$739,$N$2:$N$739)</f>
        <v>Low</v>
      </c>
      <c r="G86">
        <f t="shared" si="1"/>
        <v>0</v>
      </c>
      <c r="H86" t="str">
        <f>_xlfn.XLOOKUP(A86,VE!$A$2:$A$247,VE!$B$2:$B$247)</f>
        <v>Salem_1</v>
      </c>
      <c r="I86" t="str" cm="1">
        <f t="array" ref="I86">_xlfn.IFS(OR(H86=$S$2,H86=$S$13,H86=$S$5),"Other",OR(H86=$S$3,H86=$S$4,H86=$S$7,H86=$S$10,H86=$S$11),"Salem",OR(H86=$S$6),"Keizer",OR(H86=$S$8,H86=$S$9,H86=$S$12),"Marion")</f>
        <v>Salem</v>
      </c>
      <c r="L86">
        <v>66</v>
      </c>
      <c r="M86">
        <v>2005</v>
      </c>
      <c r="N86" t="s">
        <v>45</v>
      </c>
      <c r="O86">
        <v>0</v>
      </c>
    </row>
    <row r="87" spans="1:15" x14ac:dyDescent="0.25">
      <c r="A87">
        <v>66</v>
      </c>
      <c r="B87">
        <v>2021</v>
      </c>
      <c r="C87">
        <v>674</v>
      </c>
      <c r="D87">
        <v>7</v>
      </c>
      <c r="E87">
        <v>0</v>
      </c>
      <c r="F87" t="str" cm="1">
        <f t="array" ref="F87">_xlfn.XLOOKUP(A87&amp;B87,$L$2:$L$739&amp;$M$2:$M$739,$N$2:$N$739)</f>
        <v>Low</v>
      </c>
      <c r="G87">
        <f t="shared" si="1"/>
        <v>0</v>
      </c>
      <c r="H87" t="str">
        <f>_xlfn.XLOOKUP(A87,VE!$A$2:$A$247,VE!$B$2:$B$247)</f>
        <v>Salem_1</v>
      </c>
      <c r="I87" t="str" cm="1">
        <f t="array" ref="I87">_xlfn.IFS(OR(H87=$S$2,H87=$S$13,H87=$S$5),"Other",OR(H87=$S$3,H87=$S$4,H87=$S$7,H87=$S$10,H87=$S$11),"Salem",OR(H87=$S$6),"Keizer",OR(H87=$S$8,H87=$S$9,H87=$S$12),"Marion")</f>
        <v>Salem</v>
      </c>
      <c r="L87">
        <v>66</v>
      </c>
      <c r="M87">
        <v>2021</v>
      </c>
      <c r="N87" t="s">
        <v>45</v>
      </c>
      <c r="O87">
        <v>0</v>
      </c>
    </row>
    <row r="88" spans="1:15" x14ac:dyDescent="0.25">
      <c r="A88">
        <v>66</v>
      </c>
      <c r="B88">
        <v>2050</v>
      </c>
      <c r="C88">
        <v>678</v>
      </c>
      <c r="D88">
        <v>7</v>
      </c>
      <c r="E88">
        <v>0</v>
      </c>
      <c r="F88" t="str" cm="1">
        <f t="array" ref="F88">_xlfn.XLOOKUP(A88&amp;B88,$L$2:$L$739&amp;$M$2:$M$739,$N$2:$N$739)</f>
        <v>Low</v>
      </c>
      <c r="G88">
        <f t="shared" si="1"/>
        <v>0</v>
      </c>
      <c r="H88" t="str">
        <f>_xlfn.XLOOKUP(A88,VE!$A$2:$A$247,VE!$B$2:$B$247)</f>
        <v>Salem_1</v>
      </c>
      <c r="I88" t="str" cm="1">
        <f t="array" ref="I88">_xlfn.IFS(OR(H88=$S$2,H88=$S$13,H88=$S$5),"Other",OR(H88=$S$3,H88=$S$4,H88=$S$7,H88=$S$10,H88=$S$11),"Salem",OR(H88=$S$6),"Keizer",OR(H88=$S$8,H88=$S$9,H88=$S$12),"Marion")</f>
        <v>Salem</v>
      </c>
      <c r="L88">
        <v>66</v>
      </c>
      <c r="M88">
        <v>2050</v>
      </c>
      <c r="N88" t="s">
        <v>45</v>
      </c>
      <c r="O88">
        <v>0</v>
      </c>
    </row>
    <row r="89" spans="1:15" x14ac:dyDescent="0.25">
      <c r="A89">
        <v>67</v>
      </c>
      <c r="B89">
        <v>2005</v>
      </c>
      <c r="C89">
        <v>398</v>
      </c>
      <c r="D89">
        <v>162</v>
      </c>
      <c r="E89">
        <v>0</v>
      </c>
      <c r="F89" t="str" cm="1">
        <f t="array" ref="F89">_xlfn.XLOOKUP(A89&amp;B89,$L$2:$L$739&amp;$M$2:$M$739,$N$2:$N$739)</f>
        <v>Low</v>
      </c>
      <c r="G89">
        <f t="shared" si="1"/>
        <v>0</v>
      </c>
      <c r="H89" t="str">
        <f>_xlfn.XLOOKUP(A89,VE!$A$2:$A$247,VE!$B$2:$B$247)</f>
        <v>Salem_1</v>
      </c>
      <c r="I89" t="str" cm="1">
        <f t="array" ref="I89">_xlfn.IFS(OR(H89=$S$2,H89=$S$13,H89=$S$5),"Other",OR(H89=$S$3,H89=$S$4,H89=$S$7,H89=$S$10,H89=$S$11),"Salem",OR(H89=$S$6),"Keizer",OR(H89=$S$8,H89=$S$9,H89=$S$12),"Marion")</f>
        <v>Salem</v>
      </c>
      <c r="L89">
        <v>67</v>
      </c>
      <c r="M89">
        <v>2005</v>
      </c>
      <c r="N89" t="s">
        <v>45</v>
      </c>
      <c r="O89">
        <v>0</v>
      </c>
    </row>
    <row r="90" spans="1:15" x14ac:dyDescent="0.25">
      <c r="A90">
        <v>67</v>
      </c>
      <c r="B90">
        <v>2021</v>
      </c>
      <c r="C90">
        <v>889</v>
      </c>
      <c r="D90">
        <v>120</v>
      </c>
      <c r="E90">
        <v>0</v>
      </c>
      <c r="F90" t="str" cm="1">
        <f t="array" ref="F90">_xlfn.XLOOKUP(A90&amp;B90,$L$2:$L$739&amp;$M$2:$M$739,$N$2:$N$739)</f>
        <v>Low</v>
      </c>
      <c r="G90">
        <f t="shared" si="1"/>
        <v>0</v>
      </c>
      <c r="H90" t="str">
        <f>_xlfn.XLOOKUP(A90,VE!$A$2:$A$247,VE!$B$2:$B$247)</f>
        <v>Salem_1</v>
      </c>
      <c r="I90" t="str" cm="1">
        <f t="array" ref="I90">_xlfn.IFS(OR(H90=$S$2,H90=$S$13,H90=$S$5),"Other",OR(H90=$S$3,H90=$S$4,H90=$S$7,H90=$S$10,H90=$S$11),"Salem",OR(H90=$S$6),"Keizer",OR(H90=$S$8,H90=$S$9,H90=$S$12),"Marion")</f>
        <v>Salem</v>
      </c>
      <c r="L90">
        <v>67</v>
      </c>
      <c r="M90">
        <v>2021</v>
      </c>
      <c r="N90" t="s">
        <v>45</v>
      </c>
      <c r="O90">
        <v>0</v>
      </c>
    </row>
    <row r="91" spans="1:15" x14ac:dyDescent="0.25">
      <c r="A91">
        <v>67</v>
      </c>
      <c r="B91">
        <v>2050</v>
      </c>
      <c r="C91">
        <v>962</v>
      </c>
      <c r="D91">
        <v>133</v>
      </c>
      <c r="E91">
        <v>0</v>
      </c>
      <c r="F91" t="str" cm="1">
        <f t="array" ref="F91">_xlfn.XLOOKUP(A91&amp;B91,$L$2:$L$739&amp;$M$2:$M$739,$N$2:$N$739)</f>
        <v>Low</v>
      </c>
      <c r="G91">
        <f t="shared" si="1"/>
        <v>0</v>
      </c>
      <c r="H91" t="str">
        <f>_xlfn.XLOOKUP(A91,VE!$A$2:$A$247,VE!$B$2:$B$247)</f>
        <v>Salem_1</v>
      </c>
      <c r="I91" t="str" cm="1">
        <f t="array" ref="I91">_xlfn.IFS(OR(H91=$S$2,H91=$S$13,H91=$S$5),"Other",OR(H91=$S$3,H91=$S$4,H91=$S$7,H91=$S$10,H91=$S$11),"Salem",OR(H91=$S$6),"Keizer",OR(H91=$S$8,H91=$S$9,H91=$S$12),"Marion")</f>
        <v>Salem</v>
      </c>
      <c r="L91">
        <v>67</v>
      </c>
      <c r="M91">
        <v>2050</v>
      </c>
      <c r="N91" t="s">
        <v>45</v>
      </c>
      <c r="O91">
        <v>0</v>
      </c>
    </row>
    <row r="92" spans="1:15" x14ac:dyDescent="0.25">
      <c r="A92">
        <v>70</v>
      </c>
      <c r="B92">
        <v>2005</v>
      </c>
      <c r="C92">
        <v>132</v>
      </c>
      <c r="D92">
        <v>17</v>
      </c>
      <c r="E92">
        <v>0</v>
      </c>
      <c r="F92" t="str" cm="1">
        <f t="array" ref="F92">_xlfn.XLOOKUP(A92&amp;B92,$L$2:$L$739&amp;$M$2:$M$739,$N$2:$N$739)</f>
        <v>Low</v>
      </c>
      <c r="G92">
        <f t="shared" si="1"/>
        <v>0</v>
      </c>
      <c r="H92" t="str">
        <f>_xlfn.XLOOKUP(A92,VE!$A$2:$A$247,VE!$B$2:$B$247)</f>
        <v>Salem_1</v>
      </c>
      <c r="I92" t="str" cm="1">
        <f t="array" ref="I92">_xlfn.IFS(OR(H92=$S$2,H92=$S$13,H92=$S$5),"Other",OR(H92=$S$3,H92=$S$4,H92=$S$7,H92=$S$10,H92=$S$11),"Salem",OR(H92=$S$6),"Keizer",OR(H92=$S$8,H92=$S$9,H92=$S$12),"Marion")</f>
        <v>Salem</v>
      </c>
      <c r="L92">
        <v>70</v>
      </c>
      <c r="M92">
        <v>2005</v>
      </c>
      <c r="N92" t="s">
        <v>45</v>
      </c>
      <c r="O92">
        <v>0</v>
      </c>
    </row>
    <row r="93" spans="1:15" x14ac:dyDescent="0.25">
      <c r="A93">
        <v>70</v>
      </c>
      <c r="B93">
        <v>2021</v>
      </c>
      <c r="C93">
        <v>476</v>
      </c>
      <c r="D93">
        <v>5</v>
      </c>
      <c r="E93">
        <v>0</v>
      </c>
      <c r="F93" t="str" cm="1">
        <f t="array" ref="F93">_xlfn.XLOOKUP(A93&amp;B93,$L$2:$L$739&amp;$M$2:$M$739,$N$2:$N$739)</f>
        <v>Low</v>
      </c>
      <c r="G93">
        <f t="shared" si="1"/>
        <v>0</v>
      </c>
      <c r="H93" t="str">
        <f>_xlfn.XLOOKUP(A93,VE!$A$2:$A$247,VE!$B$2:$B$247)</f>
        <v>Salem_1</v>
      </c>
      <c r="I93" t="str" cm="1">
        <f t="array" ref="I93">_xlfn.IFS(OR(H93=$S$2,H93=$S$13,H93=$S$5),"Other",OR(H93=$S$3,H93=$S$4,H93=$S$7,H93=$S$10,H93=$S$11),"Salem",OR(H93=$S$6),"Keizer",OR(H93=$S$8,H93=$S$9,H93=$S$12),"Marion")</f>
        <v>Salem</v>
      </c>
      <c r="L93">
        <v>70</v>
      </c>
      <c r="M93">
        <v>2021</v>
      </c>
      <c r="N93" t="s">
        <v>45</v>
      </c>
      <c r="O93">
        <v>0</v>
      </c>
    </row>
    <row r="94" spans="1:15" x14ac:dyDescent="0.25">
      <c r="A94">
        <v>70</v>
      </c>
      <c r="B94">
        <v>2050</v>
      </c>
      <c r="C94">
        <v>548</v>
      </c>
      <c r="D94">
        <v>6</v>
      </c>
      <c r="E94">
        <v>0</v>
      </c>
      <c r="F94" t="str" cm="1">
        <f t="array" ref="F94">_xlfn.XLOOKUP(A94&amp;B94,$L$2:$L$739&amp;$M$2:$M$739,$N$2:$N$739)</f>
        <v>Low</v>
      </c>
      <c r="G94">
        <f t="shared" si="1"/>
        <v>0</v>
      </c>
      <c r="H94" t="str">
        <f>_xlfn.XLOOKUP(A94,VE!$A$2:$A$247,VE!$B$2:$B$247)</f>
        <v>Salem_1</v>
      </c>
      <c r="I94" t="str" cm="1">
        <f t="array" ref="I94">_xlfn.IFS(OR(H94=$S$2,H94=$S$13,H94=$S$5),"Other",OR(H94=$S$3,H94=$S$4,H94=$S$7,H94=$S$10,H94=$S$11),"Salem",OR(H94=$S$6),"Keizer",OR(H94=$S$8,H94=$S$9,H94=$S$12),"Marion")</f>
        <v>Salem</v>
      </c>
      <c r="L94">
        <v>70</v>
      </c>
      <c r="M94">
        <v>2050</v>
      </c>
      <c r="N94" t="s">
        <v>45</v>
      </c>
      <c r="O94">
        <v>0</v>
      </c>
    </row>
    <row r="95" spans="1:15" x14ac:dyDescent="0.25">
      <c r="A95">
        <v>71</v>
      </c>
      <c r="B95">
        <v>2005</v>
      </c>
      <c r="C95">
        <v>325</v>
      </c>
      <c r="D95">
        <v>242</v>
      </c>
      <c r="E95">
        <v>0</v>
      </c>
      <c r="F95" t="str" cm="1">
        <f t="array" ref="F95">_xlfn.XLOOKUP(A95&amp;B95,$L$2:$L$739&amp;$M$2:$M$739,$N$2:$N$739)</f>
        <v>Low</v>
      </c>
      <c r="G95">
        <f t="shared" si="1"/>
        <v>0</v>
      </c>
      <c r="H95" t="str">
        <f>_xlfn.XLOOKUP(A95,VE!$A$2:$A$247,VE!$B$2:$B$247)</f>
        <v>Salem_1</v>
      </c>
      <c r="I95" t="str" cm="1">
        <f t="array" ref="I95">_xlfn.IFS(OR(H95=$S$2,H95=$S$13,H95=$S$5),"Other",OR(H95=$S$3,H95=$S$4,H95=$S$7,H95=$S$10,H95=$S$11),"Salem",OR(H95=$S$6),"Keizer",OR(H95=$S$8,H95=$S$9,H95=$S$12),"Marion")</f>
        <v>Salem</v>
      </c>
      <c r="L95">
        <v>71</v>
      </c>
      <c r="M95">
        <v>2005</v>
      </c>
      <c r="N95" t="s">
        <v>45</v>
      </c>
      <c r="O95">
        <v>0</v>
      </c>
    </row>
    <row r="96" spans="1:15" x14ac:dyDescent="0.25">
      <c r="A96">
        <v>71</v>
      </c>
      <c r="B96">
        <v>2021</v>
      </c>
      <c r="C96">
        <v>325</v>
      </c>
      <c r="D96">
        <v>242</v>
      </c>
      <c r="E96">
        <v>0</v>
      </c>
      <c r="F96" t="str" cm="1">
        <f t="array" ref="F96">_xlfn.XLOOKUP(A96&amp;B96,$L$2:$L$739&amp;$M$2:$M$739,$N$2:$N$739)</f>
        <v>Low</v>
      </c>
      <c r="G96">
        <f t="shared" si="1"/>
        <v>0</v>
      </c>
      <c r="H96" t="str">
        <f>_xlfn.XLOOKUP(A96,VE!$A$2:$A$247,VE!$B$2:$B$247)</f>
        <v>Salem_1</v>
      </c>
      <c r="I96" t="str" cm="1">
        <f t="array" ref="I96">_xlfn.IFS(OR(H96=$S$2,H96=$S$13,H96=$S$5),"Other",OR(H96=$S$3,H96=$S$4,H96=$S$7,H96=$S$10,H96=$S$11),"Salem",OR(H96=$S$6),"Keizer",OR(H96=$S$8,H96=$S$9,H96=$S$12),"Marion")</f>
        <v>Salem</v>
      </c>
      <c r="L96">
        <v>71</v>
      </c>
      <c r="M96">
        <v>2021</v>
      </c>
      <c r="N96" t="s">
        <v>45</v>
      </c>
      <c r="O96">
        <v>0</v>
      </c>
    </row>
    <row r="97" spans="1:15" x14ac:dyDescent="0.25">
      <c r="A97">
        <v>71</v>
      </c>
      <c r="B97">
        <v>2050</v>
      </c>
      <c r="C97">
        <v>327</v>
      </c>
      <c r="D97">
        <v>291</v>
      </c>
      <c r="E97">
        <v>0</v>
      </c>
      <c r="F97" t="str" cm="1">
        <f t="array" ref="F97">_xlfn.XLOOKUP(A97&amp;B97,$L$2:$L$739&amp;$M$2:$M$739,$N$2:$N$739)</f>
        <v>Low</v>
      </c>
      <c r="G97">
        <f t="shared" si="1"/>
        <v>0</v>
      </c>
      <c r="H97" t="str">
        <f>_xlfn.XLOOKUP(A97,VE!$A$2:$A$247,VE!$B$2:$B$247)</f>
        <v>Salem_1</v>
      </c>
      <c r="I97" t="str" cm="1">
        <f t="array" ref="I97">_xlfn.IFS(OR(H97=$S$2,H97=$S$13,H97=$S$5),"Other",OR(H97=$S$3,H97=$S$4,H97=$S$7,H97=$S$10,H97=$S$11),"Salem",OR(H97=$S$6),"Keizer",OR(H97=$S$8,H97=$S$9,H97=$S$12),"Marion")</f>
        <v>Salem</v>
      </c>
      <c r="L97">
        <v>71</v>
      </c>
      <c r="M97">
        <v>2050</v>
      </c>
      <c r="N97" t="s">
        <v>45</v>
      </c>
      <c r="O97">
        <v>0</v>
      </c>
    </row>
    <row r="98" spans="1:15" x14ac:dyDescent="0.25">
      <c r="A98">
        <v>74</v>
      </c>
      <c r="B98">
        <v>2005</v>
      </c>
      <c r="C98">
        <v>156</v>
      </c>
      <c r="D98">
        <v>106</v>
      </c>
      <c r="E98">
        <v>0</v>
      </c>
      <c r="F98" t="str" cm="1">
        <f t="array" ref="F98">_xlfn.XLOOKUP(A98&amp;B98,$L$2:$L$739&amp;$M$2:$M$739,$N$2:$N$739)</f>
        <v>Low</v>
      </c>
      <c r="G98">
        <f t="shared" si="1"/>
        <v>0</v>
      </c>
      <c r="H98" t="str">
        <f>_xlfn.XLOOKUP(A98,VE!$A$2:$A$247,VE!$B$2:$B$247)</f>
        <v>Salem_1</v>
      </c>
      <c r="I98" t="str" cm="1">
        <f t="array" ref="I98">_xlfn.IFS(OR(H98=$S$2,H98=$S$13,H98=$S$5),"Other",OR(H98=$S$3,H98=$S$4,H98=$S$7,H98=$S$10,H98=$S$11),"Salem",OR(H98=$S$6),"Keizer",OR(H98=$S$8,H98=$S$9,H98=$S$12),"Marion")</f>
        <v>Salem</v>
      </c>
      <c r="L98">
        <v>74</v>
      </c>
      <c r="M98">
        <v>2005</v>
      </c>
      <c r="N98" t="s">
        <v>45</v>
      </c>
      <c r="O98">
        <v>0</v>
      </c>
    </row>
    <row r="99" spans="1:15" x14ac:dyDescent="0.25">
      <c r="A99">
        <v>74</v>
      </c>
      <c r="B99">
        <v>2021</v>
      </c>
      <c r="C99">
        <v>158</v>
      </c>
      <c r="D99">
        <v>124</v>
      </c>
      <c r="E99">
        <v>0</v>
      </c>
      <c r="F99" t="str" cm="1">
        <f t="array" ref="F99">_xlfn.XLOOKUP(A99&amp;B99,$L$2:$L$739&amp;$M$2:$M$739,$N$2:$N$739)</f>
        <v>Low</v>
      </c>
      <c r="G99">
        <f t="shared" si="1"/>
        <v>0</v>
      </c>
      <c r="H99" t="str">
        <f>_xlfn.XLOOKUP(A99,VE!$A$2:$A$247,VE!$B$2:$B$247)</f>
        <v>Salem_1</v>
      </c>
      <c r="I99" t="str" cm="1">
        <f t="array" ref="I99">_xlfn.IFS(OR(H99=$S$2,H99=$S$13,H99=$S$5),"Other",OR(H99=$S$3,H99=$S$4,H99=$S$7,H99=$S$10,H99=$S$11),"Salem",OR(H99=$S$6),"Keizer",OR(H99=$S$8,H99=$S$9,H99=$S$12),"Marion")</f>
        <v>Salem</v>
      </c>
      <c r="L99">
        <v>74</v>
      </c>
      <c r="M99">
        <v>2021</v>
      </c>
      <c r="N99" t="s">
        <v>45</v>
      </c>
      <c r="O99">
        <v>0</v>
      </c>
    </row>
    <row r="100" spans="1:15" x14ac:dyDescent="0.25">
      <c r="A100">
        <v>74</v>
      </c>
      <c r="B100">
        <v>2050</v>
      </c>
      <c r="C100">
        <v>156</v>
      </c>
      <c r="D100">
        <v>122</v>
      </c>
      <c r="E100">
        <v>0</v>
      </c>
      <c r="F100" t="str" cm="1">
        <f t="array" ref="F100">_xlfn.XLOOKUP(A100&amp;B100,$L$2:$L$739&amp;$M$2:$M$739,$N$2:$N$739)</f>
        <v>Low</v>
      </c>
      <c r="G100">
        <f t="shared" si="1"/>
        <v>0</v>
      </c>
      <c r="H100" t="str">
        <f>_xlfn.XLOOKUP(A100,VE!$A$2:$A$247,VE!$B$2:$B$247)</f>
        <v>Salem_1</v>
      </c>
      <c r="I100" t="str" cm="1">
        <f t="array" ref="I100">_xlfn.IFS(OR(H100=$S$2,H100=$S$13,H100=$S$5),"Other",OR(H100=$S$3,H100=$S$4,H100=$S$7,H100=$S$10,H100=$S$11),"Salem",OR(H100=$S$6),"Keizer",OR(H100=$S$8,H100=$S$9,H100=$S$12),"Marion")</f>
        <v>Salem</v>
      </c>
      <c r="L100">
        <v>74</v>
      </c>
      <c r="M100">
        <v>2050</v>
      </c>
      <c r="N100" t="s">
        <v>45</v>
      </c>
      <c r="O100">
        <v>0</v>
      </c>
    </row>
    <row r="101" spans="1:15" x14ac:dyDescent="0.25">
      <c r="A101">
        <v>75</v>
      </c>
      <c r="B101">
        <v>2005</v>
      </c>
      <c r="C101">
        <v>289</v>
      </c>
      <c r="D101">
        <v>184</v>
      </c>
      <c r="E101">
        <v>0</v>
      </c>
      <c r="F101" t="str" cm="1">
        <f t="array" ref="F101">_xlfn.XLOOKUP(A101&amp;B101,$L$2:$L$739&amp;$M$2:$M$739,$N$2:$N$739)</f>
        <v>Low</v>
      </c>
      <c r="G101">
        <f t="shared" si="1"/>
        <v>0</v>
      </c>
      <c r="H101" t="str">
        <f>_xlfn.XLOOKUP(A101,VE!$A$2:$A$247,VE!$B$2:$B$247)</f>
        <v>Salem_1</v>
      </c>
      <c r="I101" t="str" cm="1">
        <f t="array" ref="I101">_xlfn.IFS(OR(H101=$S$2,H101=$S$13,H101=$S$5),"Other",OR(H101=$S$3,H101=$S$4,H101=$S$7,H101=$S$10,H101=$S$11),"Salem",OR(H101=$S$6),"Keizer",OR(H101=$S$8,H101=$S$9,H101=$S$12),"Marion")</f>
        <v>Salem</v>
      </c>
      <c r="L101">
        <v>75</v>
      </c>
      <c r="M101">
        <v>2005</v>
      </c>
      <c r="N101" t="s">
        <v>45</v>
      </c>
      <c r="O101">
        <v>0</v>
      </c>
    </row>
    <row r="102" spans="1:15" x14ac:dyDescent="0.25">
      <c r="A102">
        <v>75</v>
      </c>
      <c r="B102">
        <v>2021</v>
      </c>
      <c r="C102">
        <v>317</v>
      </c>
      <c r="D102">
        <v>194</v>
      </c>
      <c r="E102">
        <v>0</v>
      </c>
      <c r="F102" t="str" cm="1">
        <f t="array" ref="F102">_xlfn.XLOOKUP(A102&amp;B102,$L$2:$L$739&amp;$M$2:$M$739,$N$2:$N$739)</f>
        <v>High</v>
      </c>
      <c r="G102">
        <f t="shared" si="1"/>
        <v>511</v>
      </c>
      <c r="H102" t="str">
        <f>_xlfn.XLOOKUP(A102,VE!$A$2:$A$247,VE!$B$2:$B$247)</f>
        <v>Salem_1</v>
      </c>
      <c r="I102" t="str" cm="1">
        <f t="array" ref="I102">_xlfn.IFS(OR(H102=$S$2,H102=$S$13,H102=$S$5),"Other",OR(H102=$S$3,H102=$S$4,H102=$S$7,H102=$S$10,H102=$S$11),"Salem",OR(H102=$S$6),"Keizer",OR(H102=$S$8,H102=$S$9,H102=$S$12),"Marion")</f>
        <v>Salem</v>
      </c>
      <c r="L102">
        <v>75</v>
      </c>
      <c r="M102">
        <v>2021</v>
      </c>
      <c r="N102" t="s">
        <v>46</v>
      </c>
      <c r="O102">
        <v>1</v>
      </c>
    </row>
    <row r="103" spans="1:15" x14ac:dyDescent="0.25">
      <c r="A103">
        <v>75</v>
      </c>
      <c r="B103">
        <v>2050</v>
      </c>
      <c r="C103">
        <v>314</v>
      </c>
      <c r="D103">
        <v>193</v>
      </c>
      <c r="E103">
        <v>0</v>
      </c>
      <c r="F103" t="str" cm="1">
        <f t="array" ref="F103">_xlfn.XLOOKUP(A103&amp;B103,$L$2:$L$739&amp;$M$2:$M$739,$N$2:$N$739)</f>
        <v>High</v>
      </c>
      <c r="G103">
        <f t="shared" si="1"/>
        <v>507</v>
      </c>
      <c r="H103" t="str">
        <f>_xlfn.XLOOKUP(A103,VE!$A$2:$A$247,VE!$B$2:$B$247)</f>
        <v>Salem_1</v>
      </c>
      <c r="I103" t="str" cm="1">
        <f t="array" ref="I103">_xlfn.IFS(OR(H103=$S$2,H103=$S$13,H103=$S$5),"Other",OR(H103=$S$3,H103=$S$4,H103=$S$7,H103=$S$10,H103=$S$11),"Salem",OR(H103=$S$6),"Keizer",OR(H103=$S$8,H103=$S$9,H103=$S$12),"Marion")</f>
        <v>Salem</v>
      </c>
      <c r="L103">
        <v>75</v>
      </c>
      <c r="M103">
        <v>2050</v>
      </c>
      <c r="N103" t="s">
        <v>46</v>
      </c>
      <c r="O103">
        <v>1</v>
      </c>
    </row>
    <row r="104" spans="1:15" x14ac:dyDescent="0.25">
      <c r="A104">
        <v>76</v>
      </c>
      <c r="B104">
        <v>2005</v>
      </c>
      <c r="C104">
        <v>0</v>
      </c>
      <c r="D104">
        <v>1</v>
      </c>
      <c r="E104">
        <v>0</v>
      </c>
      <c r="F104" t="str" cm="1">
        <f t="array" ref="F104">_xlfn.XLOOKUP(A104&amp;B104,$L$2:$L$739&amp;$M$2:$M$739,$N$2:$N$739)</f>
        <v>Low</v>
      </c>
      <c r="G104">
        <f t="shared" si="1"/>
        <v>0</v>
      </c>
      <c r="H104" t="str">
        <f>_xlfn.XLOOKUP(A104,VE!$A$2:$A$247,VE!$B$2:$B$247)</f>
        <v>Salem_1</v>
      </c>
      <c r="I104" t="str" cm="1">
        <f t="array" ref="I104">_xlfn.IFS(OR(H104=$S$2,H104=$S$13,H104=$S$5),"Other",OR(H104=$S$3,H104=$S$4,H104=$S$7,H104=$S$10,H104=$S$11),"Salem",OR(H104=$S$6),"Keizer",OR(H104=$S$8,H104=$S$9,H104=$S$12),"Marion")</f>
        <v>Salem</v>
      </c>
      <c r="L104">
        <v>76</v>
      </c>
      <c r="M104">
        <v>2005</v>
      </c>
      <c r="N104" t="s">
        <v>45</v>
      </c>
      <c r="O104">
        <v>0</v>
      </c>
    </row>
    <row r="105" spans="1:15" x14ac:dyDescent="0.25">
      <c r="A105">
        <v>76</v>
      </c>
      <c r="B105">
        <v>2021</v>
      </c>
      <c r="C105">
        <v>0</v>
      </c>
      <c r="D105">
        <v>1</v>
      </c>
      <c r="E105">
        <v>0</v>
      </c>
      <c r="F105" t="str" cm="1">
        <f t="array" ref="F105">_xlfn.XLOOKUP(A105&amp;B105,$L$2:$L$739&amp;$M$2:$M$739,$N$2:$N$739)</f>
        <v>High</v>
      </c>
      <c r="G105">
        <f t="shared" si="1"/>
        <v>1</v>
      </c>
      <c r="H105" t="str">
        <f>_xlfn.XLOOKUP(A105,VE!$A$2:$A$247,VE!$B$2:$B$247)</f>
        <v>Salem_1</v>
      </c>
      <c r="I105" t="str" cm="1">
        <f t="array" ref="I105">_xlfn.IFS(OR(H105=$S$2,H105=$S$13,H105=$S$5),"Other",OR(H105=$S$3,H105=$S$4,H105=$S$7,H105=$S$10,H105=$S$11),"Salem",OR(H105=$S$6),"Keizer",OR(H105=$S$8,H105=$S$9,H105=$S$12),"Marion")</f>
        <v>Salem</v>
      </c>
      <c r="L105">
        <v>76</v>
      </c>
      <c r="M105">
        <v>2021</v>
      </c>
      <c r="N105" t="s">
        <v>46</v>
      </c>
      <c r="O105">
        <v>1</v>
      </c>
    </row>
    <row r="106" spans="1:15" x14ac:dyDescent="0.25">
      <c r="A106">
        <v>76</v>
      </c>
      <c r="B106">
        <v>2050</v>
      </c>
      <c r="C106">
        <v>0</v>
      </c>
      <c r="D106">
        <v>1</v>
      </c>
      <c r="E106">
        <v>0</v>
      </c>
      <c r="F106" t="str" cm="1">
        <f t="array" ref="F106">_xlfn.XLOOKUP(A106&amp;B106,$L$2:$L$739&amp;$M$2:$M$739,$N$2:$N$739)</f>
        <v>High</v>
      </c>
      <c r="G106">
        <f t="shared" si="1"/>
        <v>1</v>
      </c>
      <c r="H106" t="str">
        <f>_xlfn.XLOOKUP(A106,VE!$A$2:$A$247,VE!$B$2:$B$247)</f>
        <v>Salem_1</v>
      </c>
      <c r="I106" t="str" cm="1">
        <f t="array" ref="I106">_xlfn.IFS(OR(H106=$S$2,H106=$S$13,H106=$S$5),"Other",OR(H106=$S$3,H106=$S$4,H106=$S$7,H106=$S$10,H106=$S$11),"Salem",OR(H106=$S$6),"Keizer",OR(H106=$S$8,H106=$S$9,H106=$S$12),"Marion")</f>
        <v>Salem</v>
      </c>
      <c r="L106">
        <v>76</v>
      </c>
      <c r="M106">
        <v>2050</v>
      </c>
      <c r="N106" t="s">
        <v>46</v>
      </c>
      <c r="O106">
        <v>1</v>
      </c>
    </row>
    <row r="107" spans="1:15" x14ac:dyDescent="0.25">
      <c r="A107">
        <v>77</v>
      </c>
      <c r="B107">
        <v>2005</v>
      </c>
      <c r="C107">
        <v>5</v>
      </c>
      <c r="D107">
        <v>11</v>
      </c>
      <c r="E107">
        <v>0</v>
      </c>
      <c r="F107" t="str" cm="1">
        <f t="array" ref="F107">_xlfn.XLOOKUP(A107&amp;B107,$L$2:$L$739&amp;$M$2:$M$739,$N$2:$N$739)</f>
        <v>Low</v>
      </c>
      <c r="G107">
        <f t="shared" si="1"/>
        <v>0</v>
      </c>
      <c r="H107" t="str">
        <f>_xlfn.XLOOKUP(A107,VE!$A$2:$A$247,VE!$B$2:$B$247)</f>
        <v>Salem_1</v>
      </c>
      <c r="I107" t="str" cm="1">
        <f t="array" ref="I107">_xlfn.IFS(OR(H107=$S$2,H107=$S$13,H107=$S$5),"Other",OR(H107=$S$3,H107=$S$4,H107=$S$7,H107=$S$10,H107=$S$11),"Salem",OR(H107=$S$6),"Keizer",OR(H107=$S$8,H107=$S$9,H107=$S$12),"Marion")</f>
        <v>Salem</v>
      </c>
      <c r="L107">
        <v>77</v>
      </c>
      <c r="M107">
        <v>2005</v>
      </c>
      <c r="N107" t="s">
        <v>45</v>
      </c>
      <c r="O107">
        <v>0</v>
      </c>
    </row>
    <row r="108" spans="1:15" x14ac:dyDescent="0.25">
      <c r="A108">
        <v>77</v>
      </c>
      <c r="B108">
        <v>2021</v>
      </c>
      <c r="C108">
        <v>5</v>
      </c>
      <c r="D108">
        <v>13</v>
      </c>
      <c r="E108">
        <v>0</v>
      </c>
      <c r="F108" t="str" cm="1">
        <f t="array" ref="F108">_xlfn.XLOOKUP(A108&amp;B108,$L$2:$L$739&amp;$M$2:$M$739,$N$2:$N$739)</f>
        <v>Low</v>
      </c>
      <c r="G108">
        <f t="shared" si="1"/>
        <v>0</v>
      </c>
      <c r="H108" t="str">
        <f>_xlfn.XLOOKUP(A108,VE!$A$2:$A$247,VE!$B$2:$B$247)</f>
        <v>Salem_1</v>
      </c>
      <c r="I108" t="str" cm="1">
        <f t="array" ref="I108">_xlfn.IFS(OR(H108=$S$2,H108=$S$13,H108=$S$5),"Other",OR(H108=$S$3,H108=$S$4,H108=$S$7,H108=$S$10,H108=$S$11),"Salem",OR(H108=$S$6),"Keizer",OR(H108=$S$8,H108=$S$9,H108=$S$12),"Marion")</f>
        <v>Salem</v>
      </c>
      <c r="L108">
        <v>77</v>
      </c>
      <c r="M108">
        <v>2021</v>
      </c>
      <c r="N108" t="s">
        <v>45</v>
      </c>
      <c r="O108">
        <v>0</v>
      </c>
    </row>
    <row r="109" spans="1:15" x14ac:dyDescent="0.25">
      <c r="A109">
        <v>77</v>
      </c>
      <c r="B109">
        <v>2050</v>
      </c>
      <c r="C109">
        <v>4</v>
      </c>
      <c r="D109">
        <v>18</v>
      </c>
      <c r="E109">
        <v>0</v>
      </c>
      <c r="F109" t="str" cm="1">
        <f t="array" ref="F109">_xlfn.XLOOKUP(A109&amp;B109,$L$2:$L$739&amp;$M$2:$M$739,$N$2:$N$739)</f>
        <v>High</v>
      </c>
      <c r="G109">
        <f t="shared" si="1"/>
        <v>22</v>
      </c>
      <c r="H109" t="str">
        <f>_xlfn.XLOOKUP(A109,VE!$A$2:$A$247,VE!$B$2:$B$247)</f>
        <v>Salem_1</v>
      </c>
      <c r="I109" t="str" cm="1">
        <f t="array" ref="I109">_xlfn.IFS(OR(H109=$S$2,H109=$S$13,H109=$S$5),"Other",OR(H109=$S$3,H109=$S$4,H109=$S$7,H109=$S$10,H109=$S$11),"Salem",OR(H109=$S$6),"Keizer",OR(H109=$S$8,H109=$S$9,H109=$S$12),"Marion")</f>
        <v>Salem</v>
      </c>
      <c r="L109">
        <v>77</v>
      </c>
      <c r="M109">
        <v>2050</v>
      </c>
      <c r="N109" t="s">
        <v>46</v>
      </c>
      <c r="O109">
        <v>1</v>
      </c>
    </row>
    <row r="110" spans="1:15" x14ac:dyDescent="0.25">
      <c r="A110">
        <v>78</v>
      </c>
      <c r="B110">
        <v>2005</v>
      </c>
      <c r="C110">
        <v>175</v>
      </c>
      <c r="D110">
        <v>115</v>
      </c>
      <c r="E110">
        <v>0</v>
      </c>
      <c r="F110" t="str" cm="1">
        <f t="array" ref="F110">_xlfn.XLOOKUP(A110&amp;B110,$L$2:$L$739&amp;$M$2:$M$739,$N$2:$N$739)</f>
        <v>Low</v>
      </c>
      <c r="G110">
        <f t="shared" si="1"/>
        <v>0</v>
      </c>
      <c r="H110" t="str">
        <f>_xlfn.XLOOKUP(A110,VE!$A$2:$A$247,VE!$B$2:$B$247)</f>
        <v>Salem_1</v>
      </c>
      <c r="I110" t="str" cm="1">
        <f t="array" ref="I110">_xlfn.IFS(OR(H110=$S$2,H110=$S$13,H110=$S$5),"Other",OR(H110=$S$3,H110=$S$4,H110=$S$7,H110=$S$10,H110=$S$11),"Salem",OR(H110=$S$6),"Keizer",OR(H110=$S$8,H110=$S$9,H110=$S$12),"Marion")</f>
        <v>Salem</v>
      </c>
      <c r="L110">
        <v>78</v>
      </c>
      <c r="M110">
        <v>2005</v>
      </c>
      <c r="N110" t="s">
        <v>45</v>
      </c>
      <c r="O110">
        <v>0</v>
      </c>
    </row>
    <row r="111" spans="1:15" x14ac:dyDescent="0.25">
      <c r="A111">
        <v>78</v>
      </c>
      <c r="B111">
        <v>2021</v>
      </c>
      <c r="C111">
        <v>213</v>
      </c>
      <c r="D111">
        <v>118</v>
      </c>
      <c r="E111">
        <v>0</v>
      </c>
      <c r="F111" t="str" cm="1">
        <f t="array" ref="F111">_xlfn.XLOOKUP(A111&amp;B111,$L$2:$L$739&amp;$M$2:$M$739,$N$2:$N$739)</f>
        <v>High</v>
      </c>
      <c r="G111">
        <f t="shared" si="1"/>
        <v>331</v>
      </c>
      <c r="H111" t="str">
        <f>_xlfn.XLOOKUP(A111,VE!$A$2:$A$247,VE!$B$2:$B$247)</f>
        <v>Salem_1</v>
      </c>
      <c r="I111" t="str" cm="1">
        <f t="array" ref="I111">_xlfn.IFS(OR(H111=$S$2,H111=$S$13,H111=$S$5),"Other",OR(H111=$S$3,H111=$S$4,H111=$S$7,H111=$S$10,H111=$S$11),"Salem",OR(H111=$S$6),"Keizer",OR(H111=$S$8,H111=$S$9,H111=$S$12),"Marion")</f>
        <v>Salem</v>
      </c>
      <c r="L111">
        <v>78</v>
      </c>
      <c r="M111">
        <v>2021</v>
      </c>
      <c r="N111" t="s">
        <v>46</v>
      </c>
      <c r="O111">
        <v>1</v>
      </c>
    </row>
    <row r="112" spans="1:15" x14ac:dyDescent="0.25">
      <c r="A112">
        <v>78</v>
      </c>
      <c r="B112">
        <v>2050</v>
      </c>
      <c r="C112">
        <v>212</v>
      </c>
      <c r="D112">
        <v>128</v>
      </c>
      <c r="E112">
        <v>0</v>
      </c>
      <c r="F112" t="str" cm="1">
        <f t="array" ref="F112">_xlfn.XLOOKUP(A112&amp;B112,$L$2:$L$739&amp;$M$2:$M$739,$N$2:$N$739)</f>
        <v>High</v>
      </c>
      <c r="G112">
        <f t="shared" si="1"/>
        <v>340</v>
      </c>
      <c r="H112" t="str">
        <f>_xlfn.XLOOKUP(A112,VE!$A$2:$A$247,VE!$B$2:$B$247)</f>
        <v>Salem_1</v>
      </c>
      <c r="I112" t="str" cm="1">
        <f t="array" ref="I112">_xlfn.IFS(OR(H112=$S$2,H112=$S$13,H112=$S$5),"Other",OR(H112=$S$3,H112=$S$4,H112=$S$7,H112=$S$10,H112=$S$11),"Salem",OR(H112=$S$6),"Keizer",OR(H112=$S$8,H112=$S$9,H112=$S$12),"Marion")</f>
        <v>Salem</v>
      </c>
      <c r="L112">
        <v>78</v>
      </c>
      <c r="M112">
        <v>2050</v>
      </c>
      <c r="N112" t="s">
        <v>46</v>
      </c>
      <c r="O112">
        <v>1</v>
      </c>
    </row>
    <row r="113" spans="1:15" x14ac:dyDescent="0.25">
      <c r="A113">
        <v>80</v>
      </c>
      <c r="B113">
        <v>2005</v>
      </c>
      <c r="C113">
        <v>51</v>
      </c>
      <c r="D113">
        <v>0</v>
      </c>
      <c r="E113">
        <v>0</v>
      </c>
      <c r="F113" t="str" cm="1">
        <f t="array" ref="F113">_xlfn.XLOOKUP(A113&amp;B113,$L$2:$L$739&amp;$M$2:$M$739,$N$2:$N$739)</f>
        <v>Low</v>
      </c>
      <c r="G113">
        <f t="shared" si="1"/>
        <v>0</v>
      </c>
      <c r="H113" t="str">
        <f>_xlfn.XLOOKUP(A113,VE!$A$2:$A$247,VE!$B$2:$B$247)</f>
        <v>Marion_Outside_UGB</v>
      </c>
      <c r="I113" t="str" cm="1">
        <f t="array" ref="I113">_xlfn.IFS(OR(H113=$S$2,H113=$S$13,H113=$S$5),"Other",OR(H113=$S$3,H113=$S$4,H113=$S$7,H113=$S$10,H113=$S$11),"Salem",OR(H113=$S$6),"Keizer",OR(H113=$S$8,H113=$S$9,H113=$S$12),"Marion")</f>
        <v>Other</v>
      </c>
      <c r="L113">
        <v>80</v>
      </c>
      <c r="M113">
        <v>2005</v>
      </c>
      <c r="N113" t="s">
        <v>45</v>
      </c>
      <c r="O113">
        <v>0</v>
      </c>
    </row>
    <row r="114" spans="1:15" x14ac:dyDescent="0.25">
      <c r="A114">
        <v>80</v>
      </c>
      <c r="B114">
        <v>2021</v>
      </c>
      <c r="C114">
        <v>51</v>
      </c>
      <c r="D114">
        <v>4</v>
      </c>
      <c r="E114">
        <v>0</v>
      </c>
      <c r="F114" t="str" cm="1">
        <f t="array" ref="F114">_xlfn.XLOOKUP(A114&amp;B114,$L$2:$L$739&amp;$M$2:$M$739,$N$2:$N$739)</f>
        <v>Low</v>
      </c>
      <c r="G114">
        <f t="shared" si="1"/>
        <v>0</v>
      </c>
      <c r="H114" t="str">
        <f>_xlfn.XLOOKUP(A114,VE!$A$2:$A$247,VE!$B$2:$B$247)</f>
        <v>Marion_Outside_UGB</v>
      </c>
      <c r="I114" t="str" cm="1">
        <f t="array" ref="I114">_xlfn.IFS(OR(H114=$S$2,H114=$S$13,H114=$S$5),"Other",OR(H114=$S$3,H114=$S$4,H114=$S$7,H114=$S$10,H114=$S$11),"Salem",OR(H114=$S$6),"Keizer",OR(H114=$S$8,H114=$S$9,H114=$S$12),"Marion")</f>
        <v>Other</v>
      </c>
      <c r="L114">
        <v>80</v>
      </c>
      <c r="M114">
        <v>2021</v>
      </c>
      <c r="N114" t="s">
        <v>45</v>
      </c>
      <c r="O114">
        <v>0</v>
      </c>
    </row>
    <row r="115" spans="1:15" x14ac:dyDescent="0.25">
      <c r="A115">
        <v>80</v>
      </c>
      <c r="B115">
        <v>2050</v>
      </c>
      <c r="C115">
        <v>50</v>
      </c>
      <c r="D115">
        <v>4</v>
      </c>
      <c r="E115">
        <v>0</v>
      </c>
      <c r="F115" t="str" cm="1">
        <f t="array" ref="F115">_xlfn.XLOOKUP(A115&amp;B115,$L$2:$L$739&amp;$M$2:$M$739,$N$2:$N$739)</f>
        <v>Low</v>
      </c>
      <c r="G115">
        <f t="shared" si="1"/>
        <v>0</v>
      </c>
      <c r="H115" t="str">
        <f>_xlfn.XLOOKUP(A115,VE!$A$2:$A$247,VE!$B$2:$B$247)</f>
        <v>Marion_Outside_UGB</v>
      </c>
      <c r="I115" t="str" cm="1">
        <f t="array" ref="I115">_xlfn.IFS(OR(H115=$S$2,H115=$S$13,H115=$S$5),"Other",OR(H115=$S$3,H115=$S$4,H115=$S$7,H115=$S$10,H115=$S$11),"Salem",OR(H115=$S$6),"Keizer",OR(H115=$S$8,H115=$S$9,H115=$S$12),"Marion")</f>
        <v>Other</v>
      </c>
      <c r="L115">
        <v>80</v>
      </c>
      <c r="M115">
        <v>2050</v>
      </c>
      <c r="N115" t="s">
        <v>45</v>
      </c>
      <c r="O115">
        <v>0</v>
      </c>
    </row>
    <row r="116" spans="1:15" x14ac:dyDescent="0.25">
      <c r="A116">
        <v>81</v>
      </c>
      <c r="B116">
        <v>2005</v>
      </c>
      <c r="C116">
        <v>22</v>
      </c>
      <c r="D116">
        <v>0</v>
      </c>
      <c r="E116">
        <v>0</v>
      </c>
      <c r="F116" t="str" cm="1">
        <f t="array" ref="F116">_xlfn.XLOOKUP(A116&amp;B116,$L$2:$L$739&amp;$M$2:$M$739,$N$2:$N$739)</f>
        <v>Low</v>
      </c>
      <c r="G116">
        <f t="shared" si="1"/>
        <v>0</v>
      </c>
      <c r="H116" t="str">
        <f>_xlfn.XLOOKUP(A116,VE!$A$2:$A$247,VE!$B$2:$B$247)</f>
        <v>Marion_Outside_UGB</v>
      </c>
      <c r="I116" t="str" cm="1">
        <f t="array" ref="I116">_xlfn.IFS(OR(H116=$S$2,H116=$S$13,H116=$S$5),"Other",OR(H116=$S$3,H116=$S$4,H116=$S$7,H116=$S$10,H116=$S$11),"Salem",OR(H116=$S$6),"Keizer",OR(H116=$S$8,H116=$S$9,H116=$S$12),"Marion")</f>
        <v>Other</v>
      </c>
      <c r="L116">
        <v>81</v>
      </c>
      <c r="M116">
        <v>2005</v>
      </c>
      <c r="N116" t="s">
        <v>45</v>
      </c>
      <c r="O116">
        <v>0</v>
      </c>
    </row>
    <row r="117" spans="1:15" x14ac:dyDescent="0.25">
      <c r="A117">
        <v>81</v>
      </c>
      <c r="B117">
        <v>2021</v>
      </c>
      <c r="C117">
        <v>22</v>
      </c>
      <c r="D117">
        <v>0</v>
      </c>
      <c r="E117">
        <v>0</v>
      </c>
      <c r="F117" t="str" cm="1">
        <f t="array" ref="F117">_xlfn.XLOOKUP(A117&amp;B117,$L$2:$L$739&amp;$M$2:$M$739,$N$2:$N$739)</f>
        <v>Low</v>
      </c>
      <c r="G117">
        <f t="shared" si="1"/>
        <v>0</v>
      </c>
      <c r="H117" t="str">
        <f>_xlfn.XLOOKUP(A117,VE!$A$2:$A$247,VE!$B$2:$B$247)</f>
        <v>Marion_Outside_UGB</v>
      </c>
      <c r="I117" t="str" cm="1">
        <f t="array" ref="I117">_xlfn.IFS(OR(H117=$S$2,H117=$S$13,H117=$S$5),"Other",OR(H117=$S$3,H117=$S$4,H117=$S$7,H117=$S$10,H117=$S$11),"Salem",OR(H117=$S$6),"Keizer",OR(H117=$S$8,H117=$S$9,H117=$S$12),"Marion")</f>
        <v>Other</v>
      </c>
      <c r="L117">
        <v>81</v>
      </c>
      <c r="M117">
        <v>2021</v>
      </c>
      <c r="N117" t="s">
        <v>45</v>
      </c>
      <c r="O117">
        <v>0</v>
      </c>
    </row>
    <row r="118" spans="1:15" x14ac:dyDescent="0.25">
      <c r="A118">
        <v>81</v>
      </c>
      <c r="B118">
        <v>2050</v>
      </c>
      <c r="C118">
        <v>11</v>
      </c>
      <c r="D118">
        <v>0</v>
      </c>
      <c r="E118">
        <v>0</v>
      </c>
      <c r="F118" t="str" cm="1">
        <f t="array" ref="F118">_xlfn.XLOOKUP(A118&amp;B118,$L$2:$L$739&amp;$M$2:$M$739,$N$2:$N$739)</f>
        <v>Low</v>
      </c>
      <c r="G118">
        <f t="shared" si="1"/>
        <v>0</v>
      </c>
      <c r="H118" t="str">
        <f>_xlfn.XLOOKUP(A118,VE!$A$2:$A$247,VE!$B$2:$B$247)</f>
        <v>Marion_Outside_UGB</v>
      </c>
      <c r="I118" t="str" cm="1">
        <f t="array" ref="I118">_xlfn.IFS(OR(H118=$S$2,H118=$S$13,H118=$S$5),"Other",OR(H118=$S$3,H118=$S$4,H118=$S$7,H118=$S$10,H118=$S$11),"Salem",OR(H118=$S$6),"Keizer",OR(H118=$S$8,H118=$S$9,H118=$S$12),"Marion")</f>
        <v>Other</v>
      </c>
      <c r="L118">
        <v>81</v>
      </c>
      <c r="M118">
        <v>2050</v>
      </c>
      <c r="N118" t="s">
        <v>45</v>
      </c>
      <c r="O118">
        <v>0</v>
      </c>
    </row>
    <row r="119" spans="1:15" x14ac:dyDescent="0.25">
      <c r="A119">
        <v>82</v>
      </c>
      <c r="B119">
        <v>2005</v>
      </c>
      <c r="C119">
        <v>871</v>
      </c>
      <c r="D119">
        <v>179</v>
      </c>
      <c r="E119">
        <v>0</v>
      </c>
      <c r="F119" t="str" cm="1">
        <f t="array" ref="F119">_xlfn.XLOOKUP(A119&amp;B119,$L$2:$L$739&amp;$M$2:$M$739,$N$2:$N$739)</f>
        <v>Low</v>
      </c>
      <c r="G119">
        <f t="shared" si="1"/>
        <v>0</v>
      </c>
      <c r="H119" t="str">
        <f>_xlfn.XLOOKUP(A119,VE!$A$2:$A$247,VE!$B$2:$B$247)</f>
        <v>Keizer</v>
      </c>
      <c r="I119" t="str" cm="1">
        <f t="array" ref="I119">_xlfn.IFS(OR(H119=$S$2,H119=$S$13,H119=$S$5),"Other",OR(H119=$S$3,H119=$S$4,H119=$S$7,H119=$S$10,H119=$S$11),"Salem",OR(H119=$S$6),"Keizer",OR(H119=$S$8,H119=$S$9,H119=$S$12),"Marion")</f>
        <v>Keizer</v>
      </c>
      <c r="L119">
        <v>82</v>
      </c>
      <c r="M119">
        <v>2005</v>
      </c>
      <c r="N119" t="s">
        <v>45</v>
      </c>
      <c r="O119">
        <v>0</v>
      </c>
    </row>
    <row r="120" spans="1:15" x14ac:dyDescent="0.25">
      <c r="A120">
        <v>82</v>
      </c>
      <c r="B120">
        <v>2021</v>
      </c>
      <c r="C120">
        <v>871</v>
      </c>
      <c r="D120">
        <v>179</v>
      </c>
      <c r="E120">
        <v>0</v>
      </c>
      <c r="F120" t="str" cm="1">
        <f t="array" ref="F120">_xlfn.XLOOKUP(A120&amp;B120,$L$2:$L$739&amp;$M$2:$M$739,$N$2:$N$739)</f>
        <v>Low</v>
      </c>
      <c r="G120">
        <f t="shared" si="1"/>
        <v>0</v>
      </c>
      <c r="H120" t="str">
        <f>_xlfn.XLOOKUP(A120,VE!$A$2:$A$247,VE!$B$2:$B$247)</f>
        <v>Keizer</v>
      </c>
      <c r="I120" t="str" cm="1">
        <f t="array" ref="I120">_xlfn.IFS(OR(H120=$S$2,H120=$S$13,H120=$S$5),"Other",OR(H120=$S$3,H120=$S$4,H120=$S$7,H120=$S$10,H120=$S$11),"Salem",OR(H120=$S$6),"Keizer",OR(H120=$S$8,H120=$S$9,H120=$S$12),"Marion")</f>
        <v>Keizer</v>
      </c>
      <c r="L120">
        <v>82</v>
      </c>
      <c r="M120">
        <v>2021</v>
      </c>
      <c r="N120" t="s">
        <v>45</v>
      </c>
      <c r="O120">
        <v>0</v>
      </c>
    </row>
    <row r="121" spans="1:15" x14ac:dyDescent="0.25">
      <c r="A121">
        <v>82</v>
      </c>
      <c r="B121">
        <v>2050</v>
      </c>
      <c r="C121">
        <v>887</v>
      </c>
      <c r="D121">
        <v>363</v>
      </c>
      <c r="E121">
        <v>0</v>
      </c>
      <c r="F121" t="str" cm="1">
        <f t="array" ref="F121">_xlfn.XLOOKUP(A121&amp;B121,$L$2:$L$739&amp;$M$2:$M$739,$N$2:$N$739)</f>
        <v>Low</v>
      </c>
      <c r="G121">
        <f t="shared" si="1"/>
        <v>0</v>
      </c>
      <c r="H121" t="str">
        <f>_xlfn.XLOOKUP(A121,VE!$A$2:$A$247,VE!$B$2:$B$247)</f>
        <v>Keizer</v>
      </c>
      <c r="I121" t="str" cm="1">
        <f t="array" ref="I121">_xlfn.IFS(OR(H121=$S$2,H121=$S$13,H121=$S$5),"Other",OR(H121=$S$3,H121=$S$4,H121=$S$7,H121=$S$10,H121=$S$11),"Salem",OR(H121=$S$6),"Keizer",OR(H121=$S$8,H121=$S$9,H121=$S$12),"Marion")</f>
        <v>Keizer</v>
      </c>
      <c r="L121">
        <v>82</v>
      </c>
      <c r="M121">
        <v>2050</v>
      </c>
      <c r="N121" t="s">
        <v>45</v>
      </c>
      <c r="O121">
        <v>0</v>
      </c>
    </row>
    <row r="122" spans="1:15" x14ac:dyDescent="0.25">
      <c r="A122">
        <v>83</v>
      </c>
      <c r="B122">
        <v>2005</v>
      </c>
      <c r="C122">
        <v>86</v>
      </c>
      <c r="D122">
        <v>0</v>
      </c>
      <c r="E122">
        <v>0</v>
      </c>
      <c r="F122" t="str" cm="1">
        <f t="array" ref="F122">_xlfn.XLOOKUP(A122&amp;B122,$L$2:$L$739&amp;$M$2:$M$739,$N$2:$N$739)</f>
        <v>Low</v>
      </c>
      <c r="G122">
        <f t="shared" si="1"/>
        <v>0</v>
      </c>
      <c r="H122" t="str">
        <f>_xlfn.XLOOKUP(A122,VE!$A$2:$A$247,VE!$B$2:$B$247)</f>
        <v>Marion_Outside_UGB</v>
      </c>
      <c r="I122" t="str" cm="1">
        <f t="array" ref="I122">_xlfn.IFS(OR(H122=$S$2,H122=$S$13,H122=$S$5),"Other",OR(H122=$S$3,H122=$S$4,H122=$S$7,H122=$S$10,H122=$S$11),"Salem",OR(H122=$S$6),"Keizer",OR(H122=$S$8,H122=$S$9,H122=$S$12),"Marion")</f>
        <v>Other</v>
      </c>
      <c r="L122">
        <v>83</v>
      </c>
      <c r="M122">
        <v>2005</v>
      </c>
      <c r="N122" t="s">
        <v>45</v>
      </c>
      <c r="O122">
        <v>0</v>
      </c>
    </row>
    <row r="123" spans="1:15" x14ac:dyDescent="0.25">
      <c r="A123">
        <v>83</v>
      </c>
      <c r="B123">
        <v>2021</v>
      </c>
      <c r="C123">
        <v>90</v>
      </c>
      <c r="D123">
        <v>11</v>
      </c>
      <c r="E123">
        <v>0</v>
      </c>
      <c r="F123" t="str" cm="1">
        <f t="array" ref="F123">_xlfn.XLOOKUP(A123&amp;B123,$L$2:$L$739&amp;$M$2:$M$739,$N$2:$N$739)</f>
        <v>Low</v>
      </c>
      <c r="G123">
        <f t="shared" si="1"/>
        <v>0</v>
      </c>
      <c r="H123" t="str">
        <f>_xlfn.XLOOKUP(A123,VE!$A$2:$A$247,VE!$B$2:$B$247)</f>
        <v>Marion_Outside_UGB</v>
      </c>
      <c r="I123" t="str" cm="1">
        <f t="array" ref="I123">_xlfn.IFS(OR(H123=$S$2,H123=$S$13,H123=$S$5),"Other",OR(H123=$S$3,H123=$S$4,H123=$S$7,H123=$S$10,H123=$S$11),"Salem",OR(H123=$S$6),"Keizer",OR(H123=$S$8,H123=$S$9,H123=$S$12),"Marion")</f>
        <v>Other</v>
      </c>
      <c r="L123">
        <v>83</v>
      </c>
      <c r="M123">
        <v>2021</v>
      </c>
      <c r="N123" t="s">
        <v>45</v>
      </c>
      <c r="O123">
        <v>0</v>
      </c>
    </row>
    <row r="124" spans="1:15" x14ac:dyDescent="0.25">
      <c r="A124">
        <v>83</v>
      </c>
      <c r="B124">
        <v>2050</v>
      </c>
      <c r="C124">
        <v>104</v>
      </c>
      <c r="D124">
        <v>11</v>
      </c>
      <c r="E124">
        <v>0</v>
      </c>
      <c r="F124" t="str" cm="1">
        <f t="array" ref="F124">_xlfn.XLOOKUP(A124&amp;B124,$L$2:$L$739&amp;$M$2:$M$739,$N$2:$N$739)</f>
        <v>Low</v>
      </c>
      <c r="G124">
        <f t="shared" si="1"/>
        <v>0</v>
      </c>
      <c r="H124" t="str">
        <f>_xlfn.XLOOKUP(A124,VE!$A$2:$A$247,VE!$B$2:$B$247)</f>
        <v>Marion_Outside_UGB</v>
      </c>
      <c r="I124" t="str" cm="1">
        <f t="array" ref="I124">_xlfn.IFS(OR(H124=$S$2,H124=$S$13,H124=$S$5),"Other",OR(H124=$S$3,H124=$S$4,H124=$S$7,H124=$S$10,H124=$S$11),"Salem",OR(H124=$S$6),"Keizer",OR(H124=$S$8,H124=$S$9,H124=$S$12),"Marion")</f>
        <v>Other</v>
      </c>
      <c r="L124">
        <v>83</v>
      </c>
      <c r="M124">
        <v>2050</v>
      </c>
      <c r="N124" t="s">
        <v>45</v>
      </c>
      <c r="O124">
        <v>0</v>
      </c>
    </row>
    <row r="125" spans="1:15" x14ac:dyDescent="0.25">
      <c r="A125">
        <v>84</v>
      </c>
      <c r="B125">
        <v>2005</v>
      </c>
      <c r="C125">
        <v>21</v>
      </c>
      <c r="D125">
        <v>12</v>
      </c>
      <c r="E125">
        <v>0</v>
      </c>
      <c r="F125" t="str" cm="1">
        <f t="array" ref="F125">_xlfn.XLOOKUP(A125&amp;B125,$L$2:$L$739&amp;$M$2:$M$739,$N$2:$N$739)</f>
        <v>Low</v>
      </c>
      <c r="G125">
        <f t="shared" si="1"/>
        <v>0</v>
      </c>
      <c r="H125" t="str">
        <f>_xlfn.XLOOKUP(A125,VE!$A$2:$A$247,VE!$B$2:$B$247)</f>
        <v>Marion_Outside_UGB</v>
      </c>
      <c r="I125" t="str" cm="1">
        <f t="array" ref="I125">_xlfn.IFS(OR(H125=$S$2,H125=$S$13,H125=$S$5),"Other",OR(H125=$S$3,H125=$S$4,H125=$S$7,H125=$S$10,H125=$S$11),"Salem",OR(H125=$S$6),"Keizer",OR(H125=$S$8,H125=$S$9,H125=$S$12),"Marion")</f>
        <v>Other</v>
      </c>
      <c r="L125">
        <v>84</v>
      </c>
      <c r="M125">
        <v>2005</v>
      </c>
      <c r="N125" t="s">
        <v>45</v>
      </c>
      <c r="O125">
        <v>0</v>
      </c>
    </row>
    <row r="126" spans="1:15" x14ac:dyDescent="0.25">
      <c r="A126">
        <v>84</v>
      </c>
      <c r="B126">
        <v>2021</v>
      </c>
      <c r="C126">
        <v>32</v>
      </c>
      <c r="D126">
        <v>14</v>
      </c>
      <c r="E126">
        <v>0</v>
      </c>
      <c r="F126" t="str" cm="1">
        <f t="array" ref="F126">_xlfn.XLOOKUP(A126&amp;B126,$L$2:$L$739&amp;$M$2:$M$739,$N$2:$N$739)</f>
        <v>Low</v>
      </c>
      <c r="G126">
        <f t="shared" si="1"/>
        <v>0</v>
      </c>
      <c r="H126" t="str">
        <f>_xlfn.XLOOKUP(A126,VE!$A$2:$A$247,VE!$B$2:$B$247)</f>
        <v>Marion_Outside_UGB</v>
      </c>
      <c r="I126" t="str" cm="1">
        <f t="array" ref="I126">_xlfn.IFS(OR(H126=$S$2,H126=$S$13,H126=$S$5),"Other",OR(H126=$S$3,H126=$S$4,H126=$S$7,H126=$S$10,H126=$S$11),"Salem",OR(H126=$S$6),"Keizer",OR(H126=$S$8,H126=$S$9,H126=$S$12),"Marion")</f>
        <v>Other</v>
      </c>
      <c r="L126">
        <v>84</v>
      </c>
      <c r="M126">
        <v>2021</v>
      </c>
      <c r="N126" t="s">
        <v>45</v>
      </c>
      <c r="O126">
        <v>0</v>
      </c>
    </row>
    <row r="127" spans="1:15" x14ac:dyDescent="0.25">
      <c r="A127">
        <v>84</v>
      </c>
      <c r="B127">
        <v>2050</v>
      </c>
      <c r="C127">
        <v>29</v>
      </c>
      <c r="D127">
        <v>13</v>
      </c>
      <c r="E127">
        <v>0</v>
      </c>
      <c r="F127" t="str" cm="1">
        <f t="array" ref="F127">_xlfn.XLOOKUP(A127&amp;B127,$L$2:$L$739&amp;$M$2:$M$739,$N$2:$N$739)</f>
        <v>Low</v>
      </c>
      <c r="G127">
        <f t="shared" si="1"/>
        <v>0</v>
      </c>
      <c r="H127" t="str">
        <f>_xlfn.XLOOKUP(A127,VE!$A$2:$A$247,VE!$B$2:$B$247)</f>
        <v>Marion_Outside_UGB</v>
      </c>
      <c r="I127" t="str" cm="1">
        <f t="array" ref="I127">_xlfn.IFS(OR(H127=$S$2,H127=$S$13,H127=$S$5),"Other",OR(H127=$S$3,H127=$S$4,H127=$S$7,H127=$S$10,H127=$S$11),"Salem",OR(H127=$S$6),"Keizer",OR(H127=$S$8,H127=$S$9,H127=$S$12),"Marion")</f>
        <v>Other</v>
      </c>
      <c r="L127">
        <v>84</v>
      </c>
      <c r="M127">
        <v>2050</v>
      </c>
      <c r="N127" t="s">
        <v>45</v>
      </c>
      <c r="O127">
        <v>0</v>
      </c>
    </row>
    <row r="128" spans="1:15" x14ac:dyDescent="0.25">
      <c r="A128">
        <v>85</v>
      </c>
      <c r="B128">
        <v>2005</v>
      </c>
      <c r="C128">
        <v>34</v>
      </c>
      <c r="D128">
        <v>0</v>
      </c>
      <c r="E128">
        <v>0</v>
      </c>
      <c r="F128" t="str" cm="1">
        <f t="array" ref="F128">_xlfn.XLOOKUP(A128&amp;B128,$L$2:$L$739&amp;$M$2:$M$739,$N$2:$N$739)</f>
        <v>Low</v>
      </c>
      <c r="G128">
        <f t="shared" si="1"/>
        <v>0</v>
      </c>
      <c r="H128" t="str">
        <f>_xlfn.XLOOKUP(A128,VE!$A$2:$A$247,VE!$B$2:$B$247)</f>
        <v>Marion_Outside_UGB</v>
      </c>
      <c r="I128" t="str" cm="1">
        <f t="array" ref="I128">_xlfn.IFS(OR(H128=$S$2,H128=$S$13,H128=$S$5),"Other",OR(H128=$S$3,H128=$S$4,H128=$S$7,H128=$S$10,H128=$S$11),"Salem",OR(H128=$S$6),"Keizer",OR(H128=$S$8,H128=$S$9,H128=$S$12),"Marion")</f>
        <v>Other</v>
      </c>
      <c r="L128">
        <v>85</v>
      </c>
      <c r="M128">
        <v>2005</v>
      </c>
      <c r="N128" t="s">
        <v>45</v>
      </c>
      <c r="O128">
        <v>0</v>
      </c>
    </row>
    <row r="129" spans="1:15" x14ac:dyDescent="0.25">
      <c r="A129">
        <v>85</v>
      </c>
      <c r="B129">
        <v>2021</v>
      </c>
      <c r="C129">
        <v>33</v>
      </c>
      <c r="D129">
        <v>1</v>
      </c>
      <c r="E129">
        <v>0</v>
      </c>
      <c r="F129" t="str" cm="1">
        <f t="array" ref="F129">_xlfn.XLOOKUP(A129&amp;B129,$L$2:$L$739&amp;$M$2:$M$739,$N$2:$N$739)</f>
        <v>Low</v>
      </c>
      <c r="G129">
        <f t="shared" si="1"/>
        <v>0</v>
      </c>
      <c r="H129" t="str">
        <f>_xlfn.XLOOKUP(A129,VE!$A$2:$A$247,VE!$B$2:$B$247)</f>
        <v>Marion_Outside_UGB</v>
      </c>
      <c r="I129" t="str" cm="1">
        <f t="array" ref="I129">_xlfn.IFS(OR(H129=$S$2,H129=$S$13,H129=$S$5),"Other",OR(H129=$S$3,H129=$S$4,H129=$S$7,H129=$S$10,H129=$S$11),"Salem",OR(H129=$S$6),"Keizer",OR(H129=$S$8,H129=$S$9,H129=$S$12),"Marion")</f>
        <v>Other</v>
      </c>
      <c r="L129">
        <v>85</v>
      </c>
      <c r="M129">
        <v>2021</v>
      </c>
      <c r="N129" t="s">
        <v>45</v>
      </c>
      <c r="O129">
        <v>0</v>
      </c>
    </row>
    <row r="130" spans="1:15" x14ac:dyDescent="0.25">
      <c r="A130">
        <v>85</v>
      </c>
      <c r="B130">
        <v>2050</v>
      </c>
      <c r="C130">
        <v>32</v>
      </c>
      <c r="D130">
        <v>1</v>
      </c>
      <c r="E130">
        <v>0</v>
      </c>
      <c r="F130" t="str" cm="1">
        <f t="array" ref="F130">_xlfn.XLOOKUP(A130&amp;B130,$L$2:$L$739&amp;$M$2:$M$739,$N$2:$N$739)</f>
        <v>Low</v>
      </c>
      <c r="G130">
        <f t="shared" si="1"/>
        <v>0</v>
      </c>
      <c r="H130" t="str">
        <f>_xlfn.XLOOKUP(A130,VE!$A$2:$A$247,VE!$B$2:$B$247)</f>
        <v>Marion_Outside_UGB</v>
      </c>
      <c r="I130" t="str" cm="1">
        <f t="array" ref="I130">_xlfn.IFS(OR(H130=$S$2,H130=$S$13,H130=$S$5),"Other",OR(H130=$S$3,H130=$S$4,H130=$S$7,H130=$S$10,H130=$S$11),"Salem",OR(H130=$S$6),"Keizer",OR(H130=$S$8,H130=$S$9,H130=$S$12),"Marion")</f>
        <v>Other</v>
      </c>
      <c r="L130">
        <v>85</v>
      </c>
      <c r="M130">
        <v>2050</v>
      </c>
      <c r="N130" t="s">
        <v>45</v>
      </c>
      <c r="O130">
        <v>0</v>
      </c>
    </row>
    <row r="131" spans="1:15" x14ac:dyDescent="0.25">
      <c r="A131">
        <v>86</v>
      </c>
      <c r="B131">
        <v>2005</v>
      </c>
      <c r="C131">
        <v>19</v>
      </c>
      <c r="D131">
        <v>2</v>
      </c>
      <c r="E131">
        <v>0</v>
      </c>
      <c r="F131" t="str" cm="1">
        <f t="array" ref="F131">_xlfn.XLOOKUP(A131&amp;B131,$L$2:$L$739&amp;$M$2:$M$739,$N$2:$N$739)</f>
        <v>Low</v>
      </c>
      <c r="G131">
        <f t="shared" ref="G131:G194" si="2">IF(F131="High",SUM(C131:D131),0)</f>
        <v>0</v>
      </c>
      <c r="H131" t="str">
        <f>_xlfn.XLOOKUP(A131,VE!$A$2:$A$247,VE!$B$2:$B$247)</f>
        <v>Marion_Outside_UGB</v>
      </c>
      <c r="I131" t="str" cm="1">
        <f t="array" ref="I131">_xlfn.IFS(OR(H131=$S$2,H131=$S$13,H131=$S$5),"Other",OR(H131=$S$3,H131=$S$4,H131=$S$7,H131=$S$10,H131=$S$11),"Salem",OR(H131=$S$6),"Keizer",OR(H131=$S$8,H131=$S$9,H131=$S$12),"Marion")</f>
        <v>Other</v>
      </c>
      <c r="L131">
        <v>86</v>
      </c>
      <c r="M131">
        <v>2005</v>
      </c>
      <c r="N131" t="s">
        <v>45</v>
      </c>
      <c r="O131">
        <v>0</v>
      </c>
    </row>
    <row r="132" spans="1:15" x14ac:dyDescent="0.25">
      <c r="A132">
        <v>86</v>
      </c>
      <c r="B132">
        <v>2021</v>
      </c>
      <c r="C132">
        <v>23</v>
      </c>
      <c r="D132">
        <v>0</v>
      </c>
      <c r="E132">
        <v>0</v>
      </c>
      <c r="F132" t="str" cm="1">
        <f t="array" ref="F132">_xlfn.XLOOKUP(A132&amp;B132,$L$2:$L$739&amp;$M$2:$M$739,$N$2:$N$739)</f>
        <v>Low</v>
      </c>
      <c r="G132">
        <f t="shared" si="2"/>
        <v>0</v>
      </c>
      <c r="H132" t="str">
        <f>_xlfn.XLOOKUP(A132,VE!$A$2:$A$247,VE!$B$2:$B$247)</f>
        <v>Marion_Outside_UGB</v>
      </c>
      <c r="I132" t="str" cm="1">
        <f t="array" ref="I132">_xlfn.IFS(OR(H132=$S$2,H132=$S$13,H132=$S$5),"Other",OR(H132=$S$3,H132=$S$4,H132=$S$7,H132=$S$10,H132=$S$11),"Salem",OR(H132=$S$6),"Keizer",OR(H132=$S$8,H132=$S$9,H132=$S$12),"Marion")</f>
        <v>Other</v>
      </c>
      <c r="L132">
        <v>86</v>
      </c>
      <c r="M132">
        <v>2021</v>
      </c>
      <c r="N132" t="s">
        <v>45</v>
      </c>
      <c r="O132">
        <v>0</v>
      </c>
    </row>
    <row r="133" spans="1:15" x14ac:dyDescent="0.25">
      <c r="A133">
        <v>86</v>
      </c>
      <c r="B133">
        <v>2050</v>
      </c>
      <c r="C133">
        <v>24</v>
      </c>
      <c r="D133">
        <v>0</v>
      </c>
      <c r="E133">
        <v>0</v>
      </c>
      <c r="F133" t="str" cm="1">
        <f t="array" ref="F133">_xlfn.XLOOKUP(A133&amp;B133,$L$2:$L$739&amp;$M$2:$M$739,$N$2:$N$739)</f>
        <v>Low</v>
      </c>
      <c r="G133">
        <f t="shared" si="2"/>
        <v>0</v>
      </c>
      <c r="H133" t="str">
        <f>_xlfn.XLOOKUP(A133,VE!$A$2:$A$247,VE!$B$2:$B$247)</f>
        <v>Marion_Outside_UGB</v>
      </c>
      <c r="I133" t="str" cm="1">
        <f t="array" ref="I133">_xlfn.IFS(OR(H133=$S$2,H133=$S$13,H133=$S$5),"Other",OR(H133=$S$3,H133=$S$4,H133=$S$7,H133=$S$10,H133=$S$11),"Salem",OR(H133=$S$6),"Keizer",OR(H133=$S$8,H133=$S$9,H133=$S$12),"Marion")</f>
        <v>Other</v>
      </c>
      <c r="L133">
        <v>86</v>
      </c>
      <c r="M133">
        <v>2050</v>
      </c>
      <c r="N133" t="s">
        <v>45</v>
      </c>
      <c r="O133">
        <v>0</v>
      </c>
    </row>
    <row r="134" spans="1:15" x14ac:dyDescent="0.25">
      <c r="A134">
        <v>87</v>
      </c>
      <c r="B134">
        <v>2005</v>
      </c>
      <c r="C134">
        <v>778</v>
      </c>
      <c r="D134">
        <v>1</v>
      </c>
      <c r="E134">
        <v>0</v>
      </c>
      <c r="F134" t="str" cm="1">
        <f t="array" ref="F134">_xlfn.XLOOKUP(A134&amp;B134,$L$2:$L$739&amp;$M$2:$M$739,$N$2:$N$739)</f>
        <v>Low</v>
      </c>
      <c r="G134">
        <f t="shared" si="2"/>
        <v>0</v>
      </c>
      <c r="H134" t="str">
        <f>_xlfn.XLOOKUP(A134,VE!$A$2:$A$247,VE!$B$2:$B$247)</f>
        <v>Keizer</v>
      </c>
      <c r="I134" t="str" cm="1">
        <f t="array" ref="I134">_xlfn.IFS(OR(H134=$S$2,H134=$S$13,H134=$S$5),"Other",OR(H134=$S$3,H134=$S$4,H134=$S$7,H134=$S$10,H134=$S$11),"Salem",OR(H134=$S$6),"Keizer",OR(H134=$S$8,H134=$S$9,H134=$S$12),"Marion")</f>
        <v>Keizer</v>
      </c>
      <c r="L134">
        <v>87</v>
      </c>
      <c r="M134">
        <v>2005</v>
      </c>
      <c r="N134" t="s">
        <v>45</v>
      </c>
      <c r="O134">
        <v>0</v>
      </c>
    </row>
    <row r="135" spans="1:15" x14ac:dyDescent="0.25">
      <c r="A135">
        <v>87</v>
      </c>
      <c r="B135">
        <v>2021</v>
      </c>
      <c r="C135">
        <v>869</v>
      </c>
      <c r="D135">
        <v>36</v>
      </c>
      <c r="E135">
        <v>0</v>
      </c>
      <c r="F135" t="str" cm="1">
        <f t="array" ref="F135">_xlfn.XLOOKUP(A135&amp;B135,$L$2:$L$739&amp;$M$2:$M$739,$N$2:$N$739)</f>
        <v>Low</v>
      </c>
      <c r="G135">
        <f t="shared" si="2"/>
        <v>0</v>
      </c>
      <c r="H135" t="str">
        <f>_xlfn.XLOOKUP(A135,VE!$A$2:$A$247,VE!$B$2:$B$247)</f>
        <v>Keizer</v>
      </c>
      <c r="I135" t="str" cm="1">
        <f t="array" ref="I135">_xlfn.IFS(OR(H135=$S$2,H135=$S$13,H135=$S$5),"Other",OR(H135=$S$3,H135=$S$4,H135=$S$7,H135=$S$10,H135=$S$11),"Salem",OR(H135=$S$6),"Keizer",OR(H135=$S$8,H135=$S$9,H135=$S$12),"Marion")</f>
        <v>Keizer</v>
      </c>
      <c r="L135">
        <v>87</v>
      </c>
      <c r="M135">
        <v>2021</v>
      </c>
      <c r="N135" t="s">
        <v>45</v>
      </c>
      <c r="O135">
        <v>0</v>
      </c>
    </row>
    <row r="136" spans="1:15" x14ac:dyDescent="0.25">
      <c r="A136">
        <v>87</v>
      </c>
      <c r="B136">
        <v>2050</v>
      </c>
      <c r="C136">
        <v>981</v>
      </c>
      <c r="D136">
        <v>41</v>
      </c>
      <c r="E136">
        <v>0</v>
      </c>
      <c r="F136" t="str" cm="1">
        <f t="array" ref="F136">_xlfn.XLOOKUP(A136&amp;B136,$L$2:$L$739&amp;$M$2:$M$739,$N$2:$N$739)</f>
        <v>Low</v>
      </c>
      <c r="G136">
        <f t="shared" si="2"/>
        <v>0</v>
      </c>
      <c r="H136" t="str">
        <f>_xlfn.XLOOKUP(A136,VE!$A$2:$A$247,VE!$B$2:$B$247)</f>
        <v>Keizer</v>
      </c>
      <c r="I136" t="str" cm="1">
        <f t="array" ref="I136">_xlfn.IFS(OR(H136=$S$2,H136=$S$13,H136=$S$5),"Other",OR(H136=$S$3,H136=$S$4,H136=$S$7,H136=$S$10,H136=$S$11),"Salem",OR(H136=$S$6),"Keizer",OR(H136=$S$8,H136=$S$9,H136=$S$12),"Marion")</f>
        <v>Keizer</v>
      </c>
      <c r="L136">
        <v>87</v>
      </c>
      <c r="M136">
        <v>2050</v>
      </c>
      <c r="N136" t="s">
        <v>45</v>
      </c>
      <c r="O136">
        <v>0</v>
      </c>
    </row>
    <row r="137" spans="1:15" x14ac:dyDescent="0.25">
      <c r="A137">
        <v>88</v>
      </c>
      <c r="B137">
        <v>2005</v>
      </c>
      <c r="C137">
        <v>423</v>
      </c>
      <c r="D137">
        <v>199</v>
      </c>
      <c r="E137">
        <v>0</v>
      </c>
      <c r="F137" t="str" cm="1">
        <f t="array" ref="F137">_xlfn.XLOOKUP(A137&amp;B137,$L$2:$L$739&amp;$M$2:$M$739,$N$2:$N$739)</f>
        <v>Low</v>
      </c>
      <c r="G137">
        <f t="shared" si="2"/>
        <v>0</v>
      </c>
      <c r="H137" t="str">
        <f>_xlfn.XLOOKUP(A137,VE!$A$2:$A$247,VE!$B$2:$B$247)</f>
        <v>Keizer</v>
      </c>
      <c r="I137" t="str" cm="1">
        <f t="array" ref="I137">_xlfn.IFS(OR(H137=$S$2,H137=$S$13,H137=$S$5),"Other",OR(H137=$S$3,H137=$S$4,H137=$S$7,H137=$S$10,H137=$S$11),"Salem",OR(H137=$S$6),"Keizer",OR(H137=$S$8,H137=$S$9,H137=$S$12),"Marion")</f>
        <v>Keizer</v>
      </c>
      <c r="L137">
        <v>88</v>
      </c>
      <c r="M137">
        <v>2005</v>
      </c>
      <c r="N137" t="s">
        <v>45</v>
      </c>
      <c r="O137">
        <v>0</v>
      </c>
    </row>
    <row r="138" spans="1:15" x14ac:dyDescent="0.25">
      <c r="A138">
        <v>88</v>
      </c>
      <c r="B138">
        <v>2021</v>
      </c>
      <c r="C138">
        <v>471</v>
      </c>
      <c r="D138">
        <v>157</v>
      </c>
      <c r="E138">
        <v>0</v>
      </c>
      <c r="F138" t="str" cm="1">
        <f t="array" ref="F138">_xlfn.XLOOKUP(A138&amp;B138,$L$2:$L$739&amp;$M$2:$M$739,$N$2:$N$739)</f>
        <v>Low</v>
      </c>
      <c r="G138">
        <f t="shared" si="2"/>
        <v>0</v>
      </c>
      <c r="H138" t="str">
        <f>_xlfn.XLOOKUP(A138,VE!$A$2:$A$247,VE!$B$2:$B$247)</f>
        <v>Keizer</v>
      </c>
      <c r="I138" t="str" cm="1">
        <f t="array" ref="I138">_xlfn.IFS(OR(H138=$S$2,H138=$S$13,H138=$S$5),"Other",OR(H138=$S$3,H138=$S$4,H138=$S$7,H138=$S$10,H138=$S$11),"Salem",OR(H138=$S$6),"Keizer",OR(H138=$S$8,H138=$S$9,H138=$S$12),"Marion")</f>
        <v>Keizer</v>
      </c>
      <c r="L138">
        <v>88</v>
      </c>
      <c r="M138">
        <v>2021</v>
      </c>
      <c r="N138" t="s">
        <v>45</v>
      </c>
      <c r="O138">
        <v>0</v>
      </c>
    </row>
    <row r="139" spans="1:15" x14ac:dyDescent="0.25">
      <c r="A139">
        <v>88</v>
      </c>
      <c r="B139">
        <v>2050</v>
      </c>
      <c r="C139">
        <v>494</v>
      </c>
      <c r="D139">
        <v>192</v>
      </c>
      <c r="E139">
        <v>0</v>
      </c>
      <c r="F139" t="str" cm="1">
        <f t="array" ref="F139">_xlfn.XLOOKUP(A139&amp;B139,$L$2:$L$739&amp;$M$2:$M$739,$N$2:$N$739)</f>
        <v>Low</v>
      </c>
      <c r="G139">
        <f t="shared" si="2"/>
        <v>0</v>
      </c>
      <c r="H139" t="str">
        <f>_xlfn.XLOOKUP(A139,VE!$A$2:$A$247,VE!$B$2:$B$247)</f>
        <v>Keizer</v>
      </c>
      <c r="I139" t="str" cm="1">
        <f t="array" ref="I139">_xlfn.IFS(OR(H139=$S$2,H139=$S$13,H139=$S$5),"Other",OR(H139=$S$3,H139=$S$4,H139=$S$7,H139=$S$10,H139=$S$11),"Salem",OR(H139=$S$6),"Keizer",OR(H139=$S$8,H139=$S$9,H139=$S$12),"Marion")</f>
        <v>Keizer</v>
      </c>
      <c r="L139">
        <v>88</v>
      </c>
      <c r="M139">
        <v>2050</v>
      </c>
      <c r="N139" t="s">
        <v>45</v>
      </c>
      <c r="O139">
        <v>0</v>
      </c>
    </row>
    <row r="140" spans="1:15" x14ac:dyDescent="0.25">
      <c r="A140">
        <v>89</v>
      </c>
      <c r="B140">
        <v>2005</v>
      </c>
      <c r="C140">
        <v>555</v>
      </c>
      <c r="D140">
        <v>218</v>
      </c>
      <c r="E140">
        <v>0</v>
      </c>
      <c r="F140" t="str" cm="1">
        <f t="array" ref="F140">_xlfn.XLOOKUP(A140&amp;B140,$L$2:$L$739&amp;$M$2:$M$739,$N$2:$N$739)</f>
        <v>Low</v>
      </c>
      <c r="G140">
        <f t="shared" si="2"/>
        <v>0</v>
      </c>
      <c r="H140" t="str">
        <f>_xlfn.XLOOKUP(A140,VE!$A$2:$A$247,VE!$B$2:$B$247)</f>
        <v>Keizer</v>
      </c>
      <c r="I140" t="str" cm="1">
        <f t="array" ref="I140">_xlfn.IFS(OR(H140=$S$2,H140=$S$13,H140=$S$5),"Other",OR(H140=$S$3,H140=$S$4,H140=$S$7,H140=$S$10,H140=$S$11),"Salem",OR(H140=$S$6),"Keizer",OR(H140=$S$8,H140=$S$9,H140=$S$12),"Marion")</f>
        <v>Keizer</v>
      </c>
      <c r="L140">
        <v>89</v>
      </c>
      <c r="M140">
        <v>2005</v>
      </c>
      <c r="N140" t="s">
        <v>45</v>
      </c>
      <c r="O140">
        <v>0</v>
      </c>
    </row>
    <row r="141" spans="1:15" x14ac:dyDescent="0.25">
      <c r="A141">
        <v>89</v>
      </c>
      <c r="B141">
        <v>2021</v>
      </c>
      <c r="C141">
        <v>604</v>
      </c>
      <c r="D141">
        <v>223</v>
      </c>
      <c r="E141">
        <v>0</v>
      </c>
      <c r="F141" t="str" cm="1">
        <f t="array" ref="F141">_xlfn.XLOOKUP(A141&amp;B141,$L$2:$L$739&amp;$M$2:$M$739,$N$2:$N$739)</f>
        <v>Low</v>
      </c>
      <c r="G141">
        <f t="shared" si="2"/>
        <v>0</v>
      </c>
      <c r="H141" t="str">
        <f>_xlfn.XLOOKUP(A141,VE!$A$2:$A$247,VE!$B$2:$B$247)</f>
        <v>Keizer</v>
      </c>
      <c r="I141" t="str" cm="1">
        <f t="array" ref="I141">_xlfn.IFS(OR(H141=$S$2,H141=$S$13,H141=$S$5),"Other",OR(H141=$S$3,H141=$S$4,H141=$S$7,H141=$S$10,H141=$S$11),"Salem",OR(H141=$S$6),"Keizer",OR(H141=$S$8,H141=$S$9,H141=$S$12),"Marion")</f>
        <v>Keizer</v>
      </c>
      <c r="L141">
        <v>89</v>
      </c>
      <c r="M141">
        <v>2021</v>
      </c>
      <c r="N141" t="s">
        <v>45</v>
      </c>
      <c r="O141">
        <v>0</v>
      </c>
    </row>
    <row r="142" spans="1:15" x14ac:dyDescent="0.25">
      <c r="A142">
        <v>89</v>
      </c>
      <c r="B142">
        <v>2050</v>
      </c>
      <c r="C142">
        <v>626</v>
      </c>
      <c r="D142">
        <v>232</v>
      </c>
      <c r="E142">
        <v>0</v>
      </c>
      <c r="F142" t="str" cm="1">
        <f t="array" ref="F142">_xlfn.XLOOKUP(A142&amp;B142,$L$2:$L$739&amp;$M$2:$M$739,$N$2:$N$739)</f>
        <v>Low</v>
      </c>
      <c r="G142">
        <f t="shared" si="2"/>
        <v>0</v>
      </c>
      <c r="H142" t="str">
        <f>_xlfn.XLOOKUP(A142,VE!$A$2:$A$247,VE!$B$2:$B$247)</f>
        <v>Keizer</v>
      </c>
      <c r="I142" t="str" cm="1">
        <f t="array" ref="I142">_xlfn.IFS(OR(H142=$S$2,H142=$S$13,H142=$S$5),"Other",OR(H142=$S$3,H142=$S$4,H142=$S$7,H142=$S$10,H142=$S$11),"Salem",OR(H142=$S$6),"Keizer",OR(H142=$S$8,H142=$S$9,H142=$S$12),"Marion")</f>
        <v>Keizer</v>
      </c>
      <c r="L142">
        <v>89</v>
      </c>
      <c r="M142">
        <v>2050</v>
      </c>
      <c r="N142" t="s">
        <v>45</v>
      </c>
      <c r="O142">
        <v>0</v>
      </c>
    </row>
    <row r="143" spans="1:15" x14ac:dyDescent="0.25">
      <c r="A143">
        <v>90</v>
      </c>
      <c r="B143">
        <v>2005</v>
      </c>
      <c r="C143">
        <v>185</v>
      </c>
      <c r="D143">
        <v>114</v>
      </c>
      <c r="E143">
        <v>0</v>
      </c>
      <c r="F143" t="str" cm="1">
        <f t="array" ref="F143">_xlfn.XLOOKUP(A143&amp;B143,$L$2:$L$739&amp;$M$2:$M$739,$N$2:$N$739)</f>
        <v>Low</v>
      </c>
      <c r="G143">
        <f t="shared" si="2"/>
        <v>0</v>
      </c>
      <c r="H143" t="str">
        <f>_xlfn.XLOOKUP(A143,VE!$A$2:$A$247,VE!$B$2:$B$247)</f>
        <v>Keizer</v>
      </c>
      <c r="I143" t="str" cm="1">
        <f t="array" ref="I143">_xlfn.IFS(OR(H143=$S$2,H143=$S$13,H143=$S$5),"Other",OR(H143=$S$3,H143=$S$4,H143=$S$7,H143=$S$10,H143=$S$11),"Salem",OR(H143=$S$6),"Keizer",OR(H143=$S$8,H143=$S$9,H143=$S$12),"Marion")</f>
        <v>Keizer</v>
      </c>
      <c r="L143">
        <v>90</v>
      </c>
      <c r="M143">
        <v>2005</v>
      </c>
      <c r="N143" t="s">
        <v>45</v>
      </c>
      <c r="O143">
        <v>0</v>
      </c>
    </row>
    <row r="144" spans="1:15" x14ac:dyDescent="0.25">
      <c r="A144">
        <v>90</v>
      </c>
      <c r="B144">
        <v>2021</v>
      </c>
      <c r="C144">
        <v>166</v>
      </c>
      <c r="D144">
        <v>147</v>
      </c>
      <c r="E144">
        <v>0</v>
      </c>
      <c r="F144" t="str" cm="1">
        <f t="array" ref="F144">_xlfn.XLOOKUP(A144&amp;B144,$L$2:$L$739&amp;$M$2:$M$739,$N$2:$N$739)</f>
        <v>Low</v>
      </c>
      <c r="G144">
        <f t="shared" si="2"/>
        <v>0</v>
      </c>
      <c r="H144" t="str">
        <f>_xlfn.XLOOKUP(A144,VE!$A$2:$A$247,VE!$B$2:$B$247)</f>
        <v>Keizer</v>
      </c>
      <c r="I144" t="str" cm="1">
        <f t="array" ref="I144">_xlfn.IFS(OR(H144=$S$2,H144=$S$13,H144=$S$5),"Other",OR(H144=$S$3,H144=$S$4,H144=$S$7,H144=$S$10,H144=$S$11),"Salem",OR(H144=$S$6),"Keizer",OR(H144=$S$8,H144=$S$9,H144=$S$12),"Marion")</f>
        <v>Keizer</v>
      </c>
      <c r="L144">
        <v>90</v>
      </c>
      <c r="M144">
        <v>2021</v>
      </c>
      <c r="N144" t="s">
        <v>45</v>
      </c>
      <c r="O144">
        <v>0</v>
      </c>
    </row>
    <row r="145" spans="1:15" x14ac:dyDescent="0.25">
      <c r="A145">
        <v>90</v>
      </c>
      <c r="B145">
        <v>2050</v>
      </c>
      <c r="C145">
        <v>165</v>
      </c>
      <c r="D145">
        <v>147</v>
      </c>
      <c r="E145">
        <v>0</v>
      </c>
      <c r="F145" t="str" cm="1">
        <f t="array" ref="F145">_xlfn.XLOOKUP(A145&amp;B145,$L$2:$L$739&amp;$M$2:$M$739,$N$2:$N$739)</f>
        <v>Low</v>
      </c>
      <c r="G145">
        <f t="shared" si="2"/>
        <v>0</v>
      </c>
      <c r="H145" t="str">
        <f>_xlfn.XLOOKUP(A145,VE!$A$2:$A$247,VE!$B$2:$B$247)</f>
        <v>Keizer</v>
      </c>
      <c r="I145" t="str" cm="1">
        <f t="array" ref="I145">_xlfn.IFS(OR(H145=$S$2,H145=$S$13,H145=$S$5),"Other",OR(H145=$S$3,H145=$S$4,H145=$S$7,H145=$S$10,H145=$S$11),"Salem",OR(H145=$S$6),"Keizer",OR(H145=$S$8,H145=$S$9,H145=$S$12),"Marion")</f>
        <v>Keizer</v>
      </c>
      <c r="L145">
        <v>90</v>
      </c>
      <c r="M145">
        <v>2050</v>
      </c>
      <c r="N145" t="s">
        <v>45</v>
      </c>
      <c r="O145">
        <v>0</v>
      </c>
    </row>
    <row r="146" spans="1:15" x14ac:dyDescent="0.25">
      <c r="A146">
        <v>91</v>
      </c>
      <c r="B146">
        <v>2005</v>
      </c>
      <c r="C146">
        <v>289</v>
      </c>
      <c r="D146">
        <v>264</v>
      </c>
      <c r="E146">
        <v>0</v>
      </c>
      <c r="F146" t="str" cm="1">
        <f t="array" ref="F146">_xlfn.XLOOKUP(A146&amp;B146,$L$2:$L$739&amp;$M$2:$M$739,$N$2:$N$739)</f>
        <v>Low</v>
      </c>
      <c r="G146">
        <f t="shared" si="2"/>
        <v>0</v>
      </c>
      <c r="H146" t="str">
        <f>_xlfn.XLOOKUP(A146,VE!$A$2:$A$247,VE!$B$2:$B$247)</f>
        <v>Keizer</v>
      </c>
      <c r="I146" t="str" cm="1">
        <f t="array" ref="I146">_xlfn.IFS(OR(H146=$S$2,H146=$S$13,H146=$S$5),"Other",OR(H146=$S$3,H146=$S$4,H146=$S$7,H146=$S$10,H146=$S$11),"Salem",OR(H146=$S$6),"Keizer",OR(H146=$S$8,H146=$S$9,H146=$S$12),"Marion")</f>
        <v>Keizer</v>
      </c>
      <c r="L146">
        <v>91</v>
      </c>
      <c r="M146">
        <v>2005</v>
      </c>
      <c r="N146" t="s">
        <v>45</v>
      </c>
      <c r="O146">
        <v>0</v>
      </c>
    </row>
    <row r="147" spans="1:15" x14ac:dyDescent="0.25">
      <c r="A147">
        <v>91</v>
      </c>
      <c r="B147">
        <v>2021</v>
      </c>
      <c r="C147">
        <v>275</v>
      </c>
      <c r="D147">
        <v>510</v>
      </c>
      <c r="E147">
        <v>0</v>
      </c>
      <c r="F147" t="str" cm="1">
        <f t="array" ref="F147">_xlfn.XLOOKUP(A147&amp;B147,$L$2:$L$739&amp;$M$2:$M$739,$N$2:$N$739)</f>
        <v>High</v>
      </c>
      <c r="G147">
        <f t="shared" si="2"/>
        <v>785</v>
      </c>
      <c r="H147" t="str">
        <f>_xlfn.XLOOKUP(A147,VE!$A$2:$A$247,VE!$B$2:$B$247)</f>
        <v>Keizer</v>
      </c>
      <c r="I147" t="str" cm="1">
        <f t="array" ref="I147">_xlfn.IFS(OR(H147=$S$2,H147=$S$13,H147=$S$5),"Other",OR(H147=$S$3,H147=$S$4,H147=$S$7,H147=$S$10,H147=$S$11),"Salem",OR(H147=$S$6),"Keizer",OR(H147=$S$8,H147=$S$9,H147=$S$12),"Marion")</f>
        <v>Keizer</v>
      </c>
      <c r="L147">
        <v>91</v>
      </c>
      <c r="M147">
        <v>2021</v>
      </c>
      <c r="N147" t="s">
        <v>46</v>
      </c>
      <c r="O147">
        <v>1</v>
      </c>
    </row>
    <row r="148" spans="1:15" x14ac:dyDescent="0.25">
      <c r="A148">
        <v>91</v>
      </c>
      <c r="B148">
        <v>2050</v>
      </c>
      <c r="C148">
        <v>274</v>
      </c>
      <c r="D148">
        <v>509</v>
      </c>
      <c r="E148">
        <v>0</v>
      </c>
      <c r="F148" t="str" cm="1">
        <f t="array" ref="F148">_xlfn.XLOOKUP(A148&amp;B148,$L$2:$L$739&amp;$M$2:$M$739,$N$2:$N$739)</f>
        <v>High</v>
      </c>
      <c r="G148">
        <f t="shared" si="2"/>
        <v>783</v>
      </c>
      <c r="H148" t="str">
        <f>_xlfn.XLOOKUP(A148,VE!$A$2:$A$247,VE!$B$2:$B$247)</f>
        <v>Keizer</v>
      </c>
      <c r="I148" t="str" cm="1">
        <f t="array" ref="I148">_xlfn.IFS(OR(H148=$S$2,H148=$S$13,H148=$S$5),"Other",OR(H148=$S$3,H148=$S$4,H148=$S$7,H148=$S$10,H148=$S$11),"Salem",OR(H148=$S$6),"Keizer",OR(H148=$S$8,H148=$S$9,H148=$S$12),"Marion")</f>
        <v>Keizer</v>
      </c>
      <c r="L148">
        <v>91</v>
      </c>
      <c r="M148">
        <v>2050</v>
      </c>
      <c r="N148" t="s">
        <v>46</v>
      </c>
      <c r="O148">
        <v>1</v>
      </c>
    </row>
    <row r="149" spans="1:15" x14ac:dyDescent="0.25">
      <c r="A149">
        <v>92</v>
      </c>
      <c r="B149">
        <v>2005</v>
      </c>
      <c r="C149">
        <v>359</v>
      </c>
      <c r="D149">
        <v>54</v>
      </c>
      <c r="E149">
        <v>0</v>
      </c>
      <c r="F149" t="str" cm="1">
        <f t="array" ref="F149">_xlfn.XLOOKUP(A149&amp;B149,$L$2:$L$739&amp;$M$2:$M$739,$N$2:$N$739)</f>
        <v>Low</v>
      </c>
      <c r="G149">
        <f t="shared" si="2"/>
        <v>0</v>
      </c>
      <c r="H149" t="str">
        <f>_xlfn.XLOOKUP(A149,VE!$A$2:$A$247,VE!$B$2:$B$247)</f>
        <v>Keizer</v>
      </c>
      <c r="I149" t="str" cm="1">
        <f t="array" ref="I149">_xlfn.IFS(OR(H149=$S$2,H149=$S$13,H149=$S$5),"Other",OR(H149=$S$3,H149=$S$4,H149=$S$7,H149=$S$10,H149=$S$11),"Salem",OR(H149=$S$6),"Keizer",OR(H149=$S$8,H149=$S$9,H149=$S$12),"Marion")</f>
        <v>Keizer</v>
      </c>
      <c r="L149">
        <v>92</v>
      </c>
      <c r="M149">
        <v>2005</v>
      </c>
      <c r="N149" t="s">
        <v>45</v>
      </c>
      <c r="O149">
        <v>0</v>
      </c>
    </row>
    <row r="150" spans="1:15" x14ac:dyDescent="0.25">
      <c r="A150">
        <v>92</v>
      </c>
      <c r="B150">
        <v>2021</v>
      </c>
      <c r="C150">
        <v>359</v>
      </c>
      <c r="D150">
        <v>54</v>
      </c>
      <c r="E150">
        <v>0</v>
      </c>
      <c r="F150" t="str" cm="1">
        <f t="array" ref="F150">_xlfn.XLOOKUP(A150&amp;B150,$L$2:$L$739&amp;$M$2:$M$739,$N$2:$N$739)</f>
        <v>High</v>
      </c>
      <c r="G150">
        <f t="shared" si="2"/>
        <v>413</v>
      </c>
      <c r="H150" t="str">
        <f>_xlfn.XLOOKUP(A150,VE!$A$2:$A$247,VE!$B$2:$B$247)</f>
        <v>Keizer</v>
      </c>
      <c r="I150" t="str" cm="1">
        <f t="array" ref="I150">_xlfn.IFS(OR(H150=$S$2,H150=$S$13,H150=$S$5),"Other",OR(H150=$S$3,H150=$S$4,H150=$S$7,H150=$S$10,H150=$S$11),"Salem",OR(H150=$S$6),"Keizer",OR(H150=$S$8,H150=$S$9,H150=$S$12),"Marion")</f>
        <v>Keizer</v>
      </c>
      <c r="L150">
        <v>92</v>
      </c>
      <c r="M150">
        <v>2021</v>
      </c>
      <c r="N150" t="s">
        <v>46</v>
      </c>
      <c r="O150">
        <v>1</v>
      </c>
    </row>
    <row r="151" spans="1:15" x14ac:dyDescent="0.25">
      <c r="A151">
        <v>92</v>
      </c>
      <c r="B151">
        <v>2050</v>
      </c>
      <c r="C151">
        <v>365</v>
      </c>
      <c r="D151">
        <v>54</v>
      </c>
      <c r="E151">
        <v>0</v>
      </c>
      <c r="F151" t="str" cm="1">
        <f t="array" ref="F151">_xlfn.XLOOKUP(A151&amp;B151,$L$2:$L$739&amp;$M$2:$M$739,$N$2:$N$739)</f>
        <v>High</v>
      </c>
      <c r="G151">
        <f t="shared" si="2"/>
        <v>419</v>
      </c>
      <c r="H151" t="str">
        <f>_xlfn.XLOOKUP(A151,VE!$A$2:$A$247,VE!$B$2:$B$247)</f>
        <v>Keizer</v>
      </c>
      <c r="I151" t="str" cm="1">
        <f t="array" ref="I151">_xlfn.IFS(OR(H151=$S$2,H151=$S$13,H151=$S$5),"Other",OR(H151=$S$3,H151=$S$4,H151=$S$7,H151=$S$10,H151=$S$11),"Salem",OR(H151=$S$6),"Keizer",OR(H151=$S$8,H151=$S$9,H151=$S$12),"Marion")</f>
        <v>Keizer</v>
      </c>
      <c r="L151">
        <v>92</v>
      </c>
      <c r="M151">
        <v>2050</v>
      </c>
      <c r="N151" t="s">
        <v>46</v>
      </c>
      <c r="O151">
        <v>1</v>
      </c>
    </row>
    <row r="152" spans="1:15" x14ac:dyDescent="0.25">
      <c r="A152">
        <v>94</v>
      </c>
      <c r="B152">
        <v>2005</v>
      </c>
      <c r="C152">
        <v>402</v>
      </c>
      <c r="D152">
        <v>0</v>
      </c>
      <c r="E152">
        <v>0</v>
      </c>
      <c r="F152" t="str" cm="1">
        <f t="array" ref="F152">_xlfn.XLOOKUP(A152&amp;B152,$L$2:$L$739&amp;$M$2:$M$739,$N$2:$N$739)</f>
        <v>Low</v>
      </c>
      <c r="G152">
        <f t="shared" si="2"/>
        <v>0</v>
      </c>
      <c r="H152" t="str">
        <f>_xlfn.XLOOKUP(A152,VE!$A$2:$A$247,VE!$B$2:$B$247)</f>
        <v>Keizer</v>
      </c>
      <c r="I152" t="str" cm="1">
        <f t="array" ref="I152">_xlfn.IFS(OR(H152=$S$2,H152=$S$13,H152=$S$5),"Other",OR(H152=$S$3,H152=$S$4,H152=$S$7,H152=$S$10,H152=$S$11),"Salem",OR(H152=$S$6),"Keizer",OR(H152=$S$8,H152=$S$9,H152=$S$12),"Marion")</f>
        <v>Keizer</v>
      </c>
      <c r="L152">
        <v>94</v>
      </c>
      <c r="M152">
        <v>2005</v>
      </c>
      <c r="N152" t="s">
        <v>45</v>
      </c>
      <c r="O152">
        <v>0</v>
      </c>
    </row>
    <row r="153" spans="1:15" x14ac:dyDescent="0.25">
      <c r="A153">
        <v>94</v>
      </c>
      <c r="B153">
        <v>2021</v>
      </c>
      <c r="C153">
        <v>425</v>
      </c>
      <c r="D153">
        <v>9</v>
      </c>
      <c r="E153">
        <v>0</v>
      </c>
      <c r="F153" t="str" cm="1">
        <f t="array" ref="F153">_xlfn.XLOOKUP(A153&amp;B153,$L$2:$L$739&amp;$M$2:$M$739,$N$2:$N$739)</f>
        <v>Low</v>
      </c>
      <c r="G153">
        <f t="shared" si="2"/>
        <v>0</v>
      </c>
      <c r="H153" t="str">
        <f>_xlfn.XLOOKUP(A153,VE!$A$2:$A$247,VE!$B$2:$B$247)</f>
        <v>Keizer</v>
      </c>
      <c r="I153" t="str" cm="1">
        <f t="array" ref="I153">_xlfn.IFS(OR(H153=$S$2,H153=$S$13,H153=$S$5),"Other",OR(H153=$S$3,H153=$S$4,H153=$S$7,H153=$S$10,H153=$S$11),"Salem",OR(H153=$S$6),"Keizer",OR(H153=$S$8,H153=$S$9,H153=$S$12),"Marion")</f>
        <v>Keizer</v>
      </c>
      <c r="L153">
        <v>94</v>
      </c>
      <c r="M153">
        <v>2021</v>
      </c>
      <c r="N153" t="s">
        <v>45</v>
      </c>
      <c r="O153">
        <v>0</v>
      </c>
    </row>
    <row r="154" spans="1:15" x14ac:dyDescent="0.25">
      <c r="A154">
        <v>94</v>
      </c>
      <c r="B154">
        <v>2050</v>
      </c>
      <c r="C154">
        <v>443</v>
      </c>
      <c r="D154">
        <v>9</v>
      </c>
      <c r="E154">
        <v>0</v>
      </c>
      <c r="F154" t="str" cm="1">
        <f t="array" ref="F154">_xlfn.XLOOKUP(A154&amp;B154,$L$2:$L$739&amp;$M$2:$M$739,$N$2:$N$739)</f>
        <v>Low</v>
      </c>
      <c r="G154">
        <f t="shared" si="2"/>
        <v>0</v>
      </c>
      <c r="H154" t="str">
        <f>_xlfn.XLOOKUP(A154,VE!$A$2:$A$247,VE!$B$2:$B$247)</f>
        <v>Keizer</v>
      </c>
      <c r="I154" t="str" cm="1">
        <f t="array" ref="I154">_xlfn.IFS(OR(H154=$S$2,H154=$S$13,H154=$S$5),"Other",OR(H154=$S$3,H154=$S$4,H154=$S$7,H154=$S$10,H154=$S$11),"Salem",OR(H154=$S$6),"Keizer",OR(H154=$S$8,H154=$S$9,H154=$S$12),"Marion")</f>
        <v>Keizer</v>
      </c>
      <c r="L154">
        <v>94</v>
      </c>
      <c r="M154">
        <v>2050</v>
      </c>
      <c r="N154" t="s">
        <v>45</v>
      </c>
      <c r="O154">
        <v>0</v>
      </c>
    </row>
    <row r="155" spans="1:15" x14ac:dyDescent="0.25">
      <c r="A155">
        <v>95</v>
      </c>
      <c r="B155">
        <v>2005</v>
      </c>
      <c r="C155">
        <v>234</v>
      </c>
      <c r="D155">
        <v>31</v>
      </c>
      <c r="E155">
        <v>0</v>
      </c>
      <c r="F155" t="str" cm="1">
        <f t="array" ref="F155">_xlfn.XLOOKUP(A155&amp;B155,$L$2:$L$739&amp;$M$2:$M$739,$N$2:$N$739)</f>
        <v>Low</v>
      </c>
      <c r="G155">
        <f t="shared" si="2"/>
        <v>0</v>
      </c>
      <c r="H155" t="str">
        <f>_xlfn.XLOOKUP(A155,VE!$A$2:$A$247,VE!$B$2:$B$247)</f>
        <v>Keizer</v>
      </c>
      <c r="I155" t="str" cm="1">
        <f t="array" ref="I155">_xlfn.IFS(OR(H155=$S$2,H155=$S$13,H155=$S$5),"Other",OR(H155=$S$3,H155=$S$4,H155=$S$7,H155=$S$10,H155=$S$11),"Salem",OR(H155=$S$6),"Keizer",OR(H155=$S$8,H155=$S$9,H155=$S$12),"Marion")</f>
        <v>Keizer</v>
      </c>
      <c r="L155">
        <v>95</v>
      </c>
      <c r="M155">
        <v>2005</v>
      </c>
      <c r="N155" t="s">
        <v>45</v>
      </c>
      <c r="O155">
        <v>0</v>
      </c>
    </row>
    <row r="156" spans="1:15" x14ac:dyDescent="0.25">
      <c r="A156">
        <v>95</v>
      </c>
      <c r="B156">
        <v>2021</v>
      </c>
      <c r="C156">
        <v>239</v>
      </c>
      <c r="D156">
        <v>107</v>
      </c>
      <c r="E156">
        <v>0</v>
      </c>
      <c r="F156" t="str" cm="1">
        <f t="array" ref="F156">_xlfn.XLOOKUP(A156&amp;B156,$L$2:$L$739&amp;$M$2:$M$739,$N$2:$N$739)</f>
        <v>Low</v>
      </c>
      <c r="G156">
        <f t="shared" si="2"/>
        <v>0</v>
      </c>
      <c r="H156" t="str">
        <f>_xlfn.XLOOKUP(A156,VE!$A$2:$A$247,VE!$B$2:$B$247)</f>
        <v>Keizer</v>
      </c>
      <c r="I156" t="str" cm="1">
        <f t="array" ref="I156">_xlfn.IFS(OR(H156=$S$2,H156=$S$13,H156=$S$5),"Other",OR(H156=$S$3,H156=$S$4,H156=$S$7,H156=$S$10,H156=$S$11),"Salem",OR(H156=$S$6),"Keizer",OR(H156=$S$8,H156=$S$9,H156=$S$12),"Marion")</f>
        <v>Keizer</v>
      </c>
      <c r="L156">
        <v>95</v>
      </c>
      <c r="M156">
        <v>2021</v>
      </c>
      <c r="N156" t="s">
        <v>45</v>
      </c>
      <c r="O156">
        <v>0</v>
      </c>
    </row>
    <row r="157" spans="1:15" x14ac:dyDescent="0.25">
      <c r="A157">
        <v>95</v>
      </c>
      <c r="B157">
        <v>2050</v>
      </c>
      <c r="C157">
        <v>269</v>
      </c>
      <c r="D157">
        <v>522</v>
      </c>
      <c r="E157">
        <v>0</v>
      </c>
      <c r="F157" t="str" cm="1">
        <f t="array" ref="F157">_xlfn.XLOOKUP(A157&amp;B157,$L$2:$L$739&amp;$M$2:$M$739,$N$2:$N$739)</f>
        <v>High</v>
      </c>
      <c r="G157">
        <f t="shared" si="2"/>
        <v>791</v>
      </c>
      <c r="H157" t="str">
        <f>_xlfn.XLOOKUP(A157,VE!$A$2:$A$247,VE!$B$2:$B$247)</f>
        <v>Keizer</v>
      </c>
      <c r="I157" t="str" cm="1">
        <f t="array" ref="I157">_xlfn.IFS(OR(H157=$S$2,H157=$S$13,H157=$S$5),"Other",OR(H157=$S$3,H157=$S$4,H157=$S$7,H157=$S$10,H157=$S$11),"Salem",OR(H157=$S$6),"Keizer",OR(H157=$S$8,H157=$S$9,H157=$S$12),"Marion")</f>
        <v>Keizer</v>
      </c>
      <c r="L157">
        <v>95</v>
      </c>
      <c r="M157">
        <v>2050</v>
      </c>
      <c r="N157" t="s">
        <v>46</v>
      </c>
      <c r="O157">
        <v>1</v>
      </c>
    </row>
    <row r="158" spans="1:15" x14ac:dyDescent="0.25">
      <c r="A158">
        <v>100</v>
      </c>
      <c r="B158">
        <v>2005</v>
      </c>
      <c r="C158">
        <v>206</v>
      </c>
      <c r="D158">
        <v>167</v>
      </c>
      <c r="E158">
        <v>0</v>
      </c>
      <c r="F158" t="str" cm="1">
        <f t="array" ref="F158">_xlfn.XLOOKUP(A158&amp;B158,$L$2:$L$739&amp;$M$2:$M$739,$N$2:$N$739)</f>
        <v>Low</v>
      </c>
      <c r="G158">
        <f t="shared" si="2"/>
        <v>0</v>
      </c>
      <c r="H158" t="str">
        <f>_xlfn.XLOOKUP(A158,VE!$A$2:$A$247,VE!$B$2:$B$247)</f>
        <v>Keizer</v>
      </c>
      <c r="I158" t="str" cm="1">
        <f t="array" ref="I158">_xlfn.IFS(OR(H158=$S$2,H158=$S$13,H158=$S$5),"Other",OR(H158=$S$3,H158=$S$4,H158=$S$7,H158=$S$10,H158=$S$11),"Salem",OR(H158=$S$6),"Keizer",OR(H158=$S$8,H158=$S$9,H158=$S$12),"Marion")</f>
        <v>Keizer</v>
      </c>
      <c r="L158">
        <v>100</v>
      </c>
      <c r="M158">
        <v>2005</v>
      </c>
      <c r="N158" t="s">
        <v>45</v>
      </c>
      <c r="O158">
        <v>0</v>
      </c>
    </row>
    <row r="159" spans="1:15" x14ac:dyDescent="0.25">
      <c r="A159">
        <v>100</v>
      </c>
      <c r="B159">
        <v>2021</v>
      </c>
      <c r="C159">
        <v>236</v>
      </c>
      <c r="D159">
        <v>297</v>
      </c>
      <c r="E159">
        <v>0</v>
      </c>
      <c r="F159" t="str" cm="1">
        <f t="array" ref="F159">_xlfn.XLOOKUP(A159&amp;B159,$L$2:$L$739&amp;$M$2:$M$739,$N$2:$N$739)</f>
        <v>Low</v>
      </c>
      <c r="G159">
        <f t="shared" si="2"/>
        <v>0</v>
      </c>
      <c r="H159" t="str">
        <f>_xlfn.XLOOKUP(A159,VE!$A$2:$A$247,VE!$B$2:$B$247)</f>
        <v>Keizer</v>
      </c>
      <c r="I159" t="str" cm="1">
        <f t="array" ref="I159">_xlfn.IFS(OR(H159=$S$2,H159=$S$13,H159=$S$5),"Other",OR(H159=$S$3,H159=$S$4,H159=$S$7,H159=$S$10,H159=$S$11),"Salem",OR(H159=$S$6),"Keizer",OR(H159=$S$8,H159=$S$9,H159=$S$12),"Marion")</f>
        <v>Keizer</v>
      </c>
      <c r="L159">
        <v>100</v>
      </c>
      <c r="M159">
        <v>2021</v>
      </c>
      <c r="N159" t="s">
        <v>45</v>
      </c>
      <c r="O159">
        <v>0</v>
      </c>
    </row>
    <row r="160" spans="1:15" x14ac:dyDescent="0.25">
      <c r="A160">
        <v>100</v>
      </c>
      <c r="B160">
        <v>2050</v>
      </c>
      <c r="C160">
        <v>236</v>
      </c>
      <c r="D160">
        <v>311</v>
      </c>
      <c r="E160">
        <v>0</v>
      </c>
      <c r="F160" t="str" cm="1">
        <f t="array" ref="F160">_xlfn.XLOOKUP(A160&amp;B160,$L$2:$L$739&amp;$M$2:$M$739,$N$2:$N$739)</f>
        <v>High</v>
      </c>
      <c r="G160">
        <f t="shared" si="2"/>
        <v>547</v>
      </c>
      <c r="H160" t="str">
        <f>_xlfn.XLOOKUP(A160,VE!$A$2:$A$247,VE!$B$2:$B$247)</f>
        <v>Keizer</v>
      </c>
      <c r="I160" t="str" cm="1">
        <f t="array" ref="I160">_xlfn.IFS(OR(H160=$S$2,H160=$S$13,H160=$S$5),"Other",OR(H160=$S$3,H160=$S$4,H160=$S$7,H160=$S$10,H160=$S$11),"Salem",OR(H160=$S$6),"Keizer",OR(H160=$S$8,H160=$S$9,H160=$S$12),"Marion")</f>
        <v>Keizer</v>
      </c>
      <c r="L160">
        <v>100</v>
      </c>
      <c r="M160">
        <v>2050</v>
      </c>
      <c r="N160" t="s">
        <v>46</v>
      </c>
      <c r="O160">
        <v>1</v>
      </c>
    </row>
    <row r="161" spans="1:15" x14ac:dyDescent="0.25">
      <c r="A161">
        <v>103</v>
      </c>
      <c r="B161">
        <v>2005</v>
      </c>
      <c r="C161">
        <v>501</v>
      </c>
      <c r="D161">
        <v>105</v>
      </c>
      <c r="E161">
        <v>0</v>
      </c>
      <c r="F161" t="str" cm="1">
        <f t="array" ref="F161">_xlfn.XLOOKUP(A161&amp;B161,$L$2:$L$739&amp;$M$2:$M$739,$N$2:$N$739)</f>
        <v>Low</v>
      </c>
      <c r="G161">
        <f t="shared" si="2"/>
        <v>0</v>
      </c>
      <c r="H161" t="str">
        <f>_xlfn.XLOOKUP(A161,VE!$A$2:$A$247,VE!$B$2:$B$247)</f>
        <v>Keizer</v>
      </c>
      <c r="I161" t="str" cm="1">
        <f t="array" ref="I161">_xlfn.IFS(OR(H161=$S$2,H161=$S$13,H161=$S$5),"Other",OR(H161=$S$3,H161=$S$4,H161=$S$7,H161=$S$10,H161=$S$11),"Salem",OR(H161=$S$6),"Keizer",OR(H161=$S$8,H161=$S$9,H161=$S$12),"Marion")</f>
        <v>Keizer</v>
      </c>
      <c r="L161">
        <v>103</v>
      </c>
      <c r="M161">
        <v>2005</v>
      </c>
      <c r="N161" t="s">
        <v>45</v>
      </c>
      <c r="O161">
        <v>0</v>
      </c>
    </row>
    <row r="162" spans="1:15" x14ac:dyDescent="0.25">
      <c r="A162">
        <v>103</v>
      </c>
      <c r="B162">
        <v>2021</v>
      </c>
      <c r="C162">
        <v>467</v>
      </c>
      <c r="D162">
        <v>140</v>
      </c>
      <c r="E162">
        <v>0</v>
      </c>
      <c r="F162" t="str" cm="1">
        <f t="array" ref="F162">_xlfn.XLOOKUP(A162&amp;B162,$L$2:$L$739&amp;$M$2:$M$739,$N$2:$N$739)</f>
        <v>Low</v>
      </c>
      <c r="G162">
        <f t="shared" si="2"/>
        <v>0</v>
      </c>
      <c r="H162" t="str">
        <f>_xlfn.XLOOKUP(A162,VE!$A$2:$A$247,VE!$B$2:$B$247)</f>
        <v>Keizer</v>
      </c>
      <c r="I162" t="str" cm="1">
        <f t="array" ref="I162">_xlfn.IFS(OR(H162=$S$2,H162=$S$13,H162=$S$5),"Other",OR(H162=$S$3,H162=$S$4,H162=$S$7,H162=$S$10,H162=$S$11),"Salem",OR(H162=$S$6),"Keizer",OR(H162=$S$8,H162=$S$9,H162=$S$12),"Marion")</f>
        <v>Keizer</v>
      </c>
      <c r="L162">
        <v>103</v>
      </c>
      <c r="M162">
        <v>2021</v>
      </c>
      <c r="N162" t="s">
        <v>45</v>
      </c>
      <c r="O162">
        <v>0</v>
      </c>
    </row>
    <row r="163" spans="1:15" x14ac:dyDescent="0.25">
      <c r="A163">
        <v>103</v>
      </c>
      <c r="B163">
        <v>2050</v>
      </c>
      <c r="C163">
        <v>474</v>
      </c>
      <c r="D163">
        <v>150</v>
      </c>
      <c r="E163">
        <v>0</v>
      </c>
      <c r="F163" t="str" cm="1">
        <f t="array" ref="F163">_xlfn.XLOOKUP(A163&amp;B163,$L$2:$L$739&amp;$M$2:$M$739,$N$2:$N$739)</f>
        <v>Low</v>
      </c>
      <c r="G163">
        <f t="shared" si="2"/>
        <v>0</v>
      </c>
      <c r="H163" t="str">
        <f>_xlfn.XLOOKUP(A163,VE!$A$2:$A$247,VE!$B$2:$B$247)</f>
        <v>Keizer</v>
      </c>
      <c r="I163" t="str" cm="1">
        <f t="array" ref="I163">_xlfn.IFS(OR(H163=$S$2,H163=$S$13,H163=$S$5),"Other",OR(H163=$S$3,H163=$S$4,H163=$S$7,H163=$S$10,H163=$S$11),"Salem",OR(H163=$S$6),"Keizer",OR(H163=$S$8,H163=$S$9,H163=$S$12),"Marion")</f>
        <v>Keizer</v>
      </c>
      <c r="L163">
        <v>103</v>
      </c>
      <c r="M163">
        <v>2050</v>
      </c>
      <c r="N163" t="s">
        <v>45</v>
      </c>
      <c r="O163">
        <v>0</v>
      </c>
    </row>
    <row r="164" spans="1:15" x14ac:dyDescent="0.25">
      <c r="A164">
        <v>104</v>
      </c>
      <c r="B164">
        <v>2005</v>
      </c>
      <c r="C164">
        <v>165</v>
      </c>
      <c r="D164">
        <v>229</v>
      </c>
      <c r="E164">
        <v>0</v>
      </c>
      <c r="F164" t="str" cm="1">
        <f t="array" ref="F164">_xlfn.XLOOKUP(A164&amp;B164,$L$2:$L$739&amp;$M$2:$M$739,$N$2:$N$739)</f>
        <v>Low</v>
      </c>
      <c r="G164">
        <f t="shared" si="2"/>
        <v>0</v>
      </c>
      <c r="H164" t="str">
        <f>_xlfn.XLOOKUP(A164,VE!$A$2:$A$247,VE!$B$2:$B$247)</f>
        <v>Keizer</v>
      </c>
      <c r="I164" t="str" cm="1">
        <f t="array" ref="I164">_xlfn.IFS(OR(H164=$S$2,H164=$S$13,H164=$S$5),"Other",OR(H164=$S$3,H164=$S$4,H164=$S$7,H164=$S$10,H164=$S$11),"Salem",OR(H164=$S$6),"Keizer",OR(H164=$S$8,H164=$S$9,H164=$S$12),"Marion")</f>
        <v>Keizer</v>
      </c>
      <c r="L164">
        <v>104</v>
      </c>
      <c r="M164">
        <v>2005</v>
      </c>
      <c r="N164" t="s">
        <v>45</v>
      </c>
      <c r="O164">
        <v>0</v>
      </c>
    </row>
    <row r="165" spans="1:15" x14ac:dyDescent="0.25">
      <c r="A165">
        <v>104</v>
      </c>
      <c r="B165">
        <v>2021</v>
      </c>
      <c r="C165">
        <v>165</v>
      </c>
      <c r="D165">
        <v>229</v>
      </c>
      <c r="E165">
        <v>0</v>
      </c>
      <c r="F165" t="str" cm="1">
        <f t="array" ref="F165">_xlfn.XLOOKUP(A165&amp;B165,$L$2:$L$739&amp;$M$2:$M$739,$N$2:$N$739)</f>
        <v>High</v>
      </c>
      <c r="G165">
        <f t="shared" si="2"/>
        <v>394</v>
      </c>
      <c r="H165" t="str">
        <f>_xlfn.XLOOKUP(A165,VE!$A$2:$A$247,VE!$B$2:$B$247)</f>
        <v>Keizer</v>
      </c>
      <c r="I165" t="str" cm="1">
        <f t="array" ref="I165">_xlfn.IFS(OR(H165=$S$2,H165=$S$13,H165=$S$5),"Other",OR(H165=$S$3,H165=$S$4,H165=$S$7,H165=$S$10,H165=$S$11),"Salem",OR(H165=$S$6),"Keizer",OR(H165=$S$8,H165=$S$9,H165=$S$12),"Marion")</f>
        <v>Keizer</v>
      </c>
      <c r="L165">
        <v>104</v>
      </c>
      <c r="M165">
        <v>2021</v>
      </c>
      <c r="N165" t="s">
        <v>46</v>
      </c>
      <c r="O165">
        <v>1</v>
      </c>
    </row>
    <row r="166" spans="1:15" x14ac:dyDescent="0.25">
      <c r="A166">
        <v>104</v>
      </c>
      <c r="B166">
        <v>2050</v>
      </c>
      <c r="C166">
        <v>210</v>
      </c>
      <c r="D166">
        <v>229</v>
      </c>
      <c r="E166">
        <v>0</v>
      </c>
      <c r="F166" t="str" cm="1">
        <f t="array" ref="F166">_xlfn.XLOOKUP(A166&amp;B166,$L$2:$L$739&amp;$M$2:$M$739,$N$2:$N$739)</f>
        <v>High</v>
      </c>
      <c r="G166">
        <f t="shared" si="2"/>
        <v>439</v>
      </c>
      <c r="H166" t="str">
        <f>_xlfn.XLOOKUP(A166,VE!$A$2:$A$247,VE!$B$2:$B$247)</f>
        <v>Keizer</v>
      </c>
      <c r="I166" t="str" cm="1">
        <f t="array" ref="I166">_xlfn.IFS(OR(H166=$S$2,H166=$S$13,H166=$S$5),"Other",OR(H166=$S$3,H166=$S$4,H166=$S$7,H166=$S$10,H166=$S$11),"Salem",OR(H166=$S$6),"Keizer",OR(H166=$S$8,H166=$S$9,H166=$S$12),"Marion")</f>
        <v>Keizer</v>
      </c>
      <c r="L166">
        <v>104</v>
      </c>
      <c r="M166">
        <v>2050</v>
      </c>
      <c r="N166" t="s">
        <v>46</v>
      </c>
      <c r="O166">
        <v>1</v>
      </c>
    </row>
    <row r="167" spans="1:15" x14ac:dyDescent="0.25">
      <c r="A167">
        <v>107</v>
      </c>
      <c r="B167">
        <v>2005</v>
      </c>
      <c r="C167">
        <v>412</v>
      </c>
      <c r="D167">
        <v>302</v>
      </c>
      <c r="E167">
        <v>0</v>
      </c>
      <c r="F167" t="str" cm="1">
        <f t="array" ref="F167">_xlfn.XLOOKUP(A167&amp;B167,$L$2:$L$739&amp;$M$2:$M$739,$N$2:$N$739)</f>
        <v>Low</v>
      </c>
      <c r="G167">
        <f t="shared" si="2"/>
        <v>0</v>
      </c>
      <c r="H167" t="str">
        <f>_xlfn.XLOOKUP(A167,VE!$A$2:$A$247,VE!$B$2:$B$247)</f>
        <v>Keizer</v>
      </c>
      <c r="I167" t="str" cm="1">
        <f t="array" ref="I167">_xlfn.IFS(OR(H167=$S$2,H167=$S$13,H167=$S$5),"Other",OR(H167=$S$3,H167=$S$4,H167=$S$7,H167=$S$10,H167=$S$11),"Salem",OR(H167=$S$6),"Keizer",OR(H167=$S$8,H167=$S$9,H167=$S$12),"Marion")</f>
        <v>Keizer</v>
      </c>
      <c r="L167">
        <v>107</v>
      </c>
      <c r="M167">
        <v>2005</v>
      </c>
      <c r="N167" t="s">
        <v>45</v>
      </c>
      <c r="O167">
        <v>0</v>
      </c>
    </row>
    <row r="168" spans="1:15" x14ac:dyDescent="0.25">
      <c r="A168">
        <v>107</v>
      </c>
      <c r="B168">
        <v>2021</v>
      </c>
      <c r="C168">
        <v>420</v>
      </c>
      <c r="D168">
        <v>325</v>
      </c>
      <c r="E168">
        <v>0</v>
      </c>
      <c r="F168" t="str" cm="1">
        <f t="array" ref="F168">_xlfn.XLOOKUP(A168&amp;B168,$L$2:$L$739&amp;$M$2:$M$739,$N$2:$N$739)</f>
        <v>High</v>
      </c>
      <c r="G168">
        <f t="shared" si="2"/>
        <v>745</v>
      </c>
      <c r="H168" t="str">
        <f>_xlfn.XLOOKUP(A168,VE!$A$2:$A$247,VE!$B$2:$B$247)</f>
        <v>Keizer</v>
      </c>
      <c r="I168" t="str" cm="1">
        <f t="array" ref="I168">_xlfn.IFS(OR(H168=$S$2,H168=$S$13,H168=$S$5),"Other",OR(H168=$S$3,H168=$S$4,H168=$S$7,H168=$S$10,H168=$S$11),"Salem",OR(H168=$S$6),"Keizer",OR(H168=$S$8,H168=$S$9,H168=$S$12),"Marion")</f>
        <v>Keizer</v>
      </c>
      <c r="L168">
        <v>107</v>
      </c>
      <c r="M168">
        <v>2021</v>
      </c>
      <c r="N168" t="s">
        <v>46</v>
      </c>
      <c r="O168">
        <v>1</v>
      </c>
    </row>
    <row r="169" spans="1:15" x14ac:dyDescent="0.25">
      <c r="A169">
        <v>107</v>
      </c>
      <c r="B169">
        <v>2050</v>
      </c>
      <c r="C169">
        <v>471</v>
      </c>
      <c r="D169">
        <v>346</v>
      </c>
      <c r="E169">
        <v>0</v>
      </c>
      <c r="F169" t="str" cm="1">
        <f t="array" ref="F169">_xlfn.XLOOKUP(A169&amp;B169,$L$2:$L$739&amp;$M$2:$M$739,$N$2:$N$739)</f>
        <v>High</v>
      </c>
      <c r="G169">
        <f t="shared" si="2"/>
        <v>817</v>
      </c>
      <c r="H169" t="str">
        <f>_xlfn.XLOOKUP(A169,VE!$A$2:$A$247,VE!$B$2:$B$247)</f>
        <v>Keizer</v>
      </c>
      <c r="I169" t="str" cm="1">
        <f t="array" ref="I169">_xlfn.IFS(OR(H169=$S$2,H169=$S$13,H169=$S$5),"Other",OR(H169=$S$3,H169=$S$4,H169=$S$7,H169=$S$10,H169=$S$11),"Salem",OR(H169=$S$6),"Keizer",OR(H169=$S$8,H169=$S$9,H169=$S$12),"Marion")</f>
        <v>Keizer</v>
      </c>
      <c r="L169">
        <v>107</v>
      </c>
      <c r="M169">
        <v>2050</v>
      </c>
      <c r="N169" t="s">
        <v>46</v>
      </c>
      <c r="O169">
        <v>1</v>
      </c>
    </row>
    <row r="170" spans="1:15" x14ac:dyDescent="0.25">
      <c r="A170">
        <v>110</v>
      </c>
      <c r="B170">
        <v>2005</v>
      </c>
      <c r="C170">
        <v>35</v>
      </c>
      <c r="D170">
        <v>36</v>
      </c>
      <c r="E170">
        <v>0</v>
      </c>
      <c r="F170" t="str" cm="1">
        <f t="array" ref="F170">_xlfn.XLOOKUP(A170&amp;B170,$L$2:$L$739&amp;$M$2:$M$739,$N$2:$N$739)</f>
        <v>Low</v>
      </c>
      <c r="G170">
        <f t="shared" si="2"/>
        <v>0</v>
      </c>
      <c r="H170" t="str">
        <f>_xlfn.XLOOKUP(A170,VE!$A$2:$A$247,VE!$B$2:$B$247)</f>
        <v>Keizer</v>
      </c>
      <c r="I170" t="str" cm="1">
        <f t="array" ref="I170">_xlfn.IFS(OR(H170=$S$2,H170=$S$13,H170=$S$5),"Other",OR(H170=$S$3,H170=$S$4,H170=$S$7,H170=$S$10,H170=$S$11),"Salem",OR(H170=$S$6),"Keizer",OR(H170=$S$8,H170=$S$9,H170=$S$12),"Marion")</f>
        <v>Keizer</v>
      </c>
      <c r="L170">
        <v>110</v>
      </c>
      <c r="M170">
        <v>2005</v>
      </c>
      <c r="N170" t="s">
        <v>45</v>
      </c>
      <c r="O170">
        <v>0</v>
      </c>
    </row>
    <row r="171" spans="1:15" x14ac:dyDescent="0.25">
      <c r="A171">
        <v>110</v>
      </c>
      <c r="B171">
        <v>2021</v>
      </c>
      <c r="C171">
        <v>419</v>
      </c>
      <c r="D171">
        <v>236</v>
      </c>
      <c r="E171">
        <v>0</v>
      </c>
      <c r="F171" t="str" cm="1">
        <f t="array" ref="F171">_xlfn.XLOOKUP(A171&amp;B171,$L$2:$L$739&amp;$M$2:$M$739,$N$2:$N$739)</f>
        <v>Low</v>
      </c>
      <c r="G171">
        <f t="shared" si="2"/>
        <v>0</v>
      </c>
      <c r="H171" t="str">
        <f>_xlfn.XLOOKUP(A171,VE!$A$2:$A$247,VE!$B$2:$B$247)</f>
        <v>Keizer</v>
      </c>
      <c r="I171" t="str" cm="1">
        <f t="array" ref="I171">_xlfn.IFS(OR(H171=$S$2,H171=$S$13,H171=$S$5),"Other",OR(H171=$S$3,H171=$S$4,H171=$S$7,H171=$S$10,H171=$S$11),"Salem",OR(H171=$S$6),"Keizer",OR(H171=$S$8,H171=$S$9,H171=$S$12),"Marion")</f>
        <v>Keizer</v>
      </c>
      <c r="L171">
        <v>110</v>
      </c>
      <c r="M171">
        <v>2021</v>
      </c>
      <c r="N171" t="s">
        <v>45</v>
      </c>
      <c r="O171">
        <v>0</v>
      </c>
    </row>
    <row r="172" spans="1:15" x14ac:dyDescent="0.25">
      <c r="A172">
        <v>110</v>
      </c>
      <c r="B172">
        <v>2050</v>
      </c>
      <c r="C172">
        <v>461</v>
      </c>
      <c r="D172">
        <v>238</v>
      </c>
      <c r="E172">
        <v>0</v>
      </c>
      <c r="F172" t="str" cm="1">
        <f t="array" ref="F172">_xlfn.XLOOKUP(A172&amp;B172,$L$2:$L$739&amp;$M$2:$M$739,$N$2:$N$739)</f>
        <v>High</v>
      </c>
      <c r="G172">
        <f t="shared" si="2"/>
        <v>699</v>
      </c>
      <c r="H172" t="str">
        <f>_xlfn.XLOOKUP(A172,VE!$A$2:$A$247,VE!$B$2:$B$247)</f>
        <v>Keizer</v>
      </c>
      <c r="I172" t="str" cm="1">
        <f t="array" ref="I172">_xlfn.IFS(OR(H172=$S$2,H172=$S$13,H172=$S$5),"Other",OR(H172=$S$3,H172=$S$4,H172=$S$7,H172=$S$10,H172=$S$11),"Salem",OR(H172=$S$6),"Keizer",OR(H172=$S$8,H172=$S$9,H172=$S$12),"Marion")</f>
        <v>Keizer</v>
      </c>
      <c r="L172">
        <v>110</v>
      </c>
      <c r="M172">
        <v>2050</v>
      </c>
      <c r="N172" t="s">
        <v>46</v>
      </c>
      <c r="O172">
        <v>1</v>
      </c>
    </row>
    <row r="173" spans="1:15" x14ac:dyDescent="0.25">
      <c r="A173">
        <v>111</v>
      </c>
      <c r="B173">
        <v>2005</v>
      </c>
      <c r="C173">
        <v>541</v>
      </c>
      <c r="D173">
        <v>5</v>
      </c>
      <c r="E173">
        <v>0</v>
      </c>
      <c r="F173" t="str" cm="1">
        <f t="array" ref="F173">_xlfn.XLOOKUP(A173&amp;B173,$L$2:$L$739&amp;$M$2:$M$739,$N$2:$N$739)</f>
        <v>Low</v>
      </c>
      <c r="G173">
        <f t="shared" si="2"/>
        <v>0</v>
      </c>
      <c r="H173" t="str">
        <f>_xlfn.XLOOKUP(A173,VE!$A$2:$A$247,VE!$B$2:$B$247)</f>
        <v>Keizer</v>
      </c>
      <c r="I173" t="str" cm="1">
        <f t="array" ref="I173">_xlfn.IFS(OR(H173=$S$2,H173=$S$13,H173=$S$5),"Other",OR(H173=$S$3,H173=$S$4,H173=$S$7,H173=$S$10,H173=$S$11),"Salem",OR(H173=$S$6),"Keizer",OR(H173=$S$8,H173=$S$9,H173=$S$12),"Marion")</f>
        <v>Keizer</v>
      </c>
      <c r="L173">
        <v>111</v>
      </c>
      <c r="M173">
        <v>2005</v>
      </c>
      <c r="N173" t="s">
        <v>45</v>
      </c>
      <c r="O173">
        <v>0</v>
      </c>
    </row>
    <row r="174" spans="1:15" x14ac:dyDescent="0.25">
      <c r="A174">
        <v>111</v>
      </c>
      <c r="B174">
        <v>2021</v>
      </c>
      <c r="C174">
        <v>595</v>
      </c>
      <c r="D174">
        <v>6</v>
      </c>
      <c r="E174">
        <v>0</v>
      </c>
      <c r="F174" t="str" cm="1">
        <f t="array" ref="F174">_xlfn.XLOOKUP(A174&amp;B174,$L$2:$L$739&amp;$M$2:$M$739,$N$2:$N$739)</f>
        <v>Low</v>
      </c>
      <c r="G174">
        <f t="shared" si="2"/>
        <v>0</v>
      </c>
      <c r="H174" t="str">
        <f>_xlfn.XLOOKUP(A174,VE!$A$2:$A$247,VE!$B$2:$B$247)</f>
        <v>Keizer</v>
      </c>
      <c r="I174" t="str" cm="1">
        <f t="array" ref="I174">_xlfn.IFS(OR(H174=$S$2,H174=$S$13,H174=$S$5),"Other",OR(H174=$S$3,H174=$S$4,H174=$S$7,H174=$S$10,H174=$S$11),"Salem",OR(H174=$S$6),"Keizer",OR(H174=$S$8,H174=$S$9,H174=$S$12),"Marion")</f>
        <v>Keizer</v>
      </c>
      <c r="L174">
        <v>111</v>
      </c>
      <c r="M174">
        <v>2021</v>
      </c>
      <c r="N174" t="s">
        <v>45</v>
      </c>
      <c r="O174">
        <v>0</v>
      </c>
    </row>
    <row r="175" spans="1:15" x14ac:dyDescent="0.25">
      <c r="A175">
        <v>111</v>
      </c>
      <c r="B175">
        <v>2050</v>
      </c>
      <c r="C175">
        <v>621</v>
      </c>
      <c r="D175">
        <v>6</v>
      </c>
      <c r="E175">
        <v>0</v>
      </c>
      <c r="F175" t="str" cm="1">
        <f t="array" ref="F175">_xlfn.XLOOKUP(A175&amp;B175,$L$2:$L$739&amp;$M$2:$M$739,$N$2:$N$739)</f>
        <v>Low</v>
      </c>
      <c r="G175">
        <f t="shared" si="2"/>
        <v>0</v>
      </c>
      <c r="H175" t="str">
        <f>_xlfn.XLOOKUP(A175,VE!$A$2:$A$247,VE!$B$2:$B$247)</f>
        <v>Keizer</v>
      </c>
      <c r="I175" t="str" cm="1">
        <f t="array" ref="I175">_xlfn.IFS(OR(H175=$S$2,H175=$S$13,H175=$S$5),"Other",OR(H175=$S$3,H175=$S$4,H175=$S$7,H175=$S$10,H175=$S$11),"Salem",OR(H175=$S$6),"Keizer",OR(H175=$S$8,H175=$S$9,H175=$S$12),"Marion")</f>
        <v>Keizer</v>
      </c>
      <c r="L175">
        <v>111</v>
      </c>
      <c r="M175">
        <v>2050</v>
      </c>
      <c r="N175" t="s">
        <v>45</v>
      </c>
      <c r="O175">
        <v>0</v>
      </c>
    </row>
    <row r="176" spans="1:15" x14ac:dyDescent="0.25">
      <c r="A176">
        <v>112</v>
      </c>
      <c r="B176">
        <v>2005</v>
      </c>
      <c r="C176">
        <v>487</v>
      </c>
      <c r="D176">
        <v>133</v>
      </c>
      <c r="E176">
        <v>0</v>
      </c>
      <c r="F176" t="str" cm="1">
        <f t="array" ref="F176">_xlfn.XLOOKUP(A176&amp;B176,$L$2:$L$739&amp;$M$2:$M$739,$N$2:$N$739)</f>
        <v>Low</v>
      </c>
      <c r="G176">
        <f t="shared" si="2"/>
        <v>0</v>
      </c>
      <c r="H176" t="str">
        <f>_xlfn.XLOOKUP(A176,VE!$A$2:$A$247,VE!$B$2:$B$247)</f>
        <v>Keizer</v>
      </c>
      <c r="I176" t="str" cm="1">
        <f t="array" ref="I176">_xlfn.IFS(OR(H176=$S$2,H176=$S$13,H176=$S$5),"Other",OR(H176=$S$3,H176=$S$4,H176=$S$7,H176=$S$10,H176=$S$11),"Salem",OR(H176=$S$6),"Keizer",OR(H176=$S$8,H176=$S$9,H176=$S$12),"Marion")</f>
        <v>Keizer</v>
      </c>
      <c r="L176">
        <v>112</v>
      </c>
      <c r="M176">
        <v>2005</v>
      </c>
      <c r="N176" t="s">
        <v>45</v>
      </c>
      <c r="O176">
        <v>0</v>
      </c>
    </row>
    <row r="177" spans="1:15" x14ac:dyDescent="0.25">
      <c r="A177">
        <v>112</v>
      </c>
      <c r="B177">
        <v>2021</v>
      </c>
      <c r="C177">
        <v>475</v>
      </c>
      <c r="D177">
        <v>208</v>
      </c>
      <c r="E177">
        <v>0</v>
      </c>
      <c r="F177" t="str" cm="1">
        <f t="array" ref="F177">_xlfn.XLOOKUP(A177&amp;B177,$L$2:$L$739&amp;$M$2:$M$739,$N$2:$N$739)</f>
        <v>Low</v>
      </c>
      <c r="G177">
        <f t="shared" si="2"/>
        <v>0</v>
      </c>
      <c r="H177" t="str">
        <f>_xlfn.XLOOKUP(A177,VE!$A$2:$A$247,VE!$B$2:$B$247)</f>
        <v>Keizer</v>
      </c>
      <c r="I177" t="str" cm="1">
        <f t="array" ref="I177">_xlfn.IFS(OR(H177=$S$2,H177=$S$13,H177=$S$5),"Other",OR(H177=$S$3,H177=$S$4,H177=$S$7,H177=$S$10,H177=$S$11),"Salem",OR(H177=$S$6),"Keizer",OR(H177=$S$8,H177=$S$9,H177=$S$12),"Marion")</f>
        <v>Keizer</v>
      </c>
      <c r="L177">
        <v>112</v>
      </c>
      <c r="M177">
        <v>2021</v>
      </c>
      <c r="N177" t="s">
        <v>45</v>
      </c>
      <c r="O177">
        <v>0</v>
      </c>
    </row>
    <row r="178" spans="1:15" x14ac:dyDescent="0.25">
      <c r="A178">
        <v>112</v>
      </c>
      <c r="B178">
        <v>2050</v>
      </c>
      <c r="C178">
        <v>494</v>
      </c>
      <c r="D178">
        <v>223</v>
      </c>
      <c r="E178">
        <v>0</v>
      </c>
      <c r="F178" t="str" cm="1">
        <f t="array" ref="F178">_xlfn.XLOOKUP(A178&amp;B178,$L$2:$L$739&amp;$M$2:$M$739,$N$2:$N$739)</f>
        <v>Low</v>
      </c>
      <c r="G178">
        <f t="shared" si="2"/>
        <v>0</v>
      </c>
      <c r="H178" t="str">
        <f>_xlfn.XLOOKUP(A178,VE!$A$2:$A$247,VE!$B$2:$B$247)</f>
        <v>Keizer</v>
      </c>
      <c r="I178" t="str" cm="1">
        <f t="array" ref="I178">_xlfn.IFS(OR(H178=$S$2,H178=$S$13,H178=$S$5),"Other",OR(H178=$S$3,H178=$S$4,H178=$S$7,H178=$S$10,H178=$S$11),"Salem",OR(H178=$S$6),"Keizer",OR(H178=$S$8,H178=$S$9,H178=$S$12),"Marion")</f>
        <v>Keizer</v>
      </c>
      <c r="L178">
        <v>112</v>
      </c>
      <c r="M178">
        <v>2050</v>
      </c>
      <c r="N178" t="s">
        <v>45</v>
      </c>
      <c r="O178">
        <v>0</v>
      </c>
    </row>
    <row r="179" spans="1:15" x14ac:dyDescent="0.25">
      <c r="A179">
        <v>114</v>
      </c>
      <c r="B179">
        <v>2005</v>
      </c>
      <c r="C179">
        <v>436</v>
      </c>
      <c r="D179">
        <v>70</v>
      </c>
      <c r="E179">
        <v>0</v>
      </c>
      <c r="F179" t="str" cm="1">
        <f t="array" ref="F179">_xlfn.XLOOKUP(A179&amp;B179,$L$2:$L$739&amp;$M$2:$M$739,$N$2:$N$739)</f>
        <v>Low</v>
      </c>
      <c r="G179">
        <f t="shared" si="2"/>
        <v>0</v>
      </c>
      <c r="H179" t="str">
        <f>_xlfn.XLOOKUP(A179,VE!$A$2:$A$247,VE!$B$2:$B$247)</f>
        <v>Keizer</v>
      </c>
      <c r="I179" t="str" cm="1">
        <f t="array" ref="I179">_xlfn.IFS(OR(H179=$S$2,H179=$S$13,H179=$S$5),"Other",OR(H179=$S$3,H179=$S$4,H179=$S$7,H179=$S$10,H179=$S$11),"Salem",OR(H179=$S$6),"Keizer",OR(H179=$S$8,H179=$S$9,H179=$S$12),"Marion")</f>
        <v>Keizer</v>
      </c>
      <c r="L179">
        <v>114</v>
      </c>
      <c r="M179">
        <v>2005</v>
      </c>
      <c r="N179" t="s">
        <v>45</v>
      </c>
      <c r="O179">
        <v>0</v>
      </c>
    </row>
    <row r="180" spans="1:15" x14ac:dyDescent="0.25">
      <c r="A180">
        <v>114</v>
      </c>
      <c r="B180">
        <v>2021</v>
      </c>
      <c r="C180">
        <v>411</v>
      </c>
      <c r="D180">
        <v>121</v>
      </c>
      <c r="E180">
        <v>0</v>
      </c>
      <c r="F180" t="str" cm="1">
        <f t="array" ref="F180">_xlfn.XLOOKUP(A180&amp;B180,$L$2:$L$739&amp;$M$2:$M$739,$N$2:$N$739)</f>
        <v>Low</v>
      </c>
      <c r="G180">
        <f t="shared" si="2"/>
        <v>0</v>
      </c>
      <c r="H180" t="str">
        <f>_xlfn.XLOOKUP(A180,VE!$A$2:$A$247,VE!$B$2:$B$247)</f>
        <v>Keizer</v>
      </c>
      <c r="I180" t="str" cm="1">
        <f t="array" ref="I180">_xlfn.IFS(OR(H180=$S$2,H180=$S$13,H180=$S$5),"Other",OR(H180=$S$3,H180=$S$4,H180=$S$7,H180=$S$10,H180=$S$11),"Salem",OR(H180=$S$6),"Keizer",OR(H180=$S$8,H180=$S$9,H180=$S$12),"Marion")</f>
        <v>Keizer</v>
      </c>
      <c r="L180">
        <v>114</v>
      </c>
      <c r="M180">
        <v>2021</v>
      </c>
      <c r="N180" t="s">
        <v>45</v>
      </c>
      <c r="O180">
        <v>0</v>
      </c>
    </row>
    <row r="181" spans="1:15" x14ac:dyDescent="0.25">
      <c r="A181">
        <v>114</v>
      </c>
      <c r="B181">
        <v>2050</v>
      </c>
      <c r="C181">
        <v>429</v>
      </c>
      <c r="D181">
        <v>168</v>
      </c>
      <c r="E181">
        <v>0</v>
      </c>
      <c r="F181" t="str" cm="1">
        <f t="array" ref="F181">_xlfn.XLOOKUP(A181&amp;B181,$L$2:$L$739&amp;$M$2:$M$739,$N$2:$N$739)</f>
        <v>High</v>
      </c>
      <c r="G181">
        <f t="shared" si="2"/>
        <v>597</v>
      </c>
      <c r="H181" t="str">
        <f>_xlfn.XLOOKUP(A181,VE!$A$2:$A$247,VE!$B$2:$B$247)</f>
        <v>Keizer</v>
      </c>
      <c r="I181" t="str" cm="1">
        <f t="array" ref="I181">_xlfn.IFS(OR(H181=$S$2,H181=$S$13,H181=$S$5),"Other",OR(H181=$S$3,H181=$S$4,H181=$S$7,H181=$S$10,H181=$S$11),"Salem",OR(H181=$S$6),"Keizer",OR(H181=$S$8,H181=$S$9,H181=$S$12),"Marion")</f>
        <v>Keizer</v>
      </c>
      <c r="L181">
        <v>114</v>
      </c>
      <c r="M181">
        <v>2050</v>
      </c>
      <c r="N181" t="s">
        <v>46</v>
      </c>
      <c r="O181">
        <v>1</v>
      </c>
    </row>
    <row r="182" spans="1:15" x14ac:dyDescent="0.25">
      <c r="A182">
        <v>116</v>
      </c>
      <c r="B182">
        <v>2005</v>
      </c>
      <c r="C182">
        <v>309</v>
      </c>
      <c r="D182">
        <v>223</v>
      </c>
      <c r="E182">
        <v>0</v>
      </c>
      <c r="F182" t="str" cm="1">
        <f t="array" ref="F182">_xlfn.XLOOKUP(A182&amp;B182,$L$2:$L$739&amp;$M$2:$M$739,$N$2:$N$739)</f>
        <v>Low</v>
      </c>
      <c r="G182">
        <f t="shared" si="2"/>
        <v>0</v>
      </c>
      <c r="H182" t="str">
        <f>_xlfn.XLOOKUP(A182,VE!$A$2:$A$247,VE!$B$2:$B$247)</f>
        <v>Keizer</v>
      </c>
      <c r="I182" t="str" cm="1">
        <f t="array" ref="I182">_xlfn.IFS(OR(H182=$S$2,H182=$S$13,H182=$S$5),"Other",OR(H182=$S$3,H182=$S$4,H182=$S$7,H182=$S$10,H182=$S$11),"Salem",OR(H182=$S$6),"Keizer",OR(H182=$S$8,H182=$S$9,H182=$S$12),"Marion")</f>
        <v>Keizer</v>
      </c>
      <c r="L182">
        <v>116</v>
      </c>
      <c r="M182">
        <v>2005</v>
      </c>
      <c r="N182" t="s">
        <v>45</v>
      </c>
      <c r="O182">
        <v>0</v>
      </c>
    </row>
    <row r="183" spans="1:15" x14ac:dyDescent="0.25">
      <c r="A183">
        <v>116</v>
      </c>
      <c r="B183">
        <v>2021</v>
      </c>
      <c r="C183">
        <v>331</v>
      </c>
      <c r="D183">
        <v>260</v>
      </c>
      <c r="E183">
        <v>0</v>
      </c>
      <c r="F183" t="str" cm="1">
        <f t="array" ref="F183">_xlfn.XLOOKUP(A183&amp;B183,$L$2:$L$739&amp;$M$2:$M$739,$N$2:$N$739)</f>
        <v>Low</v>
      </c>
      <c r="G183">
        <f t="shared" si="2"/>
        <v>0</v>
      </c>
      <c r="H183" t="str">
        <f>_xlfn.XLOOKUP(A183,VE!$A$2:$A$247,VE!$B$2:$B$247)</f>
        <v>Keizer</v>
      </c>
      <c r="I183" t="str" cm="1">
        <f t="array" ref="I183">_xlfn.IFS(OR(H183=$S$2,H183=$S$13,H183=$S$5),"Other",OR(H183=$S$3,H183=$S$4,H183=$S$7,H183=$S$10,H183=$S$11),"Salem",OR(H183=$S$6),"Keizer",OR(H183=$S$8,H183=$S$9,H183=$S$12),"Marion")</f>
        <v>Keizer</v>
      </c>
      <c r="L183">
        <v>116</v>
      </c>
      <c r="M183">
        <v>2021</v>
      </c>
      <c r="N183" t="s">
        <v>45</v>
      </c>
      <c r="O183">
        <v>0</v>
      </c>
    </row>
    <row r="184" spans="1:15" x14ac:dyDescent="0.25">
      <c r="A184">
        <v>116</v>
      </c>
      <c r="B184">
        <v>2050</v>
      </c>
      <c r="C184">
        <v>355</v>
      </c>
      <c r="D184">
        <v>368</v>
      </c>
      <c r="E184">
        <v>0</v>
      </c>
      <c r="F184" t="str" cm="1">
        <f t="array" ref="F184">_xlfn.XLOOKUP(A184&amp;B184,$L$2:$L$739&amp;$M$2:$M$739,$N$2:$N$739)</f>
        <v>Low</v>
      </c>
      <c r="G184">
        <f t="shared" si="2"/>
        <v>0</v>
      </c>
      <c r="H184" t="str">
        <f>_xlfn.XLOOKUP(A184,VE!$A$2:$A$247,VE!$B$2:$B$247)</f>
        <v>Keizer</v>
      </c>
      <c r="I184" t="str" cm="1">
        <f t="array" ref="I184">_xlfn.IFS(OR(H184=$S$2,H184=$S$13,H184=$S$5),"Other",OR(H184=$S$3,H184=$S$4,H184=$S$7,H184=$S$10,H184=$S$11),"Salem",OR(H184=$S$6),"Keizer",OR(H184=$S$8,H184=$S$9,H184=$S$12),"Marion")</f>
        <v>Keizer</v>
      </c>
      <c r="L184">
        <v>116</v>
      </c>
      <c r="M184">
        <v>2050</v>
      </c>
      <c r="N184" t="s">
        <v>45</v>
      </c>
      <c r="O184">
        <v>0</v>
      </c>
    </row>
    <row r="185" spans="1:15" x14ac:dyDescent="0.25">
      <c r="A185">
        <v>117</v>
      </c>
      <c r="B185">
        <v>2005</v>
      </c>
      <c r="C185">
        <v>375</v>
      </c>
      <c r="D185">
        <v>193</v>
      </c>
      <c r="E185">
        <v>0</v>
      </c>
      <c r="F185" t="str" cm="1">
        <f t="array" ref="F185">_xlfn.XLOOKUP(A185&amp;B185,$L$2:$L$739&amp;$M$2:$M$739,$N$2:$N$739)</f>
        <v>Low</v>
      </c>
      <c r="G185">
        <f t="shared" si="2"/>
        <v>0</v>
      </c>
      <c r="H185" t="str">
        <f>_xlfn.XLOOKUP(A185,VE!$A$2:$A$247,VE!$B$2:$B$247)</f>
        <v>Keizer</v>
      </c>
      <c r="I185" t="str" cm="1">
        <f t="array" ref="I185">_xlfn.IFS(OR(H185=$S$2,H185=$S$13,H185=$S$5),"Other",OR(H185=$S$3,H185=$S$4,H185=$S$7,H185=$S$10,H185=$S$11),"Salem",OR(H185=$S$6),"Keizer",OR(H185=$S$8,H185=$S$9,H185=$S$12),"Marion")</f>
        <v>Keizer</v>
      </c>
      <c r="L185">
        <v>117</v>
      </c>
      <c r="M185">
        <v>2005</v>
      </c>
      <c r="N185" t="s">
        <v>45</v>
      </c>
      <c r="O185">
        <v>0</v>
      </c>
    </row>
    <row r="186" spans="1:15" x14ac:dyDescent="0.25">
      <c r="A186">
        <v>117</v>
      </c>
      <c r="B186">
        <v>2021</v>
      </c>
      <c r="C186">
        <v>375</v>
      </c>
      <c r="D186">
        <v>193</v>
      </c>
      <c r="E186">
        <v>0</v>
      </c>
      <c r="F186" t="str" cm="1">
        <f t="array" ref="F186">_xlfn.XLOOKUP(A186&amp;B186,$L$2:$L$739&amp;$M$2:$M$739,$N$2:$N$739)</f>
        <v>Low</v>
      </c>
      <c r="G186">
        <f t="shared" si="2"/>
        <v>0</v>
      </c>
      <c r="H186" t="str">
        <f>_xlfn.XLOOKUP(A186,VE!$A$2:$A$247,VE!$B$2:$B$247)</f>
        <v>Keizer</v>
      </c>
      <c r="I186" t="str" cm="1">
        <f t="array" ref="I186">_xlfn.IFS(OR(H186=$S$2,H186=$S$13,H186=$S$5),"Other",OR(H186=$S$3,H186=$S$4,H186=$S$7,H186=$S$10,H186=$S$11),"Salem",OR(H186=$S$6),"Keizer",OR(H186=$S$8,H186=$S$9,H186=$S$12),"Marion")</f>
        <v>Keizer</v>
      </c>
      <c r="L186">
        <v>117</v>
      </c>
      <c r="M186">
        <v>2021</v>
      </c>
      <c r="N186" t="s">
        <v>45</v>
      </c>
      <c r="O186">
        <v>0</v>
      </c>
    </row>
    <row r="187" spans="1:15" x14ac:dyDescent="0.25">
      <c r="A187">
        <v>117</v>
      </c>
      <c r="B187">
        <v>2050</v>
      </c>
      <c r="C187">
        <v>386</v>
      </c>
      <c r="D187">
        <v>218</v>
      </c>
      <c r="E187">
        <v>0</v>
      </c>
      <c r="F187" t="str" cm="1">
        <f t="array" ref="F187">_xlfn.XLOOKUP(A187&amp;B187,$L$2:$L$739&amp;$M$2:$M$739,$N$2:$N$739)</f>
        <v>Low</v>
      </c>
      <c r="G187">
        <f t="shared" si="2"/>
        <v>0</v>
      </c>
      <c r="H187" t="str">
        <f>_xlfn.XLOOKUP(A187,VE!$A$2:$A$247,VE!$B$2:$B$247)</f>
        <v>Keizer</v>
      </c>
      <c r="I187" t="str" cm="1">
        <f t="array" ref="I187">_xlfn.IFS(OR(H187=$S$2,H187=$S$13,H187=$S$5),"Other",OR(H187=$S$3,H187=$S$4,H187=$S$7,H187=$S$10,H187=$S$11),"Salem",OR(H187=$S$6),"Keizer",OR(H187=$S$8,H187=$S$9,H187=$S$12),"Marion")</f>
        <v>Keizer</v>
      </c>
      <c r="L187">
        <v>117</v>
      </c>
      <c r="M187">
        <v>2050</v>
      </c>
      <c r="N187" t="s">
        <v>45</v>
      </c>
      <c r="O187">
        <v>0</v>
      </c>
    </row>
    <row r="188" spans="1:15" x14ac:dyDescent="0.25">
      <c r="A188">
        <v>118</v>
      </c>
      <c r="B188">
        <v>2005</v>
      </c>
      <c r="C188">
        <v>58</v>
      </c>
      <c r="D188">
        <v>354</v>
      </c>
      <c r="E188">
        <v>0</v>
      </c>
      <c r="F188" t="str" cm="1">
        <f t="array" ref="F188">_xlfn.XLOOKUP(A188&amp;B188,$L$2:$L$739&amp;$M$2:$M$739,$N$2:$N$739)</f>
        <v>Low</v>
      </c>
      <c r="G188">
        <f t="shared" si="2"/>
        <v>0</v>
      </c>
      <c r="H188" t="str">
        <f>_xlfn.XLOOKUP(A188,VE!$A$2:$A$247,VE!$B$2:$B$247)</f>
        <v>Keizer</v>
      </c>
      <c r="I188" t="str" cm="1">
        <f t="array" ref="I188">_xlfn.IFS(OR(H188=$S$2,H188=$S$13,H188=$S$5),"Other",OR(H188=$S$3,H188=$S$4,H188=$S$7,H188=$S$10,H188=$S$11),"Salem",OR(H188=$S$6),"Keizer",OR(H188=$S$8,H188=$S$9,H188=$S$12),"Marion")</f>
        <v>Keizer</v>
      </c>
      <c r="L188">
        <v>118</v>
      </c>
      <c r="M188">
        <v>2005</v>
      </c>
      <c r="N188" t="s">
        <v>45</v>
      </c>
      <c r="O188">
        <v>0</v>
      </c>
    </row>
    <row r="189" spans="1:15" x14ac:dyDescent="0.25">
      <c r="A189">
        <v>118</v>
      </c>
      <c r="B189">
        <v>2021</v>
      </c>
      <c r="C189">
        <v>57</v>
      </c>
      <c r="D189">
        <v>377</v>
      </c>
      <c r="E189">
        <v>0</v>
      </c>
      <c r="F189" t="str" cm="1">
        <f t="array" ref="F189">_xlfn.XLOOKUP(A189&amp;B189,$L$2:$L$739&amp;$M$2:$M$739,$N$2:$N$739)</f>
        <v>High</v>
      </c>
      <c r="G189">
        <f t="shared" si="2"/>
        <v>434</v>
      </c>
      <c r="H189" t="str">
        <f>_xlfn.XLOOKUP(A189,VE!$A$2:$A$247,VE!$B$2:$B$247)</f>
        <v>Keizer</v>
      </c>
      <c r="I189" t="str" cm="1">
        <f t="array" ref="I189">_xlfn.IFS(OR(H189=$S$2,H189=$S$13,H189=$S$5),"Other",OR(H189=$S$3,H189=$S$4,H189=$S$7,H189=$S$10,H189=$S$11),"Salem",OR(H189=$S$6),"Keizer",OR(H189=$S$8,H189=$S$9,H189=$S$12),"Marion")</f>
        <v>Keizer</v>
      </c>
      <c r="L189">
        <v>118</v>
      </c>
      <c r="M189">
        <v>2021</v>
      </c>
      <c r="N189" t="s">
        <v>46</v>
      </c>
      <c r="O189">
        <v>1</v>
      </c>
    </row>
    <row r="190" spans="1:15" x14ac:dyDescent="0.25">
      <c r="A190">
        <v>118</v>
      </c>
      <c r="B190">
        <v>2050</v>
      </c>
      <c r="C190">
        <v>57</v>
      </c>
      <c r="D190">
        <v>479</v>
      </c>
      <c r="E190">
        <v>0</v>
      </c>
      <c r="F190" t="str" cm="1">
        <f t="array" ref="F190">_xlfn.XLOOKUP(A190&amp;B190,$L$2:$L$739&amp;$M$2:$M$739,$N$2:$N$739)</f>
        <v>High</v>
      </c>
      <c r="G190">
        <f t="shared" si="2"/>
        <v>536</v>
      </c>
      <c r="H190" t="str">
        <f>_xlfn.XLOOKUP(A190,VE!$A$2:$A$247,VE!$B$2:$B$247)</f>
        <v>Keizer</v>
      </c>
      <c r="I190" t="str" cm="1">
        <f t="array" ref="I190">_xlfn.IFS(OR(H190=$S$2,H190=$S$13,H190=$S$5),"Other",OR(H190=$S$3,H190=$S$4,H190=$S$7,H190=$S$10,H190=$S$11),"Salem",OR(H190=$S$6),"Keizer",OR(H190=$S$8,H190=$S$9,H190=$S$12),"Marion")</f>
        <v>Keizer</v>
      </c>
      <c r="L190">
        <v>118</v>
      </c>
      <c r="M190">
        <v>2050</v>
      </c>
      <c r="N190" t="s">
        <v>46</v>
      </c>
      <c r="O190">
        <v>1</v>
      </c>
    </row>
    <row r="191" spans="1:15" x14ac:dyDescent="0.25">
      <c r="A191">
        <v>120</v>
      </c>
      <c r="B191">
        <v>2005</v>
      </c>
      <c r="C191">
        <v>658</v>
      </c>
      <c r="D191">
        <v>400</v>
      </c>
      <c r="E191">
        <v>0</v>
      </c>
      <c r="F191" t="str" cm="1">
        <f t="array" ref="F191">_xlfn.XLOOKUP(A191&amp;B191,$L$2:$L$739&amp;$M$2:$M$739,$N$2:$N$739)</f>
        <v>Low</v>
      </c>
      <c r="G191">
        <f t="shared" si="2"/>
        <v>0</v>
      </c>
      <c r="H191" t="str">
        <f>_xlfn.XLOOKUP(A191,VE!$A$2:$A$247,VE!$B$2:$B$247)</f>
        <v>Keizer</v>
      </c>
      <c r="I191" t="str" cm="1">
        <f t="array" ref="I191">_xlfn.IFS(OR(H191=$S$2,H191=$S$13,H191=$S$5),"Other",OR(H191=$S$3,H191=$S$4,H191=$S$7,H191=$S$10,H191=$S$11),"Salem",OR(H191=$S$6),"Keizer",OR(H191=$S$8,H191=$S$9,H191=$S$12),"Marion")</f>
        <v>Keizer</v>
      </c>
      <c r="L191">
        <v>120</v>
      </c>
      <c r="M191">
        <v>2005</v>
      </c>
      <c r="N191" t="s">
        <v>45</v>
      </c>
      <c r="O191">
        <v>0</v>
      </c>
    </row>
    <row r="192" spans="1:15" x14ac:dyDescent="0.25">
      <c r="A192">
        <v>120</v>
      </c>
      <c r="B192">
        <v>2021</v>
      </c>
      <c r="C192">
        <v>676</v>
      </c>
      <c r="D192">
        <v>446</v>
      </c>
      <c r="E192">
        <v>0</v>
      </c>
      <c r="F192" t="str" cm="1">
        <f t="array" ref="F192">_xlfn.XLOOKUP(A192&amp;B192,$L$2:$L$739&amp;$M$2:$M$739,$N$2:$N$739)</f>
        <v>Low</v>
      </c>
      <c r="G192">
        <f t="shared" si="2"/>
        <v>0</v>
      </c>
      <c r="H192" t="str">
        <f>_xlfn.XLOOKUP(A192,VE!$A$2:$A$247,VE!$B$2:$B$247)</f>
        <v>Keizer</v>
      </c>
      <c r="I192" t="str" cm="1">
        <f t="array" ref="I192">_xlfn.IFS(OR(H192=$S$2,H192=$S$13,H192=$S$5),"Other",OR(H192=$S$3,H192=$S$4,H192=$S$7,H192=$S$10,H192=$S$11),"Salem",OR(H192=$S$6),"Keizer",OR(H192=$S$8,H192=$S$9,H192=$S$12),"Marion")</f>
        <v>Keizer</v>
      </c>
      <c r="L192">
        <v>120</v>
      </c>
      <c r="M192">
        <v>2021</v>
      </c>
      <c r="N192" t="s">
        <v>45</v>
      </c>
      <c r="O192">
        <v>0</v>
      </c>
    </row>
    <row r="193" spans="1:15" x14ac:dyDescent="0.25">
      <c r="A193">
        <v>120</v>
      </c>
      <c r="B193">
        <v>2050</v>
      </c>
      <c r="C193">
        <v>689</v>
      </c>
      <c r="D193">
        <v>518</v>
      </c>
      <c r="E193">
        <v>0</v>
      </c>
      <c r="F193" t="str" cm="1">
        <f t="array" ref="F193">_xlfn.XLOOKUP(A193&amp;B193,$L$2:$L$739&amp;$M$2:$M$739,$N$2:$N$739)</f>
        <v>Low</v>
      </c>
      <c r="G193">
        <f t="shared" si="2"/>
        <v>0</v>
      </c>
      <c r="H193" t="str">
        <f>_xlfn.XLOOKUP(A193,VE!$A$2:$A$247,VE!$B$2:$B$247)</f>
        <v>Keizer</v>
      </c>
      <c r="I193" t="str" cm="1">
        <f t="array" ref="I193">_xlfn.IFS(OR(H193=$S$2,H193=$S$13,H193=$S$5),"Other",OR(H193=$S$3,H193=$S$4,H193=$S$7,H193=$S$10,H193=$S$11),"Salem",OR(H193=$S$6),"Keizer",OR(H193=$S$8,H193=$S$9,H193=$S$12),"Marion")</f>
        <v>Keizer</v>
      </c>
      <c r="L193">
        <v>120</v>
      </c>
      <c r="M193">
        <v>2050</v>
      </c>
      <c r="N193" t="s">
        <v>45</v>
      </c>
      <c r="O193">
        <v>0</v>
      </c>
    </row>
    <row r="194" spans="1:15" x14ac:dyDescent="0.25">
      <c r="A194">
        <v>124</v>
      </c>
      <c r="B194">
        <v>2005</v>
      </c>
      <c r="C194">
        <v>205</v>
      </c>
      <c r="D194">
        <v>105</v>
      </c>
      <c r="E194">
        <v>0</v>
      </c>
      <c r="F194" t="str" cm="1">
        <f t="array" ref="F194">_xlfn.XLOOKUP(A194&amp;B194,$L$2:$L$739&amp;$M$2:$M$739,$N$2:$N$739)</f>
        <v>Low</v>
      </c>
      <c r="G194">
        <f t="shared" si="2"/>
        <v>0</v>
      </c>
      <c r="H194" t="str">
        <f>_xlfn.XLOOKUP(A194,VE!$A$2:$A$247,VE!$B$2:$B$247)</f>
        <v>Keizer</v>
      </c>
      <c r="I194" t="str" cm="1">
        <f t="array" ref="I194">_xlfn.IFS(OR(H194=$S$2,H194=$S$13,H194=$S$5),"Other",OR(H194=$S$3,H194=$S$4,H194=$S$7,H194=$S$10,H194=$S$11),"Salem",OR(H194=$S$6),"Keizer",OR(H194=$S$8,H194=$S$9,H194=$S$12),"Marion")</f>
        <v>Keizer</v>
      </c>
      <c r="L194">
        <v>124</v>
      </c>
      <c r="M194">
        <v>2005</v>
      </c>
      <c r="N194" t="s">
        <v>45</v>
      </c>
      <c r="O194">
        <v>0</v>
      </c>
    </row>
    <row r="195" spans="1:15" x14ac:dyDescent="0.25">
      <c r="A195">
        <v>124</v>
      </c>
      <c r="B195">
        <v>2021</v>
      </c>
      <c r="C195">
        <v>205</v>
      </c>
      <c r="D195">
        <v>106</v>
      </c>
      <c r="E195">
        <v>0</v>
      </c>
      <c r="F195" t="str" cm="1">
        <f t="array" ref="F195">_xlfn.XLOOKUP(A195&amp;B195,$L$2:$L$739&amp;$M$2:$M$739,$N$2:$N$739)</f>
        <v>Low</v>
      </c>
      <c r="G195">
        <f t="shared" ref="G195:G258" si="3">IF(F195="High",SUM(C195:D195),0)</f>
        <v>0</v>
      </c>
      <c r="H195" t="str">
        <f>_xlfn.XLOOKUP(A195,VE!$A$2:$A$247,VE!$B$2:$B$247)</f>
        <v>Keizer</v>
      </c>
      <c r="I195" t="str" cm="1">
        <f t="array" ref="I195">_xlfn.IFS(OR(H195=$S$2,H195=$S$13,H195=$S$5),"Other",OR(H195=$S$3,H195=$S$4,H195=$S$7,H195=$S$10,H195=$S$11),"Salem",OR(H195=$S$6),"Keizer",OR(H195=$S$8,H195=$S$9,H195=$S$12),"Marion")</f>
        <v>Keizer</v>
      </c>
      <c r="L195">
        <v>124</v>
      </c>
      <c r="M195">
        <v>2021</v>
      </c>
      <c r="N195" t="s">
        <v>45</v>
      </c>
      <c r="O195">
        <v>0</v>
      </c>
    </row>
    <row r="196" spans="1:15" x14ac:dyDescent="0.25">
      <c r="A196">
        <v>124</v>
      </c>
      <c r="B196">
        <v>2050</v>
      </c>
      <c r="C196">
        <v>207</v>
      </c>
      <c r="D196">
        <v>106</v>
      </c>
      <c r="E196">
        <v>0</v>
      </c>
      <c r="F196" t="str" cm="1">
        <f t="array" ref="F196">_xlfn.XLOOKUP(A196&amp;B196,$L$2:$L$739&amp;$M$2:$M$739,$N$2:$N$739)</f>
        <v>Low</v>
      </c>
      <c r="G196">
        <f t="shared" si="3"/>
        <v>0</v>
      </c>
      <c r="H196" t="str">
        <f>_xlfn.XLOOKUP(A196,VE!$A$2:$A$247,VE!$B$2:$B$247)</f>
        <v>Keizer</v>
      </c>
      <c r="I196" t="str" cm="1">
        <f t="array" ref="I196">_xlfn.IFS(OR(H196=$S$2,H196=$S$13,H196=$S$5),"Other",OR(H196=$S$3,H196=$S$4,H196=$S$7,H196=$S$10,H196=$S$11),"Salem",OR(H196=$S$6),"Keizer",OR(H196=$S$8,H196=$S$9,H196=$S$12),"Marion")</f>
        <v>Keizer</v>
      </c>
      <c r="L196">
        <v>124</v>
      </c>
      <c r="M196">
        <v>2050</v>
      </c>
      <c r="N196" t="s">
        <v>45</v>
      </c>
      <c r="O196">
        <v>0</v>
      </c>
    </row>
    <row r="197" spans="1:15" x14ac:dyDescent="0.25">
      <c r="A197">
        <v>125</v>
      </c>
      <c r="B197">
        <v>2005</v>
      </c>
      <c r="C197">
        <v>75</v>
      </c>
      <c r="D197">
        <v>339</v>
      </c>
      <c r="E197">
        <v>0</v>
      </c>
      <c r="F197" t="str" cm="1">
        <f t="array" ref="F197">_xlfn.XLOOKUP(A197&amp;B197,$L$2:$L$739&amp;$M$2:$M$739,$N$2:$N$739)</f>
        <v>Low</v>
      </c>
      <c r="G197">
        <f t="shared" si="3"/>
        <v>0</v>
      </c>
      <c r="H197" t="str">
        <f>_xlfn.XLOOKUP(A197,VE!$A$2:$A$247,VE!$B$2:$B$247)</f>
        <v>Keizer</v>
      </c>
      <c r="I197" t="str" cm="1">
        <f t="array" ref="I197">_xlfn.IFS(OR(H197=$S$2,H197=$S$13,H197=$S$5),"Other",OR(H197=$S$3,H197=$S$4,H197=$S$7,H197=$S$10,H197=$S$11),"Salem",OR(H197=$S$6),"Keizer",OR(H197=$S$8,H197=$S$9,H197=$S$12),"Marion")</f>
        <v>Keizer</v>
      </c>
      <c r="L197">
        <v>125</v>
      </c>
      <c r="M197">
        <v>2005</v>
      </c>
      <c r="N197" t="s">
        <v>45</v>
      </c>
      <c r="O197">
        <v>0</v>
      </c>
    </row>
    <row r="198" spans="1:15" x14ac:dyDescent="0.25">
      <c r="A198">
        <v>125</v>
      </c>
      <c r="B198">
        <v>2021</v>
      </c>
      <c r="C198">
        <v>75</v>
      </c>
      <c r="D198">
        <v>339</v>
      </c>
      <c r="E198">
        <v>0</v>
      </c>
      <c r="F198" t="str" cm="1">
        <f t="array" ref="F198">_xlfn.XLOOKUP(A198&amp;B198,$L$2:$L$739&amp;$M$2:$M$739,$N$2:$N$739)</f>
        <v>High</v>
      </c>
      <c r="G198">
        <f t="shared" si="3"/>
        <v>414</v>
      </c>
      <c r="H198" t="str">
        <f>_xlfn.XLOOKUP(A198,VE!$A$2:$A$247,VE!$B$2:$B$247)</f>
        <v>Keizer</v>
      </c>
      <c r="I198" t="str" cm="1">
        <f t="array" ref="I198">_xlfn.IFS(OR(H198=$S$2,H198=$S$13,H198=$S$5),"Other",OR(H198=$S$3,H198=$S$4,H198=$S$7,H198=$S$10,H198=$S$11),"Salem",OR(H198=$S$6),"Keizer",OR(H198=$S$8,H198=$S$9,H198=$S$12),"Marion")</f>
        <v>Keizer</v>
      </c>
      <c r="L198">
        <v>125</v>
      </c>
      <c r="M198">
        <v>2021</v>
      </c>
      <c r="N198" t="s">
        <v>46</v>
      </c>
      <c r="O198">
        <v>1</v>
      </c>
    </row>
    <row r="199" spans="1:15" x14ac:dyDescent="0.25">
      <c r="A199">
        <v>125</v>
      </c>
      <c r="B199">
        <v>2050</v>
      </c>
      <c r="C199">
        <v>76</v>
      </c>
      <c r="D199">
        <v>369</v>
      </c>
      <c r="E199">
        <v>0</v>
      </c>
      <c r="F199" t="str" cm="1">
        <f t="array" ref="F199">_xlfn.XLOOKUP(A199&amp;B199,$L$2:$L$739&amp;$M$2:$M$739,$N$2:$N$739)</f>
        <v>High</v>
      </c>
      <c r="G199">
        <f t="shared" si="3"/>
        <v>445</v>
      </c>
      <c r="H199" t="str">
        <f>_xlfn.XLOOKUP(A199,VE!$A$2:$A$247,VE!$B$2:$B$247)</f>
        <v>Keizer</v>
      </c>
      <c r="I199" t="str" cm="1">
        <f t="array" ref="I199">_xlfn.IFS(OR(H199=$S$2,H199=$S$13,H199=$S$5),"Other",OR(H199=$S$3,H199=$S$4,H199=$S$7,H199=$S$10,H199=$S$11),"Salem",OR(H199=$S$6),"Keizer",OR(H199=$S$8,H199=$S$9,H199=$S$12),"Marion")</f>
        <v>Keizer</v>
      </c>
      <c r="L199">
        <v>125</v>
      </c>
      <c r="M199">
        <v>2050</v>
      </c>
      <c r="N199" t="s">
        <v>46</v>
      </c>
      <c r="O199">
        <v>1</v>
      </c>
    </row>
    <row r="200" spans="1:15" x14ac:dyDescent="0.25">
      <c r="A200">
        <v>126</v>
      </c>
      <c r="B200">
        <v>2005</v>
      </c>
      <c r="C200">
        <v>6</v>
      </c>
      <c r="D200">
        <v>108</v>
      </c>
      <c r="E200">
        <v>0</v>
      </c>
      <c r="F200" t="str" cm="1">
        <f t="array" ref="F200">_xlfn.XLOOKUP(A200&amp;B200,$L$2:$L$739&amp;$M$2:$M$739,$N$2:$N$739)</f>
        <v>Low</v>
      </c>
      <c r="G200">
        <f t="shared" si="3"/>
        <v>0</v>
      </c>
      <c r="H200" t="str">
        <f>_xlfn.XLOOKUP(A200,VE!$A$2:$A$247,VE!$B$2:$B$247)</f>
        <v>Keizer</v>
      </c>
      <c r="I200" t="str" cm="1">
        <f t="array" ref="I200">_xlfn.IFS(OR(H200=$S$2,H200=$S$13,H200=$S$5),"Other",OR(H200=$S$3,H200=$S$4,H200=$S$7,H200=$S$10,H200=$S$11),"Salem",OR(H200=$S$6),"Keizer",OR(H200=$S$8,H200=$S$9,H200=$S$12),"Marion")</f>
        <v>Keizer</v>
      </c>
      <c r="L200">
        <v>126</v>
      </c>
      <c r="M200">
        <v>2005</v>
      </c>
      <c r="N200" t="s">
        <v>45</v>
      </c>
      <c r="O200">
        <v>0</v>
      </c>
    </row>
    <row r="201" spans="1:15" x14ac:dyDescent="0.25">
      <c r="A201">
        <v>126</v>
      </c>
      <c r="B201">
        <v>2021</v>
      </c>
      <c r="C201">
        <v>6</v>
      </c>
      <c r="D201">
        <v>108</v>
      </c>
      <c r="E201">
        <v>0</v>
      </c>
      <c r="F201" t="str" cm="1">
        <f t="array" ref="F201">_xlfn.XLOOKUP(A201&amp;B201,$L$2:$L$739&amp;$M$2:$M$739,$N$2:$N$739)</f>
        <v>High</v>
      </c>
      <c r="G201">
        <f t="shared" si="3"/>
        <v>114</v>
      </c>
      <c r="H201" t="str">
        <f>_xlfn.XLOOKUP(A201,VE!$A$2:$A$247,VE!$B$2:$B$247)</f>
        <v>Keizer</v>
      </c>
      <c r="I201" t="str" cm="1">
        <f t="array" ref="I201">_xlfn.IFS(OR(H201=$S$2,H201=$S$13,H201=$S$5),"Other",OR(H201=$S$3,H201=$S$4,H201=$S$7,H201=$S$10,H201=$S$11),"Salem",OR(H201=$S$6),"Keizer",OR(H201=$S$8,H201=$S$9,H201=$S$12),"Marion")</f>
        <v>Keizer</v>
      </c>
      <c r="L201">
        <v>126</v>
      </c>
      <c r="M201">
        <v>2021</v>
      </c>
      <c r="N201" t="s">
        <v>46</v>
      </c>
      <c r="O201">
        <v>1</v>
      </c>
    </row>
    <row r="202" spans="1:15" x14ac:dyDescent="0.25">
      <c r="A202">
        <v>126</v>
      </c>
      <c r="B202">
        <v>2050</v>
      </c>
      <c r="C202">
        <v>6</v>
      </c>
      <c r="D202">
        <v>112</v>
      </c>
      <c r="E202">
        <v>0</v>
      </c>
      <c r="F202" t="str" cm="1">
        <f t="array" ref="F202">_xlfn.XLOOKUP(A202&amp;B202,$L$2:$L$739&amp;$M$2:$M$739,$N$2:$N$739)</f>
        <v>High</v>
      </c>
      <c r="G202">
        <f t="shared" si="3"/>
        <v>118</v>
      </c>
      <c r="H202" t="str">
        <f>_xlfn.XLOOKUP(A202,VE!$A$2:$A$247,VE!$B$2:$B$247)</f>
        <v>Keizer</v>
      </c>
      <c r="I202" t="str" cm="1">
        <f t="array" ref="I202">_xlfn.IFS(OR(H202=$S$2,H202=$S$13,H202=$S$5),"Other",OR(H202=$S$3,H202=$S$4,H202=$S$7,H202=$S$10,H202=$S$11),"Salem",OR(H202=$S$6),"Keizer",OR(H202=$S$8,H202=$S$9,H202=$S$12),"Marion")</f>
        <v>Keizer</v>
      </c>
      <c r="L202">
        <v>126</v>
      </c>
      <c r="M202">
        <v>2050</v>
      </c>
      <c r="N202" t="s">
        <v>46</v>
      </c>
      <c r="O202">
        <v>1</v>
      </c>
    </row>
    <row r="203" spans="1:15" x14ac:dyDescent="0.25">
      <c r="A203">
        <v>128</v>
      </c>
      <c r="B203">
        <v>2005</v>
      </c>
      <c r="C203">
        <v>304</v>
      </c>
      <c r="D203">
        <v>329</v>
      </c>
      <c r="E203">
        <v>0</v>
      </c>
      <c r="F203" t="str" cm="1">
        <f t="array" ref="F203">_xlfn.XLOOKUP(A203&amp;B203,$L$2:$L$739&amp;$M$2:$M$739,$N$2:$N$739)</f>
        <v>Low</v>
      </c>
      <c r="G203">
        <f t="shared" si="3"/>
        <v>0</v>
      </c>
      <c r="H203" t="str">
        <f>_xlfn.XLOOKUP(A203,VE!$A$2:$A$247,VE!$B$2:$B$247)</f>
        <v>Keizer</v>
      </c>
      <c r="I203" t="str" cm="1">
        <f t="array" ref="I203">_xlfn.IFS(OR(H203=$S$2,H203=$S$13,H203=$S$5),"Other",OR(H203=$S$3,H203=$S$4,H203=$S$7,H203=$S$10,H203=$S$11),"Salem",OR(H203=$S$6),"Keizer",OR(H203=$S$8,H203=$S$9,H203=$S$12),"Marion")</f>
        <v>Keizer</v>
      </c>
      <c r="L203">
        <v>128</v>
      </c>
      <c r="M203">
        <v>2005</v>
      </c>
      <c r="N203" t="s">
        <v>45</v>
      </c>
      <c r="O203">
        <v>0</v>
      </c>
    </row>
    <row r="204" spans="1:15" x14ac:dyDescent="0.25">
      <c r="A204">
        <v>128</v>
      </c>
      <c r="B204">
        <v>2021</v>
      </c>
      <c r="C204">
        <v>304</v>
      </c>
      <c r="D204">
        <v>329</v>
      </c>
      <c r="E204">
        <v>0</v>
      </c>
      <c r="F204" t="str" cm="1">
        <f t="array" ref="F204">_xlfn.XLOOKUP(A204&amp;B204,$L$2:$L$739&amp;$M$2:$M$739,$N$2:$N$739)</f>
        <v>Low</v>
      </c>
      <c r="G204">
        <f t="shared" si="3"/>
        <v>0</v>
      </c>
      <c r="H204" t="str">
        <f>_xlfn.XLOOKUP(A204,VE!$A$2:$A$247,VE!$B$2:$B$247)</f>
        <v>Keizer</v>
      </c>
      <c r="I204" t="str" cm="1">
        <f t="array" ref="I204">_xlfn.IFS(OR(H204=$S$2,H204=$S$13,H204=$S$5),"Other",OR(H204=$S$3,H204=$S$4,H204=$S$7,H204=$S$10,H204=$S$11),"Salem",OR(H204=$S$6),"Keizer",OR(H204=$S$8,H204=$S$9,H204=$S$12),"Marion")</f>
        <v>Keizer</v>
      </c>
      <c r="L204">
        <v>128</v>
      </c>
      <c r="M204">
        <v>2021</v>
      </c>
      <c r="N204" t="s">
        <v>45</v>
      </c>
      <c r="O204">
        <v>0</v>
      </c>
    </row>
    <row r="205" spans="1:15" x14ac:dyDescent="0.25">
      <c r="A205">
        <v>128</v>
      </c>
      <c r="B205">
        <v>2050</v>
      </c>
      <c r="C205">
        <v>332</v>
      </c>
      <c r="D205">
        <v>346</v>
      </c>
      <c r="E205">
        <v>0</v>
      </c>
      <c r="F205" t="str" cm="1">
        <f t="array" ref="F205">_xlfn.XLOOKUP(A205&amp;B205,$L$2:$L$739&amp;$M$2:$M$739,$N$2:$N$739)</f>
        <v>Low</v>
      </c>
      <c r="G205">
        <f t="shared" si="3"/>
        <v>0</v>
      </c>
      <c r="H205" t="str">
        <f>_xlfn.XLOOKUP(A205,VE!$A$2:$A$247,VE!$B$2:$B$247)</f>
        <v>Keizer</v>
      </c>
      <c r="I205" t="str" cm="1">
        <f t="array" ref="I205">_xlfn.IFS(OR(H205=$S$2,H205=$S$13,H205=$S$5),"Other",OR(H205=$S$3,H205=$S$4,H205=$S$7,H205=$S$10,H205=$S$11),"Salem",OR(H205=$S$6),"Keizer",OR(H205=$S$8,H205=$S$9,H205=$S$12),"Marion")</f>
        <v>Keizer</v>
      </c>
      <c r="L205">
        <v>128</v>
      </c>
      <c r="M205">
        <v>2050</v>
      </c>
      <c r="N205" t="s">
        <v>45</v>
      </c>
      <c r="O205">
        <v>0</v>
      </c>
    </row>
    <row r="206" spans="1:15" x14ac:dyDescent="0.25">
      <c r="A206">
        <v>129</v>
      </c>
      <c r="B206">
        <v>2005</v>
      </c>
      <c r="C206">
        <v>0</v>
      </c>
      <c r="D206">
        <v>1</v>
      </c>
      <c r="E206">
        <v>0</v>
      </c>
      <c r="F206" t="str" cm="1">
        <f t="array" ref="F206">_xlfn.XLOOKUP(A206&amp;B206,$L$2:$L$739&amp;$M$2:$M$739,$N$2:$N$739)</f>
        <v>Low</v>
      </c>
      <c r="G206">
        <f t="shared" si="3"/>
        <v>0</v>
      </c>
      <c r="H206" t="str">
        <f>_xlfn.XLOOKUP(A206,VE!$A$2:$A$247,VE!$B$2:$B$247)</f>
        <v>Marion_Outside_UGB</v>
      </c>
      <c r="I206" t="str" cm="1">
        <f t="array" ref="I206">_xlfn.IFS(OR(H206=$S$2,H206=$S$13,H206=$S$5),"Other",OR(H206=$S$3,H206=$S$4,H206=$S$7,H206=$S$10,H206=$S$11),"Salem",OR(H206=$S$6),"Keizer",OR(H206=$S$8,H206=$S$9,H206=$S$12),"Marion")</f>
        <v>Other</v>
      </c>
      <c r="L206">
        <v>129</v>
      </c>
      <c r="M206">
        <v>2005</v>
      </c>
      <c r="N206" t="s">
        <v>45</v>
      </c>
      <c r="O206">
        <v>0</v>
      </c>
    </row>
    <row r="207" spans="1:15" x14ac:dyDescent="0.25">
      <c r="A207">
        <v>129</v>
      </c>
      <c r="B207">
        <v>2021</v>
      </c>
      <c r="C207">
        <v>65</v>
      </c>
      <c r="D207">
        <v>49</v>
      </c>
      <c r="E207">
        <v>0</v>
      </c>
      <c r="F207" t="str" cm="1">
        <f t="array" ref="F207">_xlfn.XLOOKUP(A207&amp;B207,$L$2:$L$739&amp;$M$2:$M$739,$N$2:$N$739)</f>
        <v>Low</v>
      </c>
      <c r="G207">
        <f t="shared" si="3"/>
        <v>0</v>
      </c>
      <c r="H207" t="str">
        <f>_xlfn.XLOOKUP(A207,VE!$A$2:$A$247,VE!$B$2:$B$247)</f>
        <v>Marion_Outside_UGB</v>
      </c>
      <c r="I207" t="str" cm="1">
        <f t="array" ref="I207">_xlfn.IFS(OR(H207=$S$2,H207=$S$13,H207=$S$5),"Other",OR(H207=$S$3,H207=$S$4,H207=$S$7,H207=$S$10,H207=$S$11),"Salem",OR(H207=$S$6),"Keizer",OR(H207=$S$8,H207=$S$9,H207=$S$12),"Marion")</f>
        <v>Other</v>
      </c>
      <c r="L207">
        <v>129</v>
      </c>
      <c r="M207">
        <v>2021</v>
      </c>
      <c r="N207" t="s">
        <v>45</v>
      </c>
      <c r="O207">
        <v>0</v>
      </c>
    </row>
    <row r="208" spans="1:15" x14ac:dyDescent="0.25">
      <c r="A208">
        <v>129</v>
      </c>
      <c r="B208">
        <v>2050</v>
      </c>
      <c r="C208">
        <v>113</v>
      </c>
      <c r="D208">
        <v>49</v>
      </c>
      <c r="E208">
        <v>0</v>
      </c>
      <c r="F208" t="str" cm="1">
        <f t="array" ref="F208">_xlfn.XLOOKUP(A208&amp;B208,$L$2:$L$739&amp;$M$2:$M$739,$N$2:$N$739)</f>
        <v>Low</v>
      </c>
      <c r="G208">
        <f t="shared" si="3"/>
        <v>0</v>
      </c>
      <c r="H208" t="str">
        <f>_xlfn.XLOOKUP(A208,VE!$A$2:$A$247,VE!$B$2:$B$247)</f>
        <v>Marion_Outside_UGB</v>
      </c>
      <c r="I208" t="str" cm="1">
        <f t="array" ref="I208">_xlfn.IFS(OR(H208=$S$2,H208=$S$13,H208=$S$5),"Other",OR(H208=$S$3,H208=$S$4,H208=$S$7,H208=$S$10,H208=$S$11),"Salem",OR(H208=$S$6),"Keizer",OR(H208=$S$8,H208=$S$9,H208=$S$12),"Marion")</f>
        <v>Other</v>
      </c>
      <c r="L208">
        <v>129</v>
      </c>
      <c r="M208">
        <v>2050</v>
      </c>
      <c r="N208" t="s">
        <v>45</v>
      </c>
      <c r="O208">
        <v>0</v>
      </c>
    </row>
    <row r="209" spans="1:15" x14ac:dyDescent="0.25">
      <c r="A209">
        <v>130</v>
      </c>
      <c r="B209">
        <v>2005</v>
      </c>
      <c r="C209">
        <v>0</v>
      </c>
      <c r="D209">
        <v>1</v>
      </c>
      <c r="E209">
        <v>0</v>
      </c>
      <c r="F209" t="str" cm="1">
        <f t="array" ref="F209">_xlfn.XLOOKUP(A209&amp;B209,$L$2:$L$739&amp;$M$2:$M$739,$N$2:$N$739)</f>
        <v>Low</v>
      </c>
      <c r="G209">
        <f t="shared" si="3"/>
        <v>0</v>
      </c>
      <c r="H209" t="str">
        <f>_xlfn.XLOOKUP(A209,VE!$A$2:$A$247,VE!$B$2:$B$247)</f>
        <v>Marion_Outside_UGB</v>
      </c>
      <c r="I209" t="str" cm="1">
        <f t="array" ref="I209">_xlfn.IFS(OR(H209=$S$2,H209=$S$13,H209=$S$5),"Other",OR(H209=$S$3,H209=$S$4,H209=$S$7,H209=$S$10,H209=$S$11),"Salem",OR(H209=$S$6),"Keizer",OR(H209=$S$8,H209=$S$9,H209=$S$12),"Marion")</f>
        <v>Other</v>
      </c>
      <c r="L209">
        <v>130</v>
      </c>
      <c r="M209">
        <v>2005</v>
      </c>
      <c r="N209" t="s">
        <v>45</v>
      </c>
      <c r="O209">
        <v>0</v>
      </c>
    </row>
    <row r="210" spans="1:15" x14ac:dyDescent="0.25">
      <c r="A210">
        <v>130</v>
      </c>
      <c r="B210">
        <v>2021</v>
      </c>
      <c r="C210">
        <v>45</v>
      </c>
      <c r="D210">
        <v>74</v>
      </c>
      <c r="E210">
        <v>0</v>
      </c>
      <c r="F210" t="str" cm="1">
        <f t="array" ref="F210">_xlfn.XLOOKUP(A210&amp;B210,$L$2:$L$739&amp;$M$2:$M$739,$N$2:$N$739)</f>
        <v>Low</v>
      </c>
      <c r="G210">
        <f t="shared" si="3"/>
        <v>0</v>
      </c>
      <c r="H210" t="str">
        <f>_xlfn.XLOOKUP(A210,VE!$A$2:$A$247,VE!$B$2:$B$247)</f>
        <v>Marion_Outside_UGB</v>
      </c>
      <c r="I210" t="str" cm="1">
        <f t="array" ref="I210">_xlfn.IFS(OR(H210=$S$2,H210=$S$13,H210=$S$5),"Other",OR(H210=$S$3,H210=$S$4,H210=$S$7,H210=$S$10,H210=$S$11),"Salem",OR(H210=$S$6),"Keizer",OR(H210=$S$8,H210=$S$9,H210=$S$12),"Marion")</f>
        <v>Other</v>
      </c>
      <c r="L210">
        <v>130</v>
      </c>
      <c r="M210">
        <v>2021</v>
      </c>
      <c r="N210" t="s">
        <v>45</v>
      </c>
      <c r="O210">
        <v>0</v>
      </c>
    </row>
    <row r="211" spans="1:15" x14ac:dyDescent="0.25">
      <c r="A211">
        <v>130</v>
      </c>
      <c r="B211">
        <v>2050</v>
      </c>
      <c r="C211">
        <v>44</v>
      </c>
      <c r="D211">
        <v>71</v>
      </c>
      <c r="E211">
        <v>0</v>
      </c>
      <c r="F211" t="str" cm="1">
        <f t="array" ref="F211">_xlfn.XLOOKUP(A211&amp;B211,$L$2:$L$739&amp;$M$2:$M$739,$N$2:$N$739)</f>
        <v>Low</v>
      </c>
      <c r="G211">
        <f t="shared" si="3"/>
        <v>0</v>
      </c>
      <c r="H211" t="str">
        <f>_xlfn.XLOOKUP(A211,VE!$A$2:$A$247,VE!$B$2:$B$247)</f>
        <v>Marion_Outside_UGB</v>
      </c>
      <c r="I211" t="str" cm="1">
        <f t="array" ref="I211">_xlfn.IFS(OR(H211=$S$2,H211=$S$13,H211=$S$5),"Other",OR(H211=$S$3,H211=$S$4,H211=$S$7,H211=$S$10,H211=$S$11),"Salem",OR(H211=$S$6),"Keizer",OR(H211=$S$8,H211=$S$9,H211=$S$12),"Marion")</f>
        <v>Other</v>
      </c>
      <c r="L211">
        <v>130</v>
      </c>
      <c r="M211">
        <v>2050</v>
      </c>
      <c r="N211" t="s">
        <v>45</v>
      </c>
      <c r="O211">
        <v>0</v>
      </c>
    </row>
    <row r="212" spans="1:15" x14ac:dyDescent="0.25">
      <c r="A212">
        <v>131</v>
      </c>
      <c r="B212">
        <v>2005</v>
      </c>
      <c r="C212">
        <v>13</v>
      </c>
      <c r="D212">
        <v>0</v>
      </c>
      <c r="E212">
        <v>0</v>
      </c>
      <c r="F212" t="str" cm="1">
        <f t="array" ref="F212">_xlfn.XLOOKUP(A212&amp;B212,$L$2:$L$739&amp;$M$2:$M$739,$N$2:$N$739)</f>
        <v>Low</v>
      </c>
      <c r="G212">
        <f t="shared" si="3"/>
        <v>0</v>
      </c>
      <c r="H212" t="str">
        <f>_xlfn.XLOOKUP(A212,VE!$A$2:$A$247,VE!$B$2:$B$247)</f>
        <v>Marion_Outside_UGB</v>
      </c>
      <c r="I212" t="str" cm="1">
        <f t="array" ref="I212">_xlfn.IFS(OR(H212=$S$2,H212=$S$13,H212=$S$5),"Other",OR(H212=$S$3,H212=$S$4,H212=$S$7,H212=$S$10,H212=$S$11),"Salem",OR(H212=$S$6),"Keizer",OR(H212=$S$8,H212=$S$9,H212=$S$12),"Marion")</f>
        <v>Other</v>
      </c>
      <c r="L212">
        <v>131</v>
      </c>
      <c r="M212">
        <v>2005</v>
      </c>
      <c r="N212" t="s">
        <v>45</v>
      </c>
      <c r="O212">
        <v>0</v>
      </c>
    </row>
    <row r="213" spans="1:15" x14ac:dyDescent="0.25">
      <c r="A213">
        <v>131</v>
      </c>
      <c r="B213">
        <v>2021</v>
      </c>
      <c r="C213">
        <v>18</v>
      </c>
      <c r="D213">
        <v>0</v>
      </c>
      <c r="E213">
        <v>0</v>
      </c>
      <c r="F213" t="str" cm="1">
        <f t="array" ref="F213">_xlfn.XLOOKUP(A213&amp;B213,$L$2:$L$739&amp;$M$2:$M$739,$N$2:$N$739)</f>
        <v>Low</v>
      </c>
      <c r="G213">
        <f t="shared" si="3"/>
        <v>0</v>
      </c>
      <c r="H213" t="str">
        <f>_xlfn.XLOOKUP(A213,VE!$A$2:$A$247,VE!$B$2:$B$247)</f>
        <v>Marion_Outside_UGB</v>
      </c>
      <c r="I213" t="str" cm="1">
        <f t="array" ref="I213">_xlfn.IFS(OR(H213=$S$2,H213=$S$13,H213=$S$5),"Other",OR(H213=$S$3,H213=$S$4,H213=$S$7,H213=$S$10,H213=$S$11),"Salem",OR(H213=$S$6),"Keizer",OR(H213=$S$8,H213=$S$9,H213=$S$12),"Marion")</f>
        <v>Other</v>
      </c>
      <c r="L213">
        <v>131</v>
      </c>
      <c r="M213">
        <v>2021</v>
      </c>
      <c r="N213" t="s">
        <v>45</v>
      </c>
      <c r="O213">
        <v>0</v>
      </c>
    </row>
    <row r="214" spans="1:15" x14ac:dyDescent="0.25">
      <c r="A214">
        <v>131</v>
      </c>
      <c r="B214">
        <v>2050</v>
      </c>
      <c r="C214">
        <v>14</v>
      </c>
      <c r="D214">
        <v>0</v>
      </c>
      <c r="E214">
        <v>0</v>
      </c>
      <c r="F214" t="str" cm="1">
        <f t="array" ref="F214">_xlfn.XLOOKUP(A214&amp;B214,$L$2:$L$739&amp;$M$2:$M$739,$N$2:$N$739)</f>
        <v>Low</v>
      </c>
      <c r="G214">
        <f t="shared" si="3"/>
        <v>0</v>
      </c>
      <c r="H214" t="str">
        <f>_xlfn.XLOOKUP(A214,VE!$A$2:$A$247,VE!$B$2:$B$247)</f>
        <v>Marion_Outside_UGB</v>
      </c>
      <c r="I214" t="str" cm="1">
        <f t="array" ref="I214">_xlfn.IFS(OR(H214=$S$2,H214=$S$13,H214=$S$5),"Other",OR(H214=$S$3,H214=$S$4,H214=$S$7,H214=$S$10,H214=$S$11),"Salem",OR(H214=$S$6),"Keizer",OR(H214=$S$8,H214=$S$9,H214=$S$12),"Marion")</f>
        <v>Other</v>
      </c>
      <c r="L214">
        <v>131</v>
      </c>
      <c r="M214">
        <v>2050</v>
      </c>
      <c r="N214" t="s">
        <v>45</v>
      </c>
      <c r="O214">
        <v>0</v>
      </c>
    </row>
    <row r="215" spans="1:15" x14ac:dyDescent="0.25">
      <c r="A215">
        <v>132</v>
      </c>
      <c r="B215">
        <v>2005</v>
      </c>
      <c r="C215">
        <v>216</v>
      </c>
      <c r="D215">
        <v>11</v>
      </c>
      <c r="E215">
        <v>0</v>
      </c>
      <c r="F215" t="str" cm="1">
        <f t="array" ref="F215">_xlfn.XLOOKUP(A215&amp;B215,$L$2:$L$739&amp;$M$2:$M$739,$N$2:$N$739)</f>
        <v>Low</v>
      </c>
      <c r="G215">
        <f t="shared" si="3"/>
        <v>0</v>
      </c>
      <c r="H215" t="str">
        <f>_xlfn.XLOOKUP(A215,VE!$A$2:$A$247,VE!$B$2:$B$247)</f>
        <v>Marion_Outside_UGB</v>
      </c>
      <c r="I215" t="str" cm="1">
        <f t="array" ref="I215">_xlfn.IFS(OR(H215=$S$2,H215=$S$13,H215=$S$5),"Other",OR(H215=$S$3,H215=$S$4,H215=$S$7,H215=$S$10,H215=$S$11),"Salem",OR(H215=$S$6),"Keizer",OR(H215=$S$8,H215=$S$9,H215=$S$12),"Marion")</f>
        <v>Other</v>
      </c>
      <c r="L215">
        <v>132</v>
      </c>
      <c r="M215">
        <v>2005</v>
      </c>
      <c r="N215" t="s">
        <v>45</v>
      </c>
      <c r="O215">
        <v>0</v>
      </c>
    </row>
    <row r="216" spans="1:15" x14ac:dyDescent="0.25">
      <c r="A216">
        <v>132</v>
      </c>
      <c r="B216">
        <v>2021</v>
      </c>
      <c r="C216">
        <v>216</v>
      </c>
      <c r="D216">
        <v>11</v>
      </c>
      <c r="E216">
        <v>0</v>
      </c>
      <c r="F216" t="str" cm="1">
        <f t="array" ref="F216">_xlfn.XLOOKUP(A216&amp;B216,$L$2:$L$739&amp;$M$2:$M$739,$N$2:$N$739)</f>
        <v>Low</v>
      </c>
      <c r="G216">
        <f t="shared" si="3"/>
        <v>0</v>
      </c>
      <c r="H216" t="str">
        <f>_xlfn.XLOOKUP(A216,VE!$A$2:$A$247,VE!$B$2:$B$247)</f>
        <v>Marion_Outside_UGB</v>
      </c>
      <c r="I216" t="str" cm="1">
        <f t="array" ref="I216">_xlfn.IFS(OR(H216=$S$2,H216=$S$13,H216=$S$5),"Other",OR(H216=$S$3,H216=$S$4,H216=$S$7,H216=$S$10,H216=$S$11),"Salem",OR(H216=$S$6),"Keizer",OR(H216=$S$8,H216=$S$9,H216=$S$12),"Marion")</f>
        <v>Other</v>
      </c>
      <c r="L216">
        <v>132</v>
      </c>
      <c r="M216">
        <v>2021</v>
      </c>
      <c r="N216" t="s">
        <v>45</v>
      </c>
      <c r="O216">
        <v>0</v>
      </c>
    </row>
    <row r="217" spans="1:15" x14ac:dyDescent="0.25">
      <c r="A217">
        <v>132</v>
      </c>
      <c r="B217">
        <v>2050</v>
      </c>
      <c r="C217">
        <v>226</v>
      </c>
      <c r="D217">
        <v>9</v>
      </c>
      <c r="E217">
        <v>0</v>
      </c>
      <c r="F217" t="str" cm="1">
        <f t="array" ref="F217">_xlfn.XLOOKUP(A217&amp;B217,$L$2:$L$739&amp;$M$2:$M$739,$N$2:$N$739)</f>
        <v>Low</v>
      </c>
      <c r="G217">
        <f t="shared" si="3"/>
        <v>0</v>
      </c>
      <c r="H217" t="str">
        <f>_xlfn.XLOOKUP(A217,VE!$A$2:$A$247,VE!$B$2:$B$247)</f>
        <v>Marion_Outside_UGB</v>
      </c>
      <c r="I217" t="str" cm="1">
        <f t="array" ref="I217">_xlfn.IFS(OR(H217=$S$2,H217=$S$13,H217=$S$5),"Other",OR(H217=$S$3,H217=$S$4,H217=$S$7,H217=$S$10,H217=$S$11),"Salem",OR(H217=$S$6),"Keizer",OR(H217=$S$8,H217=$S$9,H217=$S$12),"Marion")</f>
        <v>Other</v>
      </c>
      <c r="L217">
        <v>132</v>
      </c>
      <c r="M217">
        <v>2050</v>
      </c>
      <c r="N217" t="s">
        <v>45</v>
      </c>
      <c r="O217">
        <v>0</v>
      </c>
    </row>
    <row r="218" spans="1:15" x14ac:dyDescent="0.25">
      <c r="A218">
        <v>133</v>
      </c>
      <c r="B218">
        <v>2005</v>
      </c>
      <c r="C218">
        <v>126</v>
      </c>
      <c r="D218">
        <v>7</v>
      </c>
      <c r="E218">
        <v>0</v>
      </c>
      <c r="F218" t="str" cm="1">
        <f t="array" ref="F218">_xlfn.XLOOKUP(A218&amp;B218,$L$2:$L$739&amp;$M$2:$M$739,$N$2:$N$739)</f>
        <v>Low</v>
      </c>
      <c r="G218">
        <f t="shared" si="3"/>
        <v>0</v>
      </c>
      <c r="H218" t="str">
        <f>_xlfn.XLOOKUP(A218,VE!$A$2:$A$247,VE!$B$2:$B$247)</f>
        <v>Marion_Outside_UGB</v>
      </c>
      <c r="I218" t="str" cm="1">
        <f t="array" ref="I218">_xlfn.IFS(OR(H218=$S$2,H218=$S$13,H218=$S$5),"Other",OR(H218=$S$3,H218=$S$4,H218=$S$7,H218=$S$10,H218=$S$11),"Salem",OR(H218=$S$6),"Keizer",OR(H218=$S$8,H218=$S$9,H218=$S$12),"Marion")</f>
        <v>Other</v>
      </c>
      <c r="L218">
        <v>133</v>
      </c>
      <c r="M218">
        <v>2005</v>
      </c>
      <c r="N218" t="s">
        <v>45</v>
      </c>
      <c r="O218">
        <v>0</v>
      </c>
    </row>
    <row r="219" spans="1:15" x14ac:dyDescent="0.25">
      <c r="A219">
        <v>133</v>
      </c>
      <c r="B219">
        <v>2021</v>
      </c>
      <c r="C219">
        <v>126</v>
      </c>
      <c r="D219">
        <v>7</v>
      </c>
      <c r="E219">
        <v>0</v>
      </c>
      <c r="F219" t="str" cm="1">
        <f t="array" ref="F219">_xlfn.XLOOKUP(A219&amp;B219,$L$2:$L$739&amp;$M$2:$M$739,$N$2:$N$739)</f>
        <v>Low</v>
      </c>
      <c r="G219">
        <f t="shared" si="3"/>
        <v>0</v>
      </c>
      <c r="H219" t="str">
        <f>_xlfn.XLOOKUP(A219,VE!$A$2:$A$247,VE!$B$2:$B$247)</f>
        <v>Marion_Outside_UGB</v>
      </c>
      <c r="I219" t="str" cm="1">
        <f t="array" ref="I219">_xlfn.IFS(OR(H219=$S$2,H219=$S$13,H219=$S$5),"Other",OR(H219=$S$3,H219=$S$4,H219=$S$7,H219=$S$10,H219=$S$11),"Salem",OR(H219=$S$6),"Keizer",OR(H219=$S$8,H219=$S$9,H219=$S$12),"Marion")</f>
        <v>Other</v>
      </c>
      <c r="L219">
        <v>133</v>
      </c>
      <c r="M219">
        <v>2021</v>
      </c>
      <c r="N219" t="s">
        <v>45</v>
      </c>
      <c r="O219">
        <v>0</v>
      </c>
    </row>
    <row r="220" spans="1:15" x14ac:dyDescent="0.25">
      <c r="A220">
        <v>133</v>
      </c>
      <c r="B220">
        <v>2050</v>
      </c>
      <c r="C220">
        <v>127</v>
      </c>
      <c r="D220">
        <v>7</v>
      </c>
      <c r="E220">
        <v>0</v>
      </c>
      <c r="F220" t="str" cm="1">
        <f t="array" ref="F220">_xlfn.XLOOKUP(A220&amp;B220,$L$2:$L$739&amp;$M$2:$M$739,$N$2:$N$739)</f>
        <v>Low</v>
      </c>
      <c r="G220">
        <f t="shared" si="3"/>
        <v>0</v>
      </c>
      <c r="H220" t="str">
        <f>_xlfn.XLOOKUP(A220,VE!$A$2:$A$247,VE!$B$2:$B$247)</f>
        <v>Marion_Outside_UGB</v>
      </c>
      <c r="I220" t="str" cm="1">
        <f t="array" ref="I220">_xlfn.IFS(OR(H220=$S$2,H220=$S$13,H220=$S$5),"Other",OR(H220=$S$3,H220=$S$4,H220=$S$7,H220=$S$10,H220=$S$11),"Salem",OR(H220=$S$6),"Keizer",OR(H220=$S$8,H220=$S$9,H220=$S$12),"Marion")</f>
        <v>Other</v>
      </c>
      <c r="L220">
        <v>133</v>
      </c>
      <c r="M220">
        <v>2050</v>
      </c>
      <c r="N220" t="s">
        <v>45</v>
      </c>
      <c r="O220">
        <v>0</v>
      </c>
    </row>
    <row r="221" spans="1:15" x14ac:dyDescent="0.25">
      <c r="A221">
        <v>134</v>
      </c>
      <c r="B221">
        <v>2005</v>
      </c>
      <c r="C221">
        <v>61</v>
      </c>
      <c r="D221">
        <v>4</v>
      </c>
      <c r="E221">
        <v>0</v>
      </c>
      <c r="F221" t="str" cm="1">
        <f t="array" ref="F221">_xlfn.XLOOKUP(A221&amp;B221,$L$2:$L$739&amp;$M$2:$M$739,$N$2:$N$739)</f>
        <v>Low</v>
      </c>
      <c r="G221">
        <f t="shared" si="3"/>
        <v>0</v>
      </c>
      <c r="H221" t="str">
        <f>_xlfn.XLOOKUP(A221,VE!$A$2:$A$247,VE!$B$2:$B$247)</f>
        <v>Marion_Outside_UGB</v>
      </c>
      <c r="I221" t="str" cm="1">
        <f t="array" ref="I221">_xlfn.IFS(OR(H221=$S$2,H221=$S$13,H221=$S$5),"Other",OR(H221=$S$3,H221=$S$4,H221=$S$7,H221=$S$10,H221=$S$11),"Salem",OR(H221=$S$6),"Keizer",OR(H221=$S$8,H221=$S$9,H221=$S$12),"Marion")</f>
        <v>Other</v>
      </c>
      <c r="L221">
        <v>134</v>
      </c>
      <c r="M221">
        <v>2005</v>
      </c>
      <c r="N221" t="s">
        <v>45</v>
      </c>
      <c r="O221">
        <v>0</v>
      </c>
    </row>
    <row r="222" spans="1:15" x14ac:dyDescent="0.25">
      <c r="A222">
        <v>134</v>
      </c>
      <c r="B222">
        <v>2021</v>
      </c>
      <c r="C222">
        <v>77</v>
      </c>
      <c r="D222">
        <v>10</v>
      </c>
      <c r="E222">
        <v>0</v>
      </c>
      <c r="F222" t="str" cm="1">
        <f t="array" ref="F222">_xlfn.XLOOKUP(A222&amp;B222,$L$2:$L$739&amp;$M$2:$M$739,$N$2:$N$739)</f>
        <v>Low</v>
      </c>
      <c r="G222">
        <f t="shared" si="3"/>
        <v>0</v>
      </c>
      <c r="H222" t="str">
        <f>_xlfn.XLOOKUP(A222,VE!$A$2:$A$247,VE!$B$2:$B$247)</f>
        <v>Marion_Outside_UGB</v>
      </c>
      <c r="I222" t="str" cm="1">
        <f t="array" ref="I222">_xlfn.IFS(OR(H222=$S$2,H222=$S$13,H222=$S$5),"Other",OR(H222=$S$3,H222=$S$4,H222=$S$7,H222=$S$10,H222=$S$11),"Salem",OR(H222=$S$6),"Keizer",OR(H222=$S$8,H222=$S$9,H222=$S$12),"Marion")</f>
        <v>Other</v>
      </c>
      <c r="L222">
        <v>134</v>
      </c>
      <c r="M222">
        <v>2021</v>
      </c>
      <c r="N222" t="s">
        <v>45</v>
      </c>
      <c r="O222">
        <v>0</v>
      </c>
    </row>
    <row r="223" spans="1:15" x14ac:dyDescent="0.25">
      <c r="A223">
        <v>134</v>
      </c>
      <c r="B223">
        <v>2050</v>
      </c>
      <c r="C223">
        <v>77</v>
      </c>
      <c r="D223">
        <v>10</v>
      </c>
      <c r="E223">
        <v>0</v>
      </c>
      <c r="F223" t="str" cm="1">
        <f t="array" ref="F223">_xlfn.XLOOKUP(A223&amp;B223,$L$2:$L$739&amp;$M$2:$M$739,$N$2:$N$739)</f>
        <v>Low</v>
      </c>
      <c r="G223">
        <f t="shared" si="3"/>
        <v>0</v>
      </c>
      <c r="H223" t="str">
        <f>_xlfn.XLOOKUP(A223,VE!$A$2:$A$247,VE!$B$2:$B$247)</f>
        <v>Marion_Outside_UGB</v>
      </c>
      <c r="I223" t="str" cm="1">
        <f t="array" ref="I223">_xlfn.IFS(OR(H223=$S$2,H223=$S$13,H223=$S$5),"Other",OR(H223=$S$3,H223=$S$4,H223=$S$7,H223=$S$10,H223=$S$11),"Salem",OR(H223=$S$6),"Keizer",OR(H223=$S$8,H223=$S$9,H223=$S$12),"Marion")</f>
        <v>Other</v>
      </c>
      <c r="L223">
        <v>134</v>
      </c>
      <c r="M223">
        <v>2050</v>
      </c>
      <c r="N223" t="s">
        <v>45</v>
      </c>
      <c r="O223">
        <v>0</v>
      </c>
    </row>
    <row r="224" spans="1:15" x14ac:dyDescent="0.25">
      <c r="A224">
        <v>135</v>
      </c>
      <c r="B224">
        <v>2005</v>
      </c>
      <c r="C224">
        <v>1</v>
      </c>
      <c r="D224">
        <v>1</v>
      </c>
      <c r="E224">
        <v>0</v>
      </c>
      <c r="F224" t="str" cm="1">
        <f t="array" ref="F224">_xlfn.XLOOKUP(A224&amp;B224,$L$2:$L$739&amp;$M$2:$M$739,$N$2:$N$739)</f>
        <v>Low</v>
      </c>
      <c r="G224">
        <f t="shared" si="3"/>
        <v>0</v>
      </c>
      <c r="H224" t="str">
        <f>_xlfn.XLOOKUP(A224,VE!$A$2:$A$247,VE!$B$2:$B$247)</f>
        <v>Salem_4</v>
      </c>
      <c r="I224" t="str" cm="1">
        <f t="array" ref="I224">_xlfn.IFS(OR(H224=$S$2,H224=$S$13,H224=$S$5),"Other",OR(H224=$S$3,H224=$S$4,H224=$S$7,H224=$S$10,H224=$S$11),"Salem",OR(H224=$S$6),"Keizer",OR(H224=$S$8,H224=$S$9,H224=$S$12),"Marion")</f>
        <v>Salem</v>
      </c>
      <c r="L224">
        <v>135</v>
      </c>
      <c r="M224">
        <v>2005</v>
      </c>
      <c r="N224" t="s">
        <v>45</v>
      </c>
      <c r="O224">
        <v>0</v>
      </c>
    </row>
    <row r="225" spans="1:15" x14ac:dyDescent="0.25">
      <c r="A225">
        <v>135</v>
      </c>
      <c r="B225">
        <v>2021</v>
      </c>
      <c r="C225">
        <v>5</v>
      </c>
      <c r="D225">
        <v>0</v>
      </c>
      <c r="E225">
        <v>0</v>
      </c>
      <c r="F225" t="str" cm="1">
        <f t="array" ref="F225">_xlfn.XLOOKUP(A225&amp;B225,$L$2:$L$739&amp;$M$2:$M$739,$N$2:$N$739)</f>
        <v>Low</v>
      </c>
      <c r="G225">
        <f t="shared" si="3"/>
        <v>0</v>
      </c>
      <c r="H225" t="str">
        <f>_xlfn.XLOOKUP(A225,VE!$A$2:$A$247,VE!$B$2:$B$247)</f>
        <v>Salem_4</v>
      </c>
      <c r="I225" t="str" cm="1">
        <f t="array" ref="I225">_xlfn.IFS(OR(H225=$S$2,H225=$S$13,H225=$S$5),"Other",OR(H225=$S$3,H225=$S$4,H225=$S$7,H225=$S$10,H225=$S$11),"Salem",OR(H225=$S$6),"Keizer",OR(H225=$S$8,H225=$S$9,H225=$S$12),"Marion")</f>
        <v>Salem</v>
      </c>
      <c r="L225">
        <v>135</v>
      </c>
      <c r="M225">
        <v>2021</v>
      </c>
      <c r="N225" t="s">
        <v>45</v>
      </c>
      <c r="O225">
        <v>0</v>
      </c>
    </row>
    <row r="226" spans="1:15" x14ac:dyDescent="0.25">
      <c r="A226">
        <v>135</v>
      </c>
      <c r="B226">
        <v>2050</v>
      </c>
      <c r="C226">
        <v>1</v>
      </c>
      <c r="D226">
        <v>0</v>
      </c>
      <c r="E226">
        <v>0</v>
      </c>
      <c r="F226" t="str" cm="1">
        <f t="array" ref="F226">_xlfn.XLOOKUP(A226&amp;B226,$L$2:$L$739&amp;$M$2:$M$739,$N$2:$N$739)</f>
        <v>Low</v>
      </c>
      <c r="G226">
        <f t="shared" si="3"/>
        <v>0</v>
      </c>
      <c r="H226" t="str">
        <f>_xlfn.XLOOKUP(A226,VE!$A$2:$A$247,VE!$B$2:$B$247)</f>
        <v>Salem_4</v>
      </c>
      <c r="I226" t="str" cm="1">
        <f t="array" ref="I226">_xlfn.IFS(OR(H226=$S$2,H226=$S$13,H226=$S$5),"Other",OR(H226=$S$3,H226=$S$4,H226=$S$7,H226=$S$10,H226=$S$11),"Salem",OR(H226=$S$6),"Keizer",OR(H226=$S$8,H226=$S$9,H226=$S$12),"Marion")</f>
        <v>Salem</v>
      </c>
      <c r="L226">
        <v>135</v>
      </c>
      <c r="M226">
        <v>2050</v>
      </c>
      <c r="N226" t="s">
        <v>45</v>
      </c>
      <c r="O226">
        <v>0</v>
      </c>
    </row>
    <row r="227" spans="1:15" x14ac:dyDescent="0.25">
      <c r="A227">
        <v>136</v>
      </c>
      <c r="B227">
        <v>2005</v>
      </c>
      <c r="C227">
        <v>0</v>
      </c>
      <c r="D227">
        <v>311</v>
      </c>
      <c r="E227">
        <v>0</v>
      </c>
      <c r="F227" t="str" cm="1">
        <f t="array" ref="F227">_xlfn.XLOOKUP(A227&amp;B227,$L$2:$L$739&amp;$M$2:$M$739,$N$2:$N$739)</f>
        <v>Low</v>
      </c>
      <c r="G227">
        <f t="shared" si="3"/>
        <v>0</v>
      </c>
      <c r="H227" t="str">
        <f>_xlfn.XLOOKUP(A227,VE!$A$2:$A$247,VE!$B$2:$B$247)</f>
        <v>Salem_4</v>
      </c>
      <c r="I227" t="str" cm="1">
        <f t="array" ref="I227">_xlfn.IFS(OR(H227=$S$2,H227=$S$13,H227=$S$5),"Other",OR(H227=$S$3,H227=$S$4,H227=$S$7,H227=$S$10,H227=$S$11),"Salem",OR(H227=$S$6),"Keizer",OR(H227=$S$8,H227=$S$9,H227=$S$12),"Marion")</f>
        <v>Salem</v>
      </c>
      <c r="L227">
        <v>136</v>
      </c>
      <c r="M227">
        <v>2005</v>
      </c>
      <c r="N227" t="s">
        <v>45</v>
      </c>
      <c r="O227">
        <v>0</v>
      </c>
    </row>
    <row r="228" spans="1:15" x14ac:dyDescent="0.25">
      <c r="A228">
        <v>136</v>
      </c>
      <c r="B228">
        <v>2021</v>
      </c>
      <c r="C228">
        <v>0</v>
      </c>
      <c r="D228">
        <v>311</v>
      </c>
      <c r="E228">
        <v>0</v>
      </c>
      <c r="F228" t="str" cm="1">
        <f t="array" ref="F228">_xlfn.XLOOKUP(A228&amp;B228,$L$2:$L$739&amp;$M$2:$M$739,$N$2:$N$739)</f>
        <v>Low</v>
      </c>
      <c r="G228">
        <f t="shared" si="3"/>
        <v>0</v>
      </c>
      <c r="H228" t="str">
        <f>_xlfn.XLOOKUP(A228,VE!$A$2:$A$247,VE!$B$2:$B$247)</f>
        <v>Salem_4</v>
      </c>
      <c r="I228" t="str" cm="1">
        <f t="array" ref="I228">_xlfn.IFS(OR(H228=$S$2,H228=$S$13,H228=$S$5),"Other",OR(H228=$S$3,H228=$S$4,H228=$S$7,H228=$S$10,H228=$S$11),"Salem",OR(H228=$S$6),"Keizer",OR(H228=$S$8,H228=$S$9,H228=$S$12),"Marion")</f>
        <v>Salem</v>
      </c>
      <c r="L228">
        <v>136</v>
      </c>
      <c r="M228">
        <v>2021</v>
      </c>
      <c r="N228" t="s">
        <v>45</v>
      </c>
      <c r="O228">
        <v>0</v>
      </c>
    </row>
    <row r="229" spans="1:15" x14ac:dyDescent="0.25">
      <c r="A229">
        <v>136</v>
      </c>
      <c r="B229">
        <v>2050</v>
      </c>
      <c r="C229">
        <v>0</v>
      </c>
      <c r="D229">
        <v>610</v>
      </c>
      <c r="E229">
        <v>0</v>
      </c>
      <c r="F229" t="str" cm="1">
        <f t="array" ref="F229">_xlfn.XLOOKUP(A229&amp;B229,$L$2:$L$739&amp;$M$2:$M$739,$N$2:$N$739)</f>
        <v>Low</v>
      </c>
      <c r="G229">
        <f t="shared" si="3"/>
        <v>0</v>
      </c>
      <c r="H229" t="str">
        <f>_xlfn.XLOOKUP(A229,VE!$A$2:$A$247,VE!$B$2:$B$247)</f>
        <v>Salem_4</v>
      </c>
      <c r="I229" t="str" cm="1">
        <f t="array" ref="I229">_xlfn.IFS(OR(H229=$S$2,H229=$S$13,H229=$S$5),"Other",OR(H229=$S$3,H229=$S$4,H229=$S$7,H229=$S$10,H229=$S$11),"Salem",OR(H229=$S$6),"Keizer",OR(H229=$S$8,H229=$S$9,H229=$S$12),"Marion")</f>
        <v>Salem</v>
      </c>
      <c r="L229">
        <v>136</v>
      </c>
      <c r="M229">
        <v>2050</v>
      </c>
      <c r="N229" t="s">
        <v>45</v>
      </c>
      <c r="O229">
        <v>0</v>
      </c>
    </row>
    <row r="230" spans="1:15" x14ac:dyDescent="0.25">
      <c r="A230">
        <v>137</v>
      </c>
      <c r="B230">
        <v>2005</v>
      </c>
      <c r="C230">
        <v>9</v>
      </c>
      <c r="D230">
        <v>0</v>
      </c>
      <c r="E230">
        <v>0</v>
      </c>
      <c r="F230" t="str" cm="1">
        <f t="array" ref="F230">_xlfn.XLOOKUP(A230&amp;B230,$L$2:$L$739&amp;$M$2:$M$739,$N$2:$N$739)</f>
        <v>Low</v>
      </c>
      <c r="G230">
        <f t="shared" si="3"/>
        <v>0</v>
      </c>
      <c r="H230" t="str">
        <f>_xlfn.XLOOKUP(A230,VE!$A$2:$A$247,VE!$B$2:$B$247)</f>
        <v>Salem_4</v>
      </c>
      <c r="I230" t="str" cm="1">
        <f t="array" ref="I230">_xlfn.IFS(OR(H230=$S$2,H230=$S$13,H230=$S$5),"Other",OR(H230=$S$3,H230=$S$4,H230=$S$7,H230=$S$10,H230=$S$11),"Salem",OR(H230=$S$6),"Keizer",OR(H230=$S$8,H230=$S$9,H230=$S$12),"Marion")</f>
        <v>Salem</v>
      </c>
      <c r="L230">
        <v>137</v>
      </c>
      <c r="M230">
        <v>2005</v>
      </c>
      <c r="N230" t="s">
        <v>45</v>
      </c>
      <c r="O230">
        <v>0</v>
      </c>
    </row>
    <row r="231" spans="1:15" x14ac:dyDescent="0.25">
      <c r="A231">
        <v>137</v>
      </c>
      <c r="B231">
        <v>2021</v>
      </c>
      <c r="C231">
        <v>419</v>
      </c>
      <c r="D231">
        <v>0</v>
      </c>
      <c r="E231">
        <v>0</v>
      </c>
      <c r="F231" t="str" cm="1">
        <f t="array" ref="F231">_xlfn.XLOOKUP(A231&amp;B231,$L$2:$L$739&amp;$M$2:$M$739,$N$2:$N$739)</f>
        <v>Low</v>
      </c>
      <c r="G231">
        <f t="shared" si="3"/>
        <v>0</v>
      </c>
      <c r="H231" t="str">
        <f>_xlfn.XLOOKUP(A231,VE!$A$2:$A$247,VE!$B$2:$B$247)</f>
        <v>Salem_4</v>
      </c>
      <c r="I231" t="str" cm="1">
        <f t="array" ref="I231">_xlfn.IFS(OR(H231=$S$2,H231=$S$13,H231=$S$5),"Other",OR(H231=$S$3,H231=$S$4,H231=$S$7,H231=$S$10,H231=$S$11),"Salem",OR(H231=$S$6),"Keizer",OR(H231=$S$8,H231=$S$9,H231=$S$12),"Marion")</f>
        <v>Salem</v>
      </c>
      <c r="L231">
        <v>137</v>
      </c>
      <c r="M231">
        <v>2021</v>
      </c>
      <c r="N231" t="s">
        <v>45</v>
      </c>
      <c r="O231">
        <v>0</v>
      </c>
    </row>
    <row r="232" spans="1:15" x14ac:dyDescent="0.25">
      <c r="A232">
        <v>137</v>
      </c>
      <c r="B232">
        <v>2050</v>
      </c>
      <c r="C232">
        <v>665</v>
      </c>
      <c r="D232">
        <v>0</v>
      </c>
      <c r="E232">
        <v>0</v>
      </c>
      <c r="F232" t="str" cm="1">
        <f t="array" ref="F232">_xlfn.XLOOKUP(A232&amp;B232,$L$2:$L$739&amp;$M$2:$M$739,$N$2:$N$739)</f>
        <v>Low</v>
      </c>
      <c r="G232">
        <f t="shared" si="3"/>
        <v>0</v>
      </c>
      <c r="H232" t="str">
        <f>_xlfn.XLOOKUP(A232,VE!$A$2:$A$247,VE!$B$2:$B$247)</f>
        <v>Salem_4</v>
      </c>
      <c r="I232" t="str" cm="1">
        <f t="array" ref="I232">_xlfn.IFS(OR(H232=$S$2,H232=$S$13,H232=$S$5),"Other",OR(H232=$S$3,H232=$S$4,H232=$S$7,H232=$S$10,H232=$S$11),"Salem",OR(H232=$S$6),"Keizer",OR(H232=$S$8,H232=$S$9,H232=$S$12),"Marion")</f>
        <v>Salem</v>
      </c>
      <c r="L232">
        <v>137</v>
      </c>
      <c r="M232">
        <v>2050</v>
      </c>
      <c r="N232" t="s">
        <v>45</v>
      </c>
      <c r="O232">
        <v>0</v>
      </c>
    </row>
    <row r="233" spans="1:15" x14ac:dyDescent="0.25">
      <c r="A233">
        <v>138</v>
      </c>
      <c r="B233">
        <v>2005</v>
      </c>
      <c r="C233">
        <v>18</v>
      </c>
      <c r="D233">
        <v>0</v>
      </c>
      <c r="E233">
        <v>0</v>
      </c>
      <c r="F233" t="str" cm="1">
        <f t="array" ref="F233">_xlfn.XLOOKUP(A233&amp;B233,$L$2:$L$739&amp;$M$2:$M$739,$N$2:$N$739)</f>
        <v>Low</v>
      </c>
      <c r="G233">
        <f t="shared" si="3"/>
        <v>0</v>
      </c>
      <c r="H233" t="str">
        <f>_xlfn.XLOOKUP(A233,VE!$A$2:$A$247,VE!$B$2:$B$247)</f>
        <v>Marion_Outside_UGB</v>
      </c>
      <c r="I233" t="str" cm="1">
        <f t="array" ref="I233">_xlfn.IFS(OR(H233=$S$2,H233=$S$13,H233=$S$5),"Other",OR(H233=$S$3,H233=$S$4,H233=$S$7,H233=$S$10,H233=$S$11),"Salem",OR(H233=$S$6),"Keizer",OR(H233=$S$8,H233=$S$9,H233=$S$12),"Marion")</f>
        <v>Other</v>
      </c>
      <c r="L233">
        <v>138</v>
      </c>
      <c r="M233">
        <v>2005</v>
      </c>
      <c r="N233" t="s">
        <v>45</v>
      </c>
      <c r="O233">
        <v>0</v>
      </c>
    </row>
    <row r="234" spans="1:15" x14ac:dyDescent="0.25">
      <c r="A234">
        <v>138</v>
      </c>
      <c r="B234">
        <v>2021</v>
      </c>
      <c r="C234">
        <v>21</v>
      </c>
      <c r="D234">
        <v>0</v>
      </c>
      <c r="E234">
        <v>0</v>
      </c>
      <c r="F234" t="str" cm="1">
        <f t="array" ref="F234">_xlfn.XLOOKUP(A234&amp;B234,$L$2:$L$739&amp;$M$2:$M$739,$N$2:$N$739)</f>
        <v>Low</v>
      </c>
      <c r="G234">
        <f t="shared" si="3"/>
        <v>0</v>
      </c>
      <c r="H234" t="str">
        <f>_xlfn.XLOOKUP(A234,VE!$A$2:$A$247,VE!$B$2:$B$247)</f>
        <v>Marion_Outside_UGB</v>
      </c>
      <c r="I234" t="str" cm="1">
        <f t="array" ref="I234">_xlfn.IFS(OR(H234=$S$2,H234=$S$13,H234=$S$5),"Other",OR(H234=$S$3,H234=$S$4,H234=$S$7,H234=$S$10,H234=$S$11),"Salem",OR(H234=$S$6),"Keizer",OR(H234=$S$8,H234=$S$9,H234=$S$12),"Marion")</f>
        <v>Other</v>
      </c>
      <c r="L234">
        <v>138</v>
      </c>
      <c r="M234">
        <v>2021</v>
      </c>
      <c r="N234" t="s">
        <v>45</v>
      </c>
      <c r="O234">
        <v>0</v>
      </c>
    </row>
    <row r="235" spans="1:15" x14ac:dyDescent="0.25">
      <c r="A235">
        <v>138</v>
      </c>
      <c r="B235">
        <v>2050</v>
      </c>
      <c r="C235">
        <v>16</v>
      </c>
      <c r="D235">
        <v>0</v>
      </c>
      <c r="E235">
        <v>0</v>
      </c>
      <c r="F235" t="str" cm="1">
        <f t="array" ref="F235">_xlfn.XLOOKUP(A235&amp;B235,$L$2:$L$739&amp;$M$2:$M$739,$N$2:$N$739)</f>
        <v>Low</v>
      </c>
      <c r="G235">
        <f t="shared" si="3"/>
        <v>0</v>
      </c>
      <c r="H235" t="str">
        <f>_xlfn.XLOOKUP(A235,VE!$A$2:$A$247,VE!$B$2:$B$247)</f>
        <v>Marion_Outside_UGB</v>
      </c>
      <c r="I235" t="str" cm="1">
        <f t="array" ref="I235">_xlfn.IFS(OR(H235=$S$2,H235=$S$13,H235=$S$5),"Other",OR(H235=$S$3,H235=$S$4,H235=$S$7,H235=$S$10,H235=$S$11),"Salem",OR(H235=$S$6),"Keizer",OR(H235=$S$8,H235=$S$9,H235=$S$12),"Marion")</f>
        <v>Other</v>
      </c>
      <c r="L235">
        <v>138</v>
      </c>
      <c r="M235">
        <v>2050</v>
      </c>
      <c r="N235" t="s">
        <v>45</v>
      </c>
      <c r="O235">
        <v>0</v>
      </c>
    </row>
    <row r="236" spans="1:15" x14ac:dyDescent="0.25">
      <c r="A236">
        <v>139</v>
      </c>
      <c r="B236">
        <v>2005</v>
      </c>
      <c r="C236">
        <v>80</v>
      </c>
      <c r="D236">
        <v>0</v>
      </c>
      <c r="E236">
        <v>0</v>
      </c>
      <c r="F236" t="str" cm="1">
        <f t="array" ref="F236">_xlfn.XLOOKUP(A236&amp;B236,$L$2:$L$739&amp;$M$2:$M$739,$N$2:$N$739)</f>
        <v>Low</v>
      </c>
      <c r="G236">
        <f t="shared" si="3"/>
        <v>0</v>
      </c>
      <c r="H236" t="str">
        <f>_xlfn.XLOOKUP(A236,VE!$A$2:$A$247,VE!$B$2:$B$247)</f>
        <v>Marion_Outside_UGB</v>
      </c>
      <c r="I236" t="str" cm="1">
        <f t="array" ref="I236">_xlfn.IFS(OR(H236=$S$2,H236=$S$13,H236=$S$5),"Other",OR(H236=$S$3,H236=$S$4,H236=$S$7,H236=$S$10,H236=$S$11),"Salem",OR(H236=$S$6),"Keizer",OR(H236=$S$8,H236=$S$9,H236=$S$12),"Marion")</f>
        <v>Other</v>
      </c>
      <c r="L236">
        <v>139</v>
      </c>
      <c r="M236">
        <v>2005</v>
      </c>
      <c r="N236" t="s">
        <v>45</v>
      </c>
      <c r="O236">
        <v>0</v>
      </c>
    </row>
    <row r="237" spans="1:15" x14ac:dyDescent="0.25">
      <c r="A237">
        <v>139</v>
      </c>
      <c r="B237">
        <v>2021</v>
      </c>
      <c r="C237">
        <v>80</v>
      </c>
      <c r="D237">
        <v>0</v>
      </c>
      <c r="E237">
        <v>0</v>
      </c>
      <c r="F237" t="str" cm="1">
        <f t="array" ref="F237">_xlfn.XLOOKUP(A237&amp;B237,$L$2:$L$739&amp;$M$2:$M$739,$N$2:$N$739)</f>
        <v>Low</v>
      </c>
      <c r="G237">
        <f t="shared" si="3"/>
        <v>0</v>
      </c>
      <c r="H237" t="str">
        <f>_xlfn.XLOOKUP(A237,VE!$A$2:$A$247,VE!$B$2:$B$247)</f>
        <v>Marion_Outside_UGB</v>
      </c>
      <c r="I237" t="str" cm="1">
        <f t="array" ref="I237">_xlfn.IFS(OR(H237=$S$2,H237=$S$13,H237=$S$5),"Other",OR(H237=$S$3,H237=$S$4,H237=$S$7,H237=$S$10,H237=$S$11),"Salem",OR(H237=$S$6),"Keizer",OR(H237=$S$8,H237=$S$9,H237=$S$12),"Marion")</f>
        <v>Other</v>
      </c>
      <c r="L237">
        <v>139</v>
      </c>
      <c r="M237">
        <v>2021</v>
      </c>
      <c r="N237" t="s">
        <v>45</v>
      </c>
      <c r="O237">
        <v>0</v>
      </c>
    </row>
    <row r="238" spans="1:15" x14ac:dyDescent="0.25">
      <c r="A238">
        <v>139</v>
      </c>
      <c r="B238">
        <v>2050</v>
      </c>
      <c r="C238">
        <v>78</v>
      </c>
      <c r="D238">
        <v>0</v>
      </c>
      <c r="E238">
        <v>0</v>
      </c>
      <c r="F238" t="str" cm="1">
        <f t="array" ref="F238">_xlfn.XLOOKUP(A238&amp;B238,$L$2:$L$739&amp;$M$2:$M$739,$N$2:$N$739)</f>
        <v>Low</v>
      </c>
      <c r="G238">
        <f t="shared" si="3"/>
        <v>0</v>
      </c>
      <c r="H238" t="str">
        <f>_xlfn.XLOOKUP(A238,VE!$A$2:$A$247,VE!$B$2:$B$247)</f>
        <v>Marion_Outside_UGB</v>
      </c>
      <c r="I238" t="str" cm="1">
        <f t="array" ref="I238">_xlfn.IFS(OR(H238=$S$2,H238=$S$13,H238=$S$5),"Other",OR(H238=$S$3,H238=$S$4,H238=$S$7,H238=$S$10,H238=$S$11),"Salem",OR(H238=$S$6),"Keizer",OR(H238=$S$8,H238=$S$9,H238=$S$12),"Marion")</f>
        <v>Other</v>
      </c>
      <c r="L238">
        <v>139</v>
      </c>
      <c r="M238">
        <v>2050</v>
      </c>
      <c r="N238" t="s">
        <v>45</v>
      </c>
      <c r="O238">
        <v>0</v>
      </c>
    </row>
    <row r="239" spans="1:15" x14ac:dyDescent="0.25">
      <c r="A239">
        <v>140</v>
      </c>
      <c r="B239">
        <v>2005</v>
      </c>
      <c r="C239">
        <v>1200</v>
      </c>
      <c r="D239">
        <v>359</v>
      </c>
      <c r="E239">
        <v>0</v>
      </c>
      <c r="F239" t="str" cm="1">
        <f t="array" ref="F239">_xlfn.XLOOKUP(A239&amp;B239,$L$2:$L$739&amp;$M$2:$M$739,$N$2:$N$739)</f>
        <v>Low</v>
      </c>
      <c r="G239">
        <f t="shared" si="3"/>
        <v>0</v>
      </c>
      <c r="H239" t="str">
        <f>_xlfn.XLOOKUP(A239,VE!$A$2:$A$247,VE!$B$2:$B$247)</f>
        <v>Marion_Inside_UGB_1</v>
      </c>
      <c r="I239" t="str" cm="1">
        <f t="array" ref="I239">_xlfn.IFS(OR(H239=$S$2,H239=$S$13,H239=$S$5),"Other",OR(H239=$S$3,H239=$S$4,H239=$S$7,H239=$S$10,H239=$S$11),"Salem",OR(H239=$S$6),"Keizer",OR(H239=$S$8,H239=$S$9,H239=$S$12),"Marion")</f>
        <v>Marion</v>
      </c>
      <c r="L239">
        <v>140</v>
      </c>
      <c r="M239">
        <v>2005</v>
      </c>
      <c r="N239" t="s">
        <v>45</v>
      </c>
      <c r="O239">
        <v>0</v>
      </c>
    </row>
    <row r="240" spans="1:15" x14ac:dyDescent="0.25">
      <c r="A240">
        <v>140</v>
      </c>
      <c r="B240">
        <v>2021</v>
      </c>
      <c r="C240">
        <v>1503</v>
      </c>
      <c r="D240">
        <v>308</v>
      </c>
      <c r="E240">
        <v>0</v>
      </c>
      <c r="F240" t="str" cm="1">
        <f t="array" ref="F240">_xlfn.XLOOKUP(A240&amp;B240,$L$2:$L$739&amp;$M$2:$M$739,$N$2:$N$739)</f>
        <v>Low</v>
      </c>
      <c r="G240">
        <f t="shared" si="3"/>
        <v>0</v>
      </c>
      <c r="H240" t="str">
        <f>_xlfn.XLOOKUP(A240,VE!$A$2:$A$247,VE!$B$2:$B$247)</f>
        <v>Marion_Inside_UGB_1</v>
      </c>
      <c r="I240" t="str" cm="1">
        <f t="array" ref="I240">_xlfn.IFS(OR(H240=$S$2,H240=$S$13,H240=$S$5),"Other",OR(H240=$S$3,H240=$S$4,H240=$S$7,H240=$S$10,H240=$S$11),"Salem",OR(H240=$S$6),"Keizer",OR(H240=$S$8,H240=$S$9,H240=$S$12),"Marion")</f>
        <v>Marion</v>
      </c>
      <c r="L240">
        <v>140</v>
      </c>
      <c r="M240">
        <v>2021</v>
      </c>
      <c r="N240" t="s">
        <v>45</v>
      </c>
      <c r="O240">
        <v>0</v>
      </c>
    </row>
    <row r="241" spans="1:15" x14ac:dyDescent="0.25">
      <c r="A241">
        <v>140</v>
      </c>
      <c r="B241">
        <v>2050</v>
      </c>
      <c r="C241">
        <v>1507</v>
      </c>
      <c r="D241">
        <v>309</v>
      </c>
      <c r="E241">
        <v>0</v>
      </c>
      <c r="F241" t="str" cm="1">
        <f t="array" ref="F241">_xlfn.XLOOKUP(A241&amp;B241,$L$2:$L$739&amp;$M$2:$M$739,$N$2:$N$739)</f>
        <v>Low</v>
      </c>
      <c r="G241">
        <f t="shared" si="3"/>
        <v>0</v>
      </c>
      <c r="H241" t="str">
        <f>_xlfn.XLOOKUP(A241,VE!$A$2:$A$247,VE!$B$2:$B$247)</f>
        <v>Marion_Inside_UGB_1</v>
      </c>
      <c r="I241" t="str" cm="1">
        <f t="array" ref="I241">_xlfn.IFS(OR(H241=$S$2,H241=$S$13,H241=$S$5),"Other",OR(H241=$S$3,H241=$S$4,H241=$S$7,H241=$S$10,H241=$S$11),"Salem",OR(H241=$S$6),"Keizer",OR(H241=$S$8,H241=$S$9,H241=$S$12),"Marion")</f>
        <v>Marion</v>
      </c>
      <c r="L241">
        <v>140</v>
      </c>
      <c r="M241">
        <v>2050</v>
      </c>
      <c r="N241" t="s">
        <v>45</v>
      </c>
      <c r="O241">
        <v>0</v>
      </c>
    </row>
    <row r="242" spans="1:15" x14ac:dyDescent="0.25">
      <c r="A242">
        <v>141</v>
      </c>
      <c r="B242">
        <v>2005</v>
      </c>
      <c r="C242">
        <v>279</v>
      </c>
      <c r="D242">
        <v>218</v>
      </c>
      <c r="E242">
        <v>0</v>
      </c>
      <c r="F242" t="str" cm="1">
        <f t="array" ref="F242">_xlfn.XLOOKUP(A242&amp;B242,$L$2:$L$739&amp;$M$2:$M$739,$N$2:$N$739)</f>
        <v>Low</v>
      </c>
      <c r="G242">
        <f t="shared" si="3"/>
        <v>0</v>
      </c>
      <c r="H242" t="str">
        <f>_xlfn.XLOOKUP(A242,VE!$A$2:$A$247,VE!$B$2:$B$247)</f>
        <v>Marion_Inside_UGB_1</v>
      </c>
      <c r="I242" t="str" cm="1">
        <f t="array" ref="I242">_xlfn.IFS(OR(H242=$S$2,H242=$S$13,H242=$S$5),"Other",OR(H242=$S$3,H242=$S$4,H242=$S$7,H242=$S$10,H242=$S$11),"Salem",OR(H242=$S$6),"Keizer",OR(H242=$S$8,H242=$S$9,H242=$S$12),"Marion")</f>
        <v>Marion</v>
      </c>
      <c r="L242">
        <v>141</v>
      </c>
      <c r="M242">
        <v>2005</v>
      </c>
      <c r="N242" t="s">
        <v>45</v>
      </c>
      <c r="O242">
        <v>0</v>
      </c>
    </row>
    <row r="243" spans="1:15" x14ac:dyDescent="0.25">
      <c r="A243">
        <v>141</v>
      </c>
      <c r="B243">
        <v>2021</v>
      </c>
      <c r="C243">
        <v>271</v>
      </c>
      <c r="D243">
        <v>314</v>
      </c>
      <c r="E243">
        <v>0</v>
      </c>
      <c r="F243" t="str" cm="1">
        <f t="array" ref="F243">_xlfn.XLOOKUP(A243&amp;B243,$L$2:$L$739&amp;$M$2:$M$739,$N$2:$N$739)</f>
        <v>High</v>
      </c>
      <c r="G243">
        <f t="shared" si="3"/>
        <v>585</v>
      </c>
      <c r="H243" t="str">
        <f>_xlfn.XLOOKUP(A243,VE!$A$2:$A$247,VE!$B$2:$B$247)</f>
        <v>Marion_Inside_UGB_1</v>
      </c>
      <c r="I243" t="str" cm="1">
        <f t="array" ref="I243">_xlfn.IFS(OR(H243=$S$2,H243=$S$13,H243=$S$5),"Other",OR(H243=$S$3,H243=$S$4,H243=$S$7,H243=$S$10,H243=$S$11),"Salem",OR(H243=$S$6),"Keizer",OR(H243=$S$8,H243=$S$9,H243=$S$12),"Marion")</f>
        <v>Marion</v>
      </c>
      <c r="L243">
        <v>141</v>
      </c>
      <c r="M243">
        <v>2021</v>
      </c>
      <c r="N243" t="s">
        <v>46</v>
      </c>
      <c r="O243">
        <v>1</v>
      </c>
    </row>
    <row r="244" spans="1:15" x14ac:dyDescent="0.25">
      <c r="A244">
        <v>141</v>
      </c>
      <c r="B244">
        <v>2050</v>
      </c>
      <c r="C244">
        <v>268</v>
      </c>
      <c r="D244">
        <v>423</v>
      </c>
      <c r="E244">
        <v>0</v>
      </c>
      <c r="F244" t="str" cm="1">
        <f t="array" ref="F244">_xlfn.XLOOKUP(A244&amp;B244,$L$2:$L$739&amp;$M$2:$M$739,$N$2:$N$739)</f>
        <v>High</v>
      </c>
      <c r="G244">
        <f t="shared" si="3"/>
        <v>691</v>
      </c>
      <c r="H244" t="str">
        <f>_xlfn.XLOOKUP(A244,VE!$A$2:$A$247,VE!$B$2:$B$247)</f>
        <v>Marion_Inside_UGB_1</v>
      </c>
      <c r="I244" t="str" cm="1">
        <f t="array" ref="I244">_xlfn.IFS(OR(H244=$S$2,H244=$S$13,H244=$S$5),"Other",OR(H244=$S$3,H244=$S$4,H244=$S$7,H244=$S$10,H244=$S$11),"Salem",OR(H244=$S$6),"Keizer",OR(H244=$S$8,H244=$S$9,H244=$S$12),"Marion")</f>
        <v>Marion</v>
      </c>
      <c r="L244">
        <v>141</v>
      </c>
      <c r="M244">
        <v>2050</v>
      </c>
      <c r="N244" t="s">
        <v>46</v>
      </c>
      <c r="O244">
        <v>1</v>
      </c>
    </row>
    <row r="245" spans="1:15" x14ac:dyDescent="0.25">
      <c r="A245">
        <v>143</v>
      </c>
      <c r="B245">
        <v>2005</v>
      </c>
      <c r="C245">
        <v>33</v>
      </c>
      <c r="D245">
        <v>29</v>
      </c>
      <c r="E245">
        <v>0</v>
      </c>
      <c r="F245" t="str" cm="1">
        <f t="array" ref="F245">_xlfn.XLOOKUP(A245&amp;B245,$L$2:$L$739&amp;$M$2:$M$739,$N$2:$N$739)</f>
        <v>Low</v>
      </c>
      <c r="G245">
        <f t="shared" si="3"/>
        <v>0</v>
      </c>
      <c r="H245" t="str">
        <f>_xlfn.XLOOKUP(A245,VE!$A$2:$A$247,VE!$B$2:$B$247)</f>
        <v>Salem_4</v>
      </c>
      <c r="I245" t="str" cm="1">
        <f t="array" ref="I245">_xlfn.IFS(OR(H245=$S$2,H245=$S$13,H245=$S$5),"Other",OR(H245=$S$3,H245=$S$4,H245=$S$7,H245=$S$10,H245=$S$11),"Salem",OR(H245=$S$6),"Keizer",OR(H245=$S$8,H245=$S$9,H245=$S$12),"Marion")</f>
        <v>Salem</v>
      </c>
      <c r="L245">
        <v>143</v>
      </c>
      <c r="M245">
        <v>2005</v>
      </c>
      <c r="N245" t="s">
        <v>45</v>
      </c>
      <c r="O245">
        <v>0</v>
      </c>
    </row>
    <row r="246" spans="1:15" x14ac:dyDescent="0.25">
      <c r="A246">
        <v>143</v>
      </c>
      <c r="B246">
        <v>2021</v>
      </c>
      <c r="C246">
        <v>21</v>
      </c>
      <c r="D246">
        <v>213</v>
      </c>
      <c r="E246">
        <v>0</v>
      </c>
      <c r="F246" t="str" cm="1">
        <f t="array" ref="F246">_xlfn.XLOOKUP(A246&amp;B246,$L$2:$L$739&amp;$M$2:$M$739,$N$2:$N$739)</f>
        <v>Low</v>
      </c>
      <c r="G246">
        <f t="shared" si="3"/>
        <v>0</v>
      </c>
      <c r="H246" t="str">
        <f>_xlfn.XLOOKUP(A246,VE!$A$2:$A$247,VE!$B$2:$B$247)</f>
        <v>Salem_4</v>
      </c>
      <c r="I246" t="str" cm="1">
        <f t="array" ref="I246">_xlfn.IFS(OR(H246=$S$2,H246=$S$13,H246=$S$5),"Other",OR(H246=$S$3,H246=$S$4,H246=$S$7,H246=$S$10,H246=$S$11),"Salem",OR(H246=$S$6),"Keizer",OR(H246=$S$8,H246=$S$9,H246=$S$12),"Marion")</f>
        <v>Salem</v>
      </c>
      <c r="L246">
        <v>143</v>
      </c>
      <c r="M246">
        <v>2021</v>
      </c>
      <c r="N246" t="s">
        <v>45</v>
      </c>
      <c r="O246">
        <v>0</v>
      </c>
    </row>
    <row r="247" spans="1:15" x14ac:dyDescent="0.25">
      <c r="A247">
        <v>143</v>
      </c>
      <c r="B247">
        <v>2050</v>
      </c>
      <c r="C247">
        <v>20</v>
      </c>
      <c r="D247">
        <v>268</v>
      </c>
      <c r="E247">
        <v>0</v>
      </c>
      <c r="F247" t="str" cm="1">
        <f t="array" ref="F247">_xlfn.XLOOKUP(A247&amp;B247,$L$2:$L$739&amp;$M$2:$M$739,$N$2:$N$739)</f>
        <v>Low</v>
      </c>
      <c r="G247">
        <f t="shared" si="3"/>
        <v>0</v>
      </c>
      <c r="H247" t="str">
        <f>_xlfn.XLOOKUP(A247,VE!$A$2:$A$247,VE!$B$2:$B$247)</f>
        <v>Salem_4</v>
      </c>
      <c r="I247" t="str" cm="1">
        <f t="array" ref="I247">_xlfn.IFS(OR(H247=$S$2,H247=$S$13,H247=$S$5),"Other",OR(H247=$S$3,H247=$S$4,H247=$S$7,H247=$S$10,H247=$S$11),"Salem",OR(H247=$S$6),"Keizer",OR(H247=$S$8,H247=$S$9,H247=$S$12),"Marion")</f>
        <v>Salem</v>
      </c>
      <c r="L247">
        <v>143</v>
      </c>
      <c r="M247">
        <v>2050</v>
      </c>
      <c r="N247" t="s">
        <v>45</v>
      </c>
      <c r="O247">
        <v>0</v>
      </c>
    </row>
    <row r="248" spans="1:15" x14ac:dyDescent="0.25">
      <c r="A248">
        <v>144</v>
      </c>
      <c r="B248">
        <v>2005</v>
      </c>
      <c r="C248">
        <v>0</v>
      </c>
      <c r="D248">
        <v>1</v>
      </c>
      <c r="E248">
        <v>0</v>
      </c>
      <c r="F248" t="str" cm="1">
        <f t="array" ref="F248">_xlfn.XLOOKUP(A248&amp;B248,$L$2:$L$739&amp;$M$2:$M$739,$N$2:$N$739)</f>
        <v>Low</v>
      </c>
      <c r="G248">
        <f t="shared" si="3"/>
        <v>0</v>
      </c>
      <c r="H248" t="str">
        <f>_xlfn.XLOOKUP(A248,VE!$A$2:$A$247,VE!$B$2:$B$247)</f>
        <v>Salem_4</v>
      </c>
      <c r="I248" t="str" cm="1">
        <f t="array" ref="I248">_xlfn.IFS(OR(H248=$S$2,H248=$S$13,H248=$S$5),"Other",OR(H248=$S$3,H248=$S$4,H248=$S$7,H248=$S$10,H248=$S$11),"Salem",OR(H248=$S$6),"Keizer",OR(H248=$S$8,H248=$S$9,H248=$S$12),"Marion")</f>
        <v>Salem</v>
      </c>
      <c r="L248">
        <v>144</v>
      </c>
      <c r="M248">
        <v>2005</v>
      </c>
      <c r="N248" t="s">
        <v>45</v>
      </c>
      <c r="O248">
        <v>0</v>
      </c>
    </row>
    <row r="249" spans="1:15" x14ac:dyDescent="0.25">
      <c r="A249">
        <v>144</v>
      </c>
      <c r="B249">
        <v>2021</v>
      </c>
      <c r="C249">
        <v>0</v>
      </c>
      <c r="D249">
        <v>1</v>
      </c>
      <c r="E249">
        <v>0</v>
      </c>
      <c r="F249" t="str" cm="1">
        <f t="array" ref="F249">_xlfn.XLOOKUP(A249&amp;B249,$L$2:$L$739&amp;$M$2:$M$739,$N$2:$N$739)</f>
        <v>Low</v>
      </c>
      <c r="G249">
        <f t="shared" si="3"/>
        <v>0</v>
      </c>
      <c r="H249" t="str">
        <f>_xlfn.XLOOKUP(A249,VE!$A$2:$A$247,VE!$B$2:$B$247)</f>
        <v>Salem_4</v>
      </c>
      <c r="I249" t="str" cm="1">
        <f t="array" ref="I249">_xlfn.IFS(OR(H249=$S$2,H249=$S$13,H249=$S$5),"Other",OR(H249=$S$3,H249=$S$4,H249=$S$7,H249=$S$10,H249=$S$11),"Salem",OR(H249=$S$6),"Keizer",OR(H249=$S$8,H249=$S$9,H249=$S$12),"Marion")</f>
        <v>Salem</v>
      </c>
      <c r="L249">
        <v>144</v>
      </c>
      <c r="M249">
        <v>2021</v>
      </c>
      <c r="N249" t="s">
        <v>45</v>
      </c>
      <c r="O249">
        <v>0</v>
      </c>
    </row>
    <row r="250" spans="1:15" x14ac:dyDescent="0.25">
      <c r="A250">
        <v>144</v>
      </c>
      <c r="B250">
        <v>2050</v>
      </c>
      <c r="C250">
        <v>0</v>
      </c>
      <c r="D250">
        <v>86</v>
      </c>
      <c r="E250">
        <v>0</v>
      </c>
      <c r="F250" t="str" cm="1">
        <f t="array" ref="F250">_xlfn.XLOOKUP(A250&amp;B250,$L$2:$L$739&amp;$M$2:$M$739,$N$2:$N$739)</f>
        <v>High</v>
      </c>
      <c r="G250">
        <f t="shared" si="3"/>
        <v>86</v>
      </c>
      <c r="H250" t="str">
        <f>_xlfn.XLOOKUP(A250,VE!$A$2:$A$247,VE!$B$2:$B$247)</f>
        <v>Salem_4</v>
      </c>
      <c r="I250" t="str" cm="1">
        <f t="array" ref="I250">_xlfn.IFS(OR(H250=$S$2,H250=$S$13,H250=$S$5),"Other",OR(H250=$S$3,H250=$S$4,H250=$S$7,H250=$S$10,H250=$S$11),"Salem",OR(H250=$S$6),"Keizer",OR(H250=$S$8,H250=$S$9,H250=$S$12),"Marion")</f>
        <v>Salem</v>
      </c>
      <c r="L250">
        <v>144</v>
      </c>
      <c r="M250">
        <v>2050</v>
      </c>
      <c r="N250" t="s">
        <v>46</v>
      </c>
      <c r="O250">
        <v>1</v>
      </c>
    </row>
    <row r="251" spans="1:15" x14ac:dyDescent="0.25">
      <c r="A251">
        <v>146</v>
      </c>
      <c r="B251">
        <v>2005</v>
      </c>
      <c r="C251">
        <v>624</v>
      </c>
      <c r="D251">
        <v>96</v>
      </c>
      <c r="E251">
        <v>0</v>
      </c>
      <c r="F251" t="str" cm="1">
        <f t="array" ref="F251">_xlfn.XLOOKUP(A251&amp;B251,$L$2:$L$739&amp;$M$2:$M$739,$N$2:$N$739)</f>
        <v>Low</v>
      </c>
      <c r="G251">
        <f t="shared" si="3"/>
        <v>0</v>
      </c>
      <c r="H251" t="str">
        <f>_xlfn.XLOOKUP(A251,VE!$A$2:$A$247,VE!$B$2:$B$247)</f>
        <v>Marion_Inside_UGB_1</v>
      </c>
      <c r="I251" t="str" cm="1">
        <f t="array" ref="I251">_xlfn.IFS(OR(H251=$S$2,H251=$S$13,H251=$S$5),"Other",OR(H251=$S$3,H251=$S$4,H251=$S$7,H251=$S$10,H251=$S$11),"Salem",OR(H251=$S$6),"Keizer",OR(H251=$S$8,H251=$S$9,H251=$S$12),"Marion")</f>
        <v>Marion</v>
      </c>
      <c r="L251">
        <v>146</v>
      </c>
      <c r="M251">
        <v>2005</v>
      </c>
      <c r="N251" t="s">
        <v>45</v>
      </c>
      <c r="O251">
        <v>0</v>
      </c>
    </row>
    <row r="252" spans="1:15" x14ac:dyDescent="0.25">
      <c r="A252">
        <v>146</v>
      </c>
      <c r="B252">
        <v>2021</v>
      </c>
      <c r="C252">
        <v>627</v>
      </c>
      <c r="D252">
        <v>94</v>
      </c>
      <c r="E252">
        <v>0</v>
      </c>
      <c r="F252" t="str" cm="1">
        <f t="array" ref="F252">_xlfn.XLOOKUP(A252&amp;B252,$L$2:$L$739&amp;$M$2:$M$739,$N$2:$N$739)</f>
        <v>Low</v>
      </c>
      <c r="G252">
        <f t="shared" si="3"/>
        <v>0</v>
      </c>
      <c r="H252" t="str">
        <f>_xlfn.XLOOKUP(A252,VE!$A$2:$A$247,VE!$B$2:$B$247)</f>
        <v>Marion_Inside_UGB_1</v>
      </c>
      <c r="I252" t="str" cm="1">
        <f t="array" ref="I252">_xlfn.IFS(OR(H252=$S$2,H252=$S$13,H252=$S$5),"Other",OR(H252=$S$3,H252=$S$4,H252=$S$7,H252=$S$10,H252=$S$11),"Salem",OR(H252=$S$6),"Keizer",OR(H252=$S$8,H252=$S$9,H252=$S$12),"Marion")</f>
        <v>Marion</v>
      </c>
      <c r="L252">
        <v>146</v>
      </c>
      <c r="M252">
        <v>2021</v>
      </c>
      <c r="N252" t="s">
        <v>45</v>
      </c>
      <c r="O252">
        <v>0</v>
      </c>
    </row>
    <row r="253" spans="1:15" x14ac:dyDescent="0.25">
      <c r="A253">
        <v>146</v>
      </c>
      <c r="B253">
        <v>2050</v>
      </c>
      <c r="C253">
        <v>630</v>
      </c>
      <c r="D253">
        <v>210</v>
      </c>
      <c r="E253">
        <v>0</v>
      </c>
      <c r="F253" t="str" cm="1">
        <f t="array" ref="F253">_xlfn.XLOOKUP(A253&amp;B253,$L$2:$L$739&amp;$M$2:$M$739,$N$2:$N$739)</f>
        <v>Low</v>
      </c>
      <c r="G253">
        <f t="shared" si="3"/>
        <v>0</v>
      </c>
      <c r="H253" t="str">
        <f>_xlfn.XLOOKUP(A253,VE!$A$2:$A$247,VE!$B$2:$B$247)</f>
        <v>Marion_Inside_UGB_1</v>
      </c>
      <c r="I253" t="str" cm="1">
        <f t="array" ref="I253">_xlfn.IFS(OR(H253=$S$2,H253=$S$13,H253=$S$5),"Other",OR(H253=$S$3,H253=$S$4,H253=$S$7,H253=$S$10,H253=$S$11),"Salem",OR(H253=$S$6),"Keizer",OR(H253=$S$8,H253=$S$9,H253=$S$12),"Marion")</f>
        <v>Marion</v>
      </c>
      <c r="L253">
        <v>146</v>
      </c>
      <c r="M253">
        <v>2050</v>
      </c>
      <c r="N253" t="s">
        <v>45</v>
      </c>
      <c r="O253">
        <v>0</v>
      </c>
    </row>
    <row r="254" spans="1:15" x14ac:dyDescent="0.25">
      <c r="A254">
        <v>147</v>
      </c>
      <c r="B254">
        <v>2005</v>
      </c>
      <c r="C254">
        <v>1067</v>
      </c>
      <c r="D254">
        <v>57</v>
      </c>
      <c r="E254">
        <v>0</v>
      </c>
      <c r="F254" t="str" cm="1">
        <f t="array" ref="F254">_xlfn.XLOOKUP(A254&amp;B254,$L$2:$L$739&amp;$M$2:$M$739,$N$2:$N$739)</f>
        <v>Low</v>
      </c>
      <c r="G254">
        <f t="shared" si="3"/>
        <v>0</v>
      </c>
      <c r="H254" t="str">
        <f>_xlfn.XLOOKUP(A254,VE!$A$2:$A$247,VE!$B$2:$B$247)</f>
        <v>Marion_Inside_UGB_1</v>
      </c>
      <c r="I254" t="str" cm="1">
        <f t="array" ref="I254">_xlfn.IFS(OR(H254=$S$2,H254=$S$13,H254=$S$5),"Other",OR(H254=$S$3,H254=$S$4,H254=$S$7,H254=$S$10,H254=$S$11),"Salem",OR(H254=$S$6),"Keizer",OR(H254=$S$8,H254=$S$9,H254=$S$12),"Marion")</f>
        <v>Marion</v>
      </c>
      <c r="L254">
        <v>147</v>
      </c>
      <c r="M254">
        <v>2005</v>
      </c>
      <c r="N254" t="s">
        <v>45</v>
      </c>
      <c r="O254">
        <v>0</v>
      </c>
    </row>
    <row r="255" spans="1:15" x14ac:dyDescent="0.25">
      <c r="A255">
        <v>147</v>
      </c>
      <c r="B255">
        <v>2021</v>
      </c>
      <c r="C255">
        <v>1149</v>
      </c>
      <c r="D255">
        <v>86</v>
      </c>
      <c r="E255">
        <v>0</v>
      </c>
      <c r="F255" t="str" cm="1">
        <f t="array" ref="F255">_xlfn.XLOOKUP(A255&amp;B255,$L$2:$L$739&amp;$M$2:$M$739,$N$2:$N$739)</f>
        <v>Low</v>
      </c>
      <c r="G255">
        <f t="shared" si="3"/>
        <v>0</v>
      </c>
      <c r="H255" t="str">
        <f>_xlfn.XLOOKUP(A255,VE!$A$2:$A$247,VE!$B$2:$B$247)</f>
        <v>Marion_Inside_UGB_1</v>
      </c>
      <c r="I255" t="str" cm="1">
        <f t="array" ref="I255">_xlfn.IFS(OR(H255=$S$2,H255=$S$13,H255=$S$5),"Other",OR(H255=$S$3,H255=$S$4,H255=$S$7,H255=$S$10,H255=$S$11),"Salem",OR(H255=$S$6),"Keizer",OR(H255=$S$8,H255=$S$9,H255=$S$12),"Marion")</f>
        <v>Marion</v>
      </c>
      <c r="L255">
        <v>147</v>
      </c>
      <c r="M255">
        <v>2021</v>
      </c>
      <c r="N255" t="s">
        <v>45</v>
      </c>
      <c r="O255">
        <v>0</v>
      </c>
    </row>
    <row r="256" spans="1:15" x14ac:dyDescent="0.25">
      <c r="A256">
        <v>147</v>
      </c>
      <c r="B256">
        <v>2050</v>
      </c>
      <c r="C256">
        <v>1585</v>
      </c>
      <c r="D256">
        <v>176</v>
      </c>
      <c r="E256">
        <v>0</v>
      </c>
      <c r="F256" t="str" cm="1">
        <f t="array" ref="F256">_xlfn.XLOOKUP(A256&amp;B256,$L$2:$L$739&amp;$M$2:$M$739,$N$2:$N$739)</f>
        <v>Low</v>
      </c>
      <c r="G256">
        <f t="shared" si="3"/>
        <v>0</v>
      </c>
      <c r="H256" t="str">
        <f>_xlfn.XLOOKUP(A256,VE!$A$2:$A$247,VE!$B$2:$B$247)</f>
        <v>Marion_Inside_UGB_1</v>
      </c>
      <c r="I256" t="str" cm="1">
        <f t="array" ref="I256">_xlfn.IFS(OR(H256=$S$2,H256=$S$13,H256=$S$5),"Other",OR(H256=$S$3,H256=$S$4,H256=$S$7,H256=$S$10,H256=$S$11),"Salem",OR(H256=$S$6),"Keizer",OR(H256=$S$8,H256=$S$9,H256=$S$12),"Marion")</f>
        <v>Marion</v>
      </c>
      <c r="L256">
        <v>147</v>
      </c>
      <c r="M256">
        <v>2050</v>
      </c>
      <c r="N256" t="s">
        <v>45</v>
      </c>
      <c r="O256">
        <v>0</v>
      </c>
    </row>
    <row r="257" spans="1:15" x14ac:dyDescent="0.25">
      <c r="A257">
        <v>148</v>
      </c>
      <c r="B257">
        <v>2005</v>
      </c>
      <c r="C257">
        <v>575</v>
      </c>
      <c r="D257">
        <v>417</v>
      </c>
      <c r="E257">
        <v>0</v>
      </c>
      <c r="F257" t="str" cm="1">
        <f t="array" ref="F257">_xlfn.XLOOKUP(A257&amp;B257,$L$2:$L$739&amp;$M$2:$M$739,$N$2:$N$739)</f>
        <v>Low</v>
      </c>
      <c r="G257">
        <f t="shared" si="3"/>
        <v>0</v>
      </c>
      <c r="H257" t="str">
        <f>_xlfn.XLOOKUP(A257,VE!$A$2:$A$247,VE!$B$2:$B$247)</f>
        <v>Marion_Inside_UGB_1</v>
      </c>
      <c r="I257" t="str" cm="1">
        <f t="array" ref="I257">_xlfn.IFS(OR(H257=$S$2,H257=$S$13,H257=$S$5),"Other",OR(H257=$S$3,H257=$S$4,H257=$S$7,H257=$S$10,H257=$S$11),"Salem",OR(H257=$S$6),"Keizer",OR(H257=$S$8,H257=$S$9,H257=$S$12),"Marion")</f>
        <v>Marion</v>
      </c>
      <c r="L257">
        <v>148</v>
      </c>
      <c r="M257">
        <v>2005</v>
      </c>
      <c r="N257" t="s">
        <v>45</v>
      </c>
      <c r="O257">
        <v>0</v>
      </c>
    </row>
    <row r="258" spans="1:15" x14ac:dyDescent="0.25">
      <c r="A258">
        <v>148</v>
      </c>
      <c r="B258">
        <v>2021</v>
      </c>
      <c r="C258">
        <v>575</v>
      </c>
      <c r="D258">
        <v>417</v>
      </c>
      <c r="E258">
        <v>0</v>
      </c>
      <c r="F258" t="str" cm="1">
        <f t="array" ref="F258">_xlfn.XLOOKUP(A258&amp;B258,$L$2:$L$739&amp;$M$2:$M$739,$N$2:$N$739)</f>
        <v>Low</v>
      </c>
      <c r="G258">
        <f t="shared" si="3"/>
        <v>0</v>
      </c>
      <c r="H258" t="str">
        <f>_xlfn.XLOOKUP(A258,VE!$A$2:$A$247,VE!$B$2:$B$247)</f>
        <v>Marion_Inside_UGB_1</v>
      </c>
      <c r="I258" t="str" cm="1">
        <f t="array" ref="I258">_xlfn.IFS(OR(H258=$S$2,H258=$S$13,H258=$S$5),"Other",OR(H258=$S$3,H258=$S$4,H258=$S$7,H258=$S$10,H258=$S$11),"Salem",OR(H258=$S$6),"Keizer",OR(H258=$S$8,H258=$S$9,H258=$S$12),"Marion")</f>
        <v>Marion</v>
      </c>
      <c r="L258">
        <v>148</v>
      </c>
      <c r="M258">
        <v>2021</v>
      </c>
      <c r="N258" t="s">
        <v>45</v>
      </c>
      <c r="O258">
        <v>0</v>
      </c>
    </row>
    <row r="259" spans="1:15" x14ac:dyDescent="0.25">
      <c r="A259">
        <v>148</v>
      </c>
      <c r="B259">
        <v>2050</v>
      </c>
      <c r="C259">
        <v>658</v>
      </c>
      <c r="D259">
        <v>438</v>
      </c>
      <c r="E259">
        <v>0</v>
      </c>
      <c r="F259" t="str" cm="1">
        <f t="array" ref="F259">_xlfn.XLOOKUP(A259&amp;B259,$L$2:$L$739&amp;$M$2:$M$739,$N$2:$N$739)</f>
        <v>Low</v>
      </c>
      <c r="G259">
        <f t="shared" ref="G259:G322" si="4">IF(F259="High",SUM(C259:D259),0)</f>
        <v>0</v>
      </c>
      <c r="H259" t="str">
        <f>_xlfn.XLOOKUP(A259,VE!$A$2:$A$247,VE!$B$2:$B$247)</f>
        <v>Marion_Inside_UGB_1</v>
      </c>
      <c r="I259" t="str" cm="1">
        <f t="array" ref="I259">_xlfn.IFS(OR(H259=$S$2,H259=$S$13,H259=$S$5),"Other",OR(H259=$S$3,H259=$S$4,H259=$S$7,H259=$S$10,H259=$S$11),"Salem",OR(H259=$S$6),"Keizer",OR(H259=$S$8,H259=$S$9,H259=$S$12),"Marion")</f>
        <v>Marion</v>
      </c>
      <c r="L259">
        <v>148</v>
      </c>
      <c r="M259">
        <v>2050</v>
      </c>
      <c r="N259" t="s">
        <v>45</v>
      </c>
      <c r="O259">
        <v>0</v>
      </c>
    </row>
    <row r="260" spans="1:15" x14ac:dyDescent="0.25">
      <c r="A260">
        <v>149</v>
      </c>
      <c r="B260">
        <v>2005</v>
      </c>
      <c r="C260">
        <v>128</v>
      </c>
      <c r="D260">
        <v>583</v>
      </c>
      <c r="E260">
        <v>0</v>
      </c>
      <c r="F260" t="str" cm="1">
        <f t="array" ref="F260">_xlfn.XLOOKUP(A260&amp;B260,$L$2:$L$739&amp;$M$2:$M$739,$N$2:$N$739)</f>
        <v>Low</v>
      </c>
      <c r="G260">
        <f t="shared" si="4"/>
        <v>0</v>
      </c>
      <c r="H260" t="str">
        <f>_xlfn.XLOOKUP(A260,VE!$A$2:$A$247,VE!$B$2:$B$247)</f>
        <v>Marion_Inside_UGB_1</v>
      </c>
      <c r="I260" t="str" cm="1">
        <f t="array" ref="I260">_xlfn.IFS(OR(H260=$S$2,H260=$S$13,H260=$S$5),"Other",OR(H260=$S$3,H260=$S$4,H260=$S$7,H260=$S$10,H260=$S$11),"Salem",OR(H260=$S$6),"Keizer",OR(H260=$S$8,H260=$S$9,H260=$S$12),"Marion")</f>
        <v>Marion</v>
      </c>
      <c r="L260">
        <v>149</v>
      </c>
      <c r="M260">
        <v>2005</v>
      </c>
      <c r="N260" t="s">
        <v>45</v>
      </c>
      <c r="O260">
        <v>0</v>
      </c>
    </row>
    <row r="261" spans="1:15" x14ac:dyDescent="0.25">
      <c r="A261">
        <v>149</v>
      </c>
      <c r="B261">
        <v>2021</v>
      </c>
      <c r="C261">
        <v>97</v>
      </c>
      <c r="D261">
        <v>715</v>
      </c>
      <c r="E261">
        <v>0</v>
      </c>
      <c r="F261" t="str" cm="1">
        <f t="array" ref="F261">_xlfn.XLOOKUP(A261&amp;B261,$L$2:$L$739&amp;$M$2:$M$739,$N$2:$N$739)</f>
        <v>High</v>
      </c>
      <c r="G261">
        <f t="shared" si="4"/>
        <v>812</v>
      </c>
      <c r="H261" t="str">
        <f>_xlfn.XLOOKUP(A261,VE!$A$2:$A$247,VE!$B$2:$B$247)</f>
        <v>Marion_Inside_UGB_1</v>
      </c>
      <c r="I261" t="str" cm="1">
        <f t="array" ref="I261">_xlfn.IFS(OR(H261=$S$2,H261=$S$13,H261=$S$5),"Other",OR(H261=$S$3,H261=$S$4,H261=$S$7,H261=$S$10,H261=$S$11),"Salem",OR(H261=$S$6),"Keizer",OR(H261=$S$8,H261=$S$9,H261=$S$12),"Marion")</f>
        <v>Marion</v>
      </c>
      <c r="L261">
        <v>149</v>
      </c>
      <c r="M261">
        <v>2021</v>
      </c>
      <c r="N261" t="s">
        <v>46</v>
      </c>
      <c r="O261">
        <v>1</v>
      </c>
    </row>
    <row r="262" spans="1:15" x14ac:dyDescent="0.25">
      <c r="A262">
        <v>149</v>
      </c>
      <c r="B262">
        <v>2050</v>
      </c>
      <c r="C262">
        <v>94</v>
      </c>
      <c r="D262">
        <v>843</v>
      </c>
      <c r="E262">
        <v>0</v>
      </c>
      <c r="F262" t="str" cm="1">
        <f t="array" ref="F262">_xlfn.XLOOKUP(A262&amp;B262,$L$2:$L$739&amp;$M$2:$M$739,$N$2:$N$739)</f>
        <v>High</v>
      </c>
      <c r="G262">
        <f t="shared" si="4"/>
        <v>937</v>
      </c>
      <c r="H262" t="str">
        <f>_xlfn.XLOOKUP(A262,VE!$A$2:$A$247,VE!$B$2:$B$247)</f>
        <v>Marion_Inside_UGB_1</v>
      </c>
      <c r="I262" t="str" cm="1">
        <f t="array" ref="I262">_xlfn.IFS(OR(H262=$S$2,H262=$S$13,H262=$S$5),"Other",OR(H262=$S$3,H262=$S$4,H262=$S$7,H262=$S$10,H262=$S$11),"Salem",OR(H262=$S$6),"Keizer",OR(H262=$S$8,H262=$S$9,H262=$S$12),"Marion")</f>
        <v>Marion</v>
      </c>
      <c r="L262">
        <v>149</v>
      </c>
      <c r="M262">
        <v>2050</v>
      </c>
      <c r="N262" t="s">
        <v>46</v>
      </c>
      <c r="O262">
        <v>1</v>
      </c>
    </row>
    <row r="263" spans="1:15" x14ac:dyDescent="0.25">
      <c r="A263">
        <v>150</v>
      </c>
      <c r="B263">
        <v>2005</v>
      </c>
      <c r="C263">
        <v>110</v>
      </c>
      <c r="D263">
        <v>1436</v>
      </c>
      <c r="E263">
        <v>0</v>
      </c>
      <c r="F263" t="str" cm="1">
        <f t="array" ref="F263">_xlfn.XLOOKUP(A263&amp;B263,$L$2:$L$739&amp;$M$2:$M$739,$N$2:$N$739)</f>
        <v>Low</v>
      </c>
      <c r="G263">
        <f t="shared" si="4"/>
        <v>0</v>
      </c>
      <c r="H263" t="str">
        <f>_xlfn.XLOOKUP(A263,VE!$A$2:$A$247,VE!$B$2:$B$247)</f>
        <v>Marion_Inside_UGB_1</v>
      </c>
      <c r="I263" t="str" cm="1">
        <f t="array" ref="I263">_xlfn.IFS(OR(H263=$S$2,H263=$S$13,H263=$S$5),"Other",OR(H263=$S$3,H263=$S$4,H263=$S$7,H263=$S$10,H263=$S$11),"Salem",OR(H263=$S$6),"Keizer",OR(H263=$S$8,H263=$S$9,H263=$S$12),"Marion")</f>
        <v>Marion</v>
      </c>
      <c r="L263">
        <v>150</v>
      </c>
      <c r="M263">
        <v>2005</v>
      </c>
      <c r="N263" t="s">
        <v>45</v>
      </c>
      <c r="O263">
        <v>0</v>
      </c>
    </row>
    <row r="264" spans="1:15" x14ac:dyDescent="0.25">
      <c r="A264">
        <v>150</v>
      </c>
      <c r="B264">
        <v>2021</v>
      </c>
      <c r="C264">
        <v>105</v>
      </c>
      <c r="D264">
        <v>1650</v>
      </c>
      <c r="E264">
        <v>0</v>
      </c>
      <c r="F264" t="str" cm="1">
        <f t="array" ref="F264">_xlfn.XLOOKUP(A264&amp;B264,$L$2:$L$739&amp;$M$2:$M$739,$N$2:$N$739)</f>
        <v>High</v>
      </c>
      <c r="G264">
        <f t="shared" si="4"/>
        <v>1755</v>
      </c>
      <c r="H264" t="str">
        <f>_xlfn.XLOOKUP(A264,VE!$A$2:$A$247,VE!$B$2:$B$247)</f>
        <v>Marion_Inside_UGB_1</v>
      </c>
      <c r="I264" t="str" cm="1">
        <f t="array" ref="I264">_xlfn.IFS(OR(H264=$S$2,H264=$S$13,H264=$S$5),"Other",OR(H264=$S$3,H264=$S$4,H264=$S$7,H264=$S$10,H264=$S$11),"Salem",OR(H264=$S$6),"Keizer",OR(H264=$S$8,H264=$S$9,H264=$S$12),"Marion")</f>
        <v>Marion</v>
      </c>
      <c r="L264">
        <v>150</v>
      </c>
      <c r="M264">
        <v>2021</v>
      </c>
      <c r="N264" t="s">
        <v>46</v>
      </c>
      <c r="O264">
        <v>1</v>
      </c>
    </row>
    <row r="265" spans="1:15" x14ac:dyDescent="0.25">
      <c r="A265">
        <v>150</v>
      </c>
      <c r="B265">
        <v>2050</v>
      </c>
      <c r="C265">
        <v>109</v>
      </c>
      <c r="D265">
        <v>1712</v>
      </c>
      <c r="E265">
        <v>0</v>
      </c>
      <c r="F265" t="str" cm="1">
        <f t="array" ref="F265">_xlfn.XLOOKUP(A265&amp;B265,$L$2:$L$739&amp;$M$2:$M$739,$N$2:$N$739)</f>
        <v>High</v>
      </c>
      <c r="G265">
        <f t="shared" si="4"/>
        <v>1821</v>
      </c>
      <c r="H265" t="str">
        <f>_xlfn.XLOOKUP(A265,VE!$A$2:$A$247,VE!$B$2:$B$247)</f>
        <v>Marion_Inside_UGB_1</v>
      </c>
      <c r="I265" t="str" cm="1">
        <f t="array" ref="I265">_xlfn.IFS(OR(H265=$S$2,H265=$S$13,H265=$S$5),"Other",OR(H265=$S$3,H265=$S$4,H265=$S$7,H265=$S$10,H265=$S$11),"Salem",OR(H265=$S$6),"Keizer",OR(H265=$S$8,H265=$S$9,H265=$S$12),"Marion")</f>
        <v>Marion</v>
      </c>
      <c r="L265">
        <v>150</v>
      </c>
      <c r="M265">
        <v>2050</v>
      </c>
      <c r="N265" t="s">
        <v>46</v>
      </c>
      <c r="O265">
        <v>1</v>
      </c>
    </row>
    <row r="266" spans="1:15" x14ac:dyDescent="0.25">
      <c r="A266">
        <v>151</v>
      </c>
      <c r="B266">
        <v>2005</v>
      </c>
      <c r="C266">
        <v>4</v>
      </c>
      <c r="D266">
        <v>40</v>
      </c>
      <c r="E266">
        <v>0</v>
      </c>
      <c r="F266" t="str" cm="1">
        <f t="array" ref="F266">_xlfn.XLOOKUP(A266&amp;B266,$L$2:$L$739&amp;$M$2:$M$739,$N$2:$N$739)</f>
        <v>Low</v>
      </c>
      <c r="G266">
        <f t="shared" si="4"/>
        <v>0</v>
      </c>
      <c r="H266" t="str">
        <f>_xlfn.XLOOKUP(A266,VE!$A$2:$A$247,VE!$B$2:$B$247)</f>
        <v>Salem_4</v>
      </c>
      <c r="I266" t="str" cm="1">
        <f t="array" ref="I266">_xlfn.IFS(OR(H266=$S$2,H266=$S$13,H266=$S$5),"Other",OR(H266=$S$3,H266=$S$4,H266=$S$7,H266=$S$10,H266=$S$11),"Salem",OR(H266=$S$6),"Keizer",OR(H266=$S$8,H266=$S$9,H266=$S$12),"Marion")</f>
        <v>Salem</v>
      </c>
      <c r="L266">
        <v>151</v>
      </c>
      <c r="M266">
        <v>2005</v>
      </c>
      <c r="N266" t="s">
        <v>45</v>
      </c>
      <c r="O266">
        <v>0</v>
      </c>
    </row>
    <row r="267" spans="1:15" x14ac:dyDescent="0.25">
      <c r="A267">
        <v>151</v>
      </c>
      <c r="B267">
        <v>2021</v>
      </c>
      <c r="C267">
        <v>0</v>
      </c>
      <c r="D267">
        <v>64</v>
      </c>
      <c r="E267">
        <v>0</v>
      </c>
      <c r="F267" t="str" cm="1">
        <f t="array" ref="F267">_xlfn.XLOOKUP(A267&amp;B267,$L$2:$L$739&amp;$M$2:$M$739,$N$2:$N$739)</f>
        <v>Low</v>
      </c>
      <c r="G267">
        <f t="shared" si="4"/>
        <v>0</v>
      </c>
      <c r="H267" t="str">
        <f>_xlfn.XLOOKUP(A267,VE!$A$2:$A$247,VE!$B$2:$B$247)</f>
        <v>Salem_4</v>
      </c>
      <c r="I267" t="str" cm="1">
        <f t="array" ref="I267">_xlfn.IFS(OR(H267=$S$2,H267=$S$13,H267=$S$5),"Other",OR(H267=$S$3,H267=$S$4,H267=$S$7,H267=$S$10,H267=$S$11),"Salem",OR(H267=$S$6),"Keizer",OR(H267=$S$8,H267=$S$9,H267=$S$12),"Marion")</f>
        <v>Salem</v>
      </c>
      <c r="L267">
        <v>151</v>
      </c>
      <c r="M267">
        <v>2021</v>
      </c>
      <c r="N267" t="s">
        <v>45</v>
      </c>
      <c r="O267">
        <v>0</v>
      </c>
    </row>
    <row r="268" spans="1:15" x14ac:dyDescent="0.25">
      <c r="A268">
        <v>151</v>
      </c>
      <c r="B268">
        <v>2050</v>
      </c>
      <c r="C268">
        <v>0</v>
      </c>
      <c r="D268">
        <v>63</v>
      </c>
      <c r="E268">
        <v>0</v>
      </c>
      <c r="F268" t="str" cm="1">
        <f t="array" ref="F268">_xlfn.XLOOKUP(A268&amp;B268,$L$2:$L$739&amp;$M$2:$M$739,$N$2:$N$739)</f>
        <v>High</v>
      </c>
      <c r="G268">
        <f t="shared" si="4"/>
        <v>63</v>
      </c>
      <c r="H268" t="str">
        <f>_xlfn.XLOOKUP(A268,VE!$A$2:$A$247,VE!$B$2:$B$247)</f>
        <v>Salem_4</v>
      </c>
      <c r="I268" t="str" cm="1">
        <f t="array" ref="I268">_xlfn.IFS(OR(H268=$S$2,H268=$S$13,H268=$S$5),"Other",OR(H268=$S$3,H268=$S$4,H268=$S$7,H268=$S$10,H268=$S$11),"Salem",OR(H268=$S$6),"Keizer",OR(H268=$S$8,H268=$S$9,H268=$S$12),"Marion")</f>
        <v>Salem</v>
      </c>
      <c r="L268">
        <v>151</v>
      </c>
      <c r="M268">
        <v>2050</v>
      </c>
      <c r="N268" t="s">
        <v>46</v>
      </c>
      <c r="O268">
        <v>1</v>
      </c>
    </row>
    <row r="269" spans="1:15" x14ac:dyDescent="0.25">
      <c r="A269">
        <v>152</v>
      </c>
      <c r="B269">
        <v>2005</v>
      </c>
      <c r="C269">
        <v>38</v>
      </c>
      <c r="D269">
        <v>8</v>
      </c>
      <c r="E269">
        <v>0</v>
      </c>
      <c r="F269" t="str" cm="1">
        <f t="array" ref="F269">_xlfn.XLOOKUP(A269&amp;B269,$L$2:$L$739&amp;$M$2:$M$739,$N$2:$N$739)</f>
        <v>Low</v>
      </c>
      <c r="G269">
        <f t="shared" si="4"/>
        <v>0</v>
      </c>
      <c r="H269" t="str">
        <f>_xlfn.XLOOKUP(A269,VE!$A$2:$A$247,VE!$B$2:$B$247)</f>
        <v>Marion_Outside_UGB</v>
      </c>
      <c r="I269" t="str" cm="1">
        <f t="array" ref="I269">_xlfn.IFS(OR(H269=$S$2,H269=$S$13,H269=$S$5),"Other",OR(H269=$S$3,H269=$S$4,H269=$S$7,H269=$S$10,H269=$S$11),"Salem",OR(H269=$S$6),"Keizer",OR(H269=$S$8,H269=$S$9,H269=$S$12),"Marion")</f>
        <v>Other</v>
      </c>
      <c r="L269">
        <v>152</v>
      </c>
      <c r="M269">
        <v>2005</v>
      </c>
      <c r="N269" t="s">
        <v>45</v>
      </c>
      <c r="O269">
        <v>0</v>
      </c>
    </row>
    <row r="270" spans="1:15" x14ac:dyDescent="0.25">
      <c r="A270">
        <v>152</v>
      </c>
      <c r="B270">
        <v>2021</v>
      </c>
      <c r="C270">
        <v>38</v>
      </c>
      <c r="D270">
        <v>8</v>
      </c>
      <c r="E270">
        <v>0</v>
      </c>
      <c r="F270" t="str" cm="1">
        <f t="array" ref="F270">_xlfn.XLOOKUP(A270&amp;B270,$L$2:$L$739&amp;$M$2:$M$739,$N$2:$N$739)</f>
        <v>Low</v>
      </c>
      <c r="G270">
        <f t="shared" si="4"/>
        <v>0</v>
      </c>
      <c r="H270" t="str">
        <f>_xlfn.XLOOKUP(A270,VE!$A$2:$A$247,VE!$B$2:$B$247)</f>
        <v>Marion_Outside_UGB</v>
      </c>
      <c r="I270" t="str" cm="1">
        <f t="array" ref="I270">_xlfn.IFS(OR(H270=$S$2,H270=$S$13,H270=$S$5),"Other",OR(H270=$S$3,H270=$S$4,H270=$S$7,H270=$S$10,H270=$S$11),"Salem",OR(H270=$S$6),"Keizer",OR(H270=$S$8,H270=$S$9,H270=$S$12),"Marion")</f>
        <v>Other</v>
      </c>
      <c r="L270">
        <v>152</v>
      </c>
      <c r="M270">
        <v>2021</v>
      </c>
      <c r="N270" t="s">
        <v>45</v>
      </c>
      <c r="O270">
        <v>0</v>
      </c>
    </row>
    <row r="271" spans="1:15" x14ac:dyDescent="0.25">
      <c r="A271">
        <v>152</v>
      </c>
      <c r="B271">
        <v>2050</v>
      </c>
      <c r="C271">
        <v>36</v>
      </c>
      <c r="D271">
        <v>7</v>
      </c>
      <c r="E271">
        <v>0</v>
      </c>
      <c r="F271" t="str" cm="1">
        <f t="array" ref="F271">_xlfn.XLOOKUP(A271&amp;B271,$L$2:$L$739&amp;$M$2:$M$739,$N$2:$N$739)</f>
        <v>Low</v>
      </c>
      <c r="G271">
        <f t="shared" si="4"/>
        <v>0</v>
      </c>
      <c r="H271" t="str">
        <f>_xlfn.XLOOKUP(A271,VE!$A$2:$A$247,VE!$B$2:$B$247)</f>
        <v>Marion_Outside_UGB</v>
      </c>
      <c r="I271" t="str" cm="1">
        <f t="array" ref="I271">_xlfn.IFS(OR(H271=$S$2,H271=$S$13,H271=$S$5),"Other",OR(H271=$S$3,H271=$S$4,H271=$S$7,H271=$S$10,H271=$S$11),"Salem",OR(H271=$S$6),"Keizer",OR(H271=$S$8,H271=$S$9,H271=$S$12),"Marion")</f>
        <v>Other</v>
      </c>
      <c r="L271">
        <v>152</v>
      </c>
      <c r="M271">
        <v>2050</v>
      </c>
      <c r="N271" t="s">
        <v>45</v>
      </c>
      <c r="O271">
        <v>0</v>
      </c>
    </row>
    <row r="272" spans="1:15" x14ac:dyDescent="0.25">
      <c r="A272">
        <v>153</v>
      </c>
      <c r="B272">
        <v>2005</v>
      </c>
      <c r="C272">
        <v>48</v>
      </c>
      <c r="D272">
        <v>5</v>
      </c>
      <c r="E272">
        <v>0</v>
      </c>
      <c r="F272" t="str" cm="1">
        <f t="array" ref="F272">_xlfn.XLOOKUP(A272&amp;B272,$L$2:$L$739&amp;$M$2:$M$739,$N$2:$N$739)</f>
        <v>Low</v>
      </c>
      <c r="G272">
        <f t="shared" si="4"/>
        <v>0</v>
      </c>
      <c r="H272" t="str">
        <f>_xlfn.XLOOKUP(A272,VE!$A$2:$A$247,VE!$B$2:$B$247)</f>
        <v>Marion_Outside_UGB</v>
      </c>
      <c r="I272" t="str" cm="1">
        <f t="array" ref="I272">_xlfn.IFS(OR(H272=$S$2,H272=$S$13,H272=$S$5),"Other",OR(H272=$S$3,H272=$S$4,H272=$S$7,H272=$S$10,H272=$S$11),"Salem",OR(H272=$S$6),"Keizer",OR(H272=$S$8,H272=$S$9,H272=$S$12),"Marion")</f>
        <v>Other</v>
      </c>
      <c r="L272">
        <v>153</v>
      </c>
      <c r="M272">
        <v>2005</v>
      </c>
      <c r="N272" t="s">
        <v>45</v>
      </c>
      <c r="O272">
        <v>0</v>
      </c>
    </row>
    <row r="273" spans="1:15" x14ac:dyDescent="0.25">
      <c r="A273">
        <v>153</v>
      </c>
      <c r="B273">
        <v>2021</v>
      </c>
      <c r="C273">
        <v>48</v>
      </c>
      <c r="D273">
        <v>5</v>
      </c>
      <c r="E273">
        <v>0</v>
      </c>
      <c r="F273" t="str" cm="1">
        <f t="array" ref="F273">_xlfn.XLOOKUP(A273&amp;B273,$L$2:$L$739&amp;$M$2:$M$739,$N$2:$N$739)</f>
        <v>Low</v>
      </c>
      <c r="G273">
        <f t="shared" si="4"/>
        <v>0</v>
      </c>
      <c r="H273" t="str">
        <f>_xlfn.XLOOKUP(A273,VE!$A$2:$A$247,VE!$B$2:$B$247)</f>
        <v>Marion_Outside_UGB</v>
      </c>
      <c r="I273" t="str" cm="1">
        <f t="array" ref="I273">_xlfn.IFS(OR(H273=$S$2,H273=$S$13,H273=$S$5),"Other",OR(H273=$S$3,H273=$S$4,H273=$S$7,H273=$S$10,H273=$S$11),"Salem",OR(H273=$S$6),"Keizer",OR(H273=$S$8,H273=$S$9,H273=$S$12),"Marion")</f>
        <v>Other</v>
      </c>
      <c r="L273">
        <v>153</v>
      </c>
      <c r="M273">
        <v>2021</v>
      </c>
      <c r="N273" t="s">
        <v>45</v>
      </c>
      <c r="O273">
        <v>0</v>
      </c>
    </row>
    <row r="274" spans="1:15" x14ac:dyDescent="0.25">
      <c r="A274">
        <v>153</v>
      </c>
      <c r="B274">
        <v>2050</v>
      </c>
      <c r="C274">
        <v>49</v>
      </c>
      <c r="D274">
        <v>5</v>
      </c>
      <c r="E274">
        <v>0</v>
      </c>
      <c r="F274" t="str" cm="1">
        <f t="array" ref="F274">_xlfn.XLOOKUP(A274&amp;B274,$L$2:$L$739&amp;$M$2:$M$739,$N$2:$N$739)</f>
        <v>Low</v>
      </c>
      <c r="G274">
        <f t="shared" si="4"/>
        <v>0</v>
      </c>
      <c r="H274" t="str">
        <f>_xlfn.XLOOKUP(A274,VE!$A$2:$A$247,VE!$B$2:$B$247)</f>
        <v>Marion_Outside_UGB</v>
      </c>
      <c r="I274" t="str" cm="1">
        <f t="array" ref="I274">_xlfn.IFS(OR(H274=$S$2,H274=$S$13,H274=$S$5),"Other",OR(H274=$S$3,H274=$S$4,H274=$S$7,H274=$S$10,H274=$S$11),"Salem",OR(H274=$S$6),"Keizer",OR(H274=$S$8,H274=$S$9,H274=$S$12),"Marion")</f>
        <v>Other</v>
      </c>
      <c r="L274">
        <v>153</v>
      </c>
      <c r="M274">
        <v>2050</v>
      </c>
      <c r="N274" t="s">
        <v>45</v>
      </c>
      <c r="O274">
        <v>0</v>
      </c>
    </row>
    <row r="275" spans="1:15" x14ac:dyDescent="0.25">
      <c r="A275">
        <v>154</v>
      </c>
      <c r="B275">
        <v>2005</v>
      </c>
      <c r="C275">
        <v>894</v>
      </c>
      <c r="D275">
        <v>136</v>
      </c>
      <c r="E275">
        <v>0</v>
      </c>
      <c r="F275" t="str" cm="1">
        <f t="array" ref="F275">_xlfn.XLOOKUP(A275&amp;B275,$L$2:$L$739&amp;$M$2:$M$739,$N$2:$N$739)</f>
        <v>Low</v>
      </c>
      <c r="G275">
        <f t="shared" si="4"/>
        <v>0</v>
      </c>
      <c r="H275" t="str">
        <f>_xlfn.XLOOKUP(A275,VE!$A$2:$A$247,VE!$B$2:$B$247)</f>
        <v>Marion_Inside_UGB_1</v>
      </c>
      <c r="I275" t="str" cm="1">
        <f t="array" ref="I275">_xlfn.IFS(OR(H275=$S$2,H275=$S$13,H275=$S$5),"Other",OR(H275=$S$3,H275=$S$4,H275=$S$7,H275=$S$10,H275=$S$11),"Salem",OR(H275=$S$6),"Keizer",OR(H275=$S$8,H275=$S$9,H275=$S$12),"Marion")</f>
        <v>Marion</v>
      </c>
      <c r="L275">
        <v>154</v>
      </c>
      <c r="M275">
        <v>2005</v>
      </c>
      <c r="N275" t="s">
        <v>45</v>
      </c>
      <c r="O275">
        <v>0</v>
      </c>
    </row>
    <row r="276" spans="1:15" x14ac:dyDescent="0.25">
      <c r="A276">
        <v>154</v>
      </c>
      <c r="B276">
        <v>2021</v>
      </c>
      <c r="C276">
        <v>768</v>
      </c>
      <c r="D276">
        <v>299</v>
      </c>
      <c r="E276">
        <v>0</v>
      </c>
      <c r="F276" t="str" cm="1">
        <f t="array" ref="F276">_xlfn.XLOOKUP(A276&amp;B276,$L$2:$L$739&amp;$M$2:$M$739,$N$2:$N$739)</f>
        <v>Low</v>
      </c>
      <c r="G276">
        <f t="shared" si="4"/>
        <v>0</v>
      </c>
      <c r="H276" t="str">
        <f>_xlfn.XLOOKUP(A276,VE!$A$2:$A$247,VE!$B$2:$B$247)</f>
        <v>Marion_Inside_UGB_1</v>
      </c>
      <c r="I276" t="str" cm="1">
        <f t="array" ref="I276">_xlfn.IFS(OR(H276=$S$2,H276=$S$13,H276=$S$5),"Other",OR(H276=$S$3,H276=$S$4,H276=$S$7,H276=$S$10,H276=$S$11),"Salem",OR(H276=$S$6),"Keizer",OR(H276=$S$8,H276=$S$9,H276=$S$12),"Marion")</f>
        <v>Marion</v>
      </c>
      <c r="L276">
        <v>154</v>
      </c>
      <c r="M276">
        <v>2021</v>
      </c>
      <c r="N276" t="s">
        <v>45</v>
      </c>
      <c r="O276">
        <v>0</v>
      </c>
    </row>
    <row r="277" spans="1:15" x14ac:dyDescent="0.25">
      <c r="A277">
        <v>154</v>
      </c>
      <c r="B277">
        <v>2050</v>
      </c>
      <c r="C277">
        <v>1002</v>
      </c>
      <c r="D277">
        <v>299</v>
      </c>
      <c r="E277">
        <v>0</v>
      </c>
      <c r="F277" t="str" cm="1">
        <f t="array" ref="F277">_xlfn.XLOOKUP(A277&amp;B277,$L$2:$L$739&amp;$M$2:$M$739,$N$2:$N$739)</f>
        <v>Low</v>
      </c>
      <c r="G277">
        <f t="shared" si="4"/>
        <v>0</v>
      </c>
      <c r="H277" t="str">
        <f>_xlfn.XLOOKUP(A277,VE!$A$2:$A$247,VE!$B$2:$B$247)</f>
        <v>Marion_Inside_UGB_1</v>
      </c>
      <c r="I277" t="str" cm="1">
        <f t="array" ref="I277">_xlfn.IFS(OR(H277=$S$2,H277=$S$13,H277=$S$5),"Other",OR(H277=$S$3,H277=$S$4,H277=$S$7,H277=$S$10,H277=$S$11),"Salem",OR(H277=$S$6),"Keizer",OR(H277=$S$8,H277=$S$9,H277=$S$12),"Marion")</f>
        <v>Marion</v>
      </c>
      <c r="L277">
        <v>154</v>
      </c>
      <c r="M277">
        <v>2050</v>
      </c>
      <c r="N277" t="s">
        <v>45</v>
      </c>
      <c r="O277">
        <v>0</v>
      </c>
    </row>
    <row r="278" spans="1:15" x14ac:dyDescent="0.25">
      <c r="A278">
        <v>155</v>
      </c>
      <c r="B278">
        <v>2005</v>
      </c>
      <c r="C278">
        <v>595</v>
      </c>
      <c r="D278">
        <v>366</v>
      </c>
      <c r="E278">
        <v>0</v>
      </c>
      <c r="F278" t="str" cm="1">
        <f t="array" ref="F278">_xlfn.XLOOKUP(A278&amp;B278,$L$2:$L$739&amp;$M$2:$M$739,$N$2:$N$739)</f>
        <v>Low</v>
      </c>
      <c r="G278">
        <f t="shared" si="4"/>
        <v>0</v>
      </c>
      <c r="H278" t="str">
        <f>_xlfn.XLOOKUP(A278,VE!$A$2:$A$247,VE!$B$2:$B$247)</f>
        <v>Marion_Inside_UGB_1</v>
      </c>
      <c r="I278" t="str" cm="1">
        <f t="array" ref="I278">_xlfn.IFS(OR(H278=$S$2,H278=$S$13,H278=$S$5),"Other",OR(H278=$S$3,H278=$S$4,H278=$S$7,H278=$S$10,H278=$S$11),"Salem",OR(H278=$S$6),"Keizer",OR(H278=$S$8,H278=$S$9,H278=$S$12),"Marion")</f>
        <v>Marion</v>
      </c>
      <c r="L278">
        <v>155</v>
      </c>
      <c r="M278">
        <v>2005</v>
      </c>
      <c r="N278" t="s">
        <v>45</v>
      </c>
      <c r="O278">
        <v>0</v>
      </c>
    </row>
    <row r="279" spans="1:15" x14ac:dyDescent="0.25">
      <c r="A279">
        <v>155</v>
      </c>
      <c r="B279">
        <v>2021</v>
      </c>
      <c r="C279">
        <v>500</v>
      </c>
      <c r="D279">
        <v>520</v>
      </c>
      <c r="E279">
        <v>0</v>
      </c>
      <c r="F279" t="str" cm="1">
        <f t="array" ref="F279">_xlfn.XLOOKUP(A279&amp;B279,$L$2:$L$739&amp;$M$2:$M$739,$N$2:$N$739)</f>
        <v>Low</v>
      </c>
      <c r="G279">
        <f t="shared" si="4"/>
        <v>0</v>
      </c>
      <c r="H279" t="str">
        <f>_xlfn.XLOOKUP(A279,VE!$A$2:$A$247,VE!$B$2:$B$247)</f>
        <v>Marion_Inside_UGB_1</v>
      </c>
      <c r="I279" t="str" cm="1">
        <f t="array" ref="I279">_xlfn.IFS(OR(H279=$S$2,H279=$S$13,H279=$S$5),"Other",OR(H279=$S$3,H279=$S$4,H279=$S$7,H279=$S$10,H279=$S$11),"Salem",OR(H279=$S$6),"Keizer",OR(H279=$S$8,H279=$S$9,H279=$S$12),"Marion")</f>
        <v>Marion</v>
      </c>
      <c r="L279">
        <v>155</v>
      </c>
      <c r="M279">
        <v>2021</v>
      </c>
      <c r="N279" t="s">
        <v>45</v>
      </c>
      <c r="O279">
        <v>0</v>
      </c>
    </row>
    <row r="280" spans="1:15" x14ac:dyDescent="0.25">
      <c r="A280">
        <v>155</v>
      </c>
      <c r="B280">
        <v>2050</v>
      </c>
      <c r="C280">
        <v>509</v>
      </c>
      <c r="D280">
        <v>597</v>
      </c>
      <c r="E280">
        <v>0</v>
      </c>
      <c r="F280" t="str" cm="1">
        <f t="array" ref="F280">_xlfn.XLOOKUP(A280&amp;B280,$L$2:$L$739&amp;$M$2:$M$739,$N$2:$N$739)</f>
        <v>High</v>
      </c>
      <c r="G280">
        <f t="shared" si="4"/>
        <v>1106</v>
      </c>
      <c r="H280" t="str">
        <f>_xlfn.XLOOKUP(A280,VE!$A$2:$A$247,VE!$B$2:$B$247)</f>
        <v>Marion_Inside_UGB_1</v>
      </c>
      <c r="I280" t="str" cm="1">
        <f t="array" ref="I280">_xlfn.IFS(OR(H280=$S$2,H280=$S$13,H280=$S$5),"Other",OR(H280=$S$3,H280=$S$4,H280=$S$7,H280=$S$10,H280=$S$11),"Salem",OR(H280=$S$6),"Keizer",OR(H280=$S$8,H280=$S$9,H280=$S$12),"Marion")</f>
        <v>Marion</v>
      </c>
      <c r="L280">
        <v>155</v>
      </c>
      <c r="M280">
        <v>2050</v>
      </c>
      <c r="N280" t="s">
        <v>46</v>
      </c>
      <c r="O280">
        <v>1</v>
      </c>
    </row>
    <row r="281" spans="1:15" x14ac:dyDescent="0.25">
      <c r="A281">
        <v>156</v>
      </c>
      <c r="B281">
        <v>2005</v>
      </c>
      <c r="C281">
        <v>132</v>
      </c>
      <c r="D281">
        <v>270</v>
      </c>
      <c r="E281">
        <v>0</v>
      </c>
      <c r="F281" t="str" cm="1">
        <f t="array" ref="F281">_xlfn.XLOOKUP(A281&amp;B281,$L$2:$L$739&amp;$M$2:$M$739,$N$2:$N$739)</f>
        <v>Low</v>
      </c>
      <c r="G281">
        <f t="shared" si="4"/>
        <v>0</v>
      </c>
      <c r="H281" t="str">
        <f>_xlfn.XLOOKUP(A281,VE!$A$2:$A$247,VE!$B$2:$B$247)</f>
        <v>Marion_Inside_UGB_1</v>
      </c>
      <c r="I281" t="str" cm="1">
        <f t="array" ref="I281">_xlfn.IFS(OR(H281=$S$2,H281=$S$13,H281=$S$5),"Other",OR(H281=$S$3,H281=$S$4,H281=$S$7,H281=$S$10,H281=$S$11),"Salem",OR(H281=$S$6),"Keizer",OR(H281=$S$8,H281=$S$9,H281=$S$12),"Marion")</f>
        <v>Marion</v>
      </c>
      <c r="L281">
        <v>156</v>
      </c>
      <c r="M281">
        <v>2005</v>
      </c>
      <c r="N281" t="s">
        <v>45</v>
      </c>
      <c r="O281">
        <v>0</v>
      </c>
    </row>
    <row r="282" spans="1:15" x14ac:dyDescent="0.25">
      <c r="A282">
        <v>156</v>
      </c>
      <c r="B282">
        <v>2021</v>
      </c>
      <c r="C282">
        <v>195</v>
      </c>
      <c r="D282">
        <v>376</v>
      </c>
      <c r="E282">
        <v>0</v>
      </c>
      <c r="F282" t="str" cm="1">
        <f t="array" ref="F282">_xlfn.XLOOKUP(A282&amp;B282,$L$2:$L$739&amp;$M$2:$M$739,$N$2:$N$739)</f>
        <v>High</v>
      </c>
      <c r="G282">
        <f t="shared" si="4"/>
        <v>571</v>
      </c>
      <c r="H282" t="str">
        <f>_xlfn.XLOOKUP(A282,VE!$A$2:$A$247,VE!$B$2:$B$247)</f>
        <v>Marion_Inside_UGB_1</v>
      </c>
      <c r="I282" t="str" cm="1">
        <f t="array" ref="I282">_xlfn.IFS(OR(H282=$S$2,H282=$S$13,H282=$S$5),"Other",OR(H282=$S$3,H282=$S$4,H282=$S$7,H282=$S$10,H282=$S$11),"Salem",OR(H282=$S$6),"Keizer",OR(H282=$S$8,H282=$S$9,H282=$S$12),"Marion")</f>
        <v>Marion</v>
      </c>
      <c r="L282">
        <v>156</v>
      </c>
      <c r="M282">
        <v>2021</v>
      </c>
      <c r="N282" t="s">
        <v>46</v>
      </c>
      <c r="O282">
        <v>1</v>
      </c>
    </row>
    <row r="283" spans="1:15" x14ac:dyDescent="0.25">
      <c r="A283">
        <v>156</v>
      </c>
      <c r="B283">
        <v>2050</v>
      </c>
      <c r="C283">
        <v>229</v>
      </c>
      <c r="D283">
        <v>387</v>
      </c>
      <c r="E283">
        <v>0</v>
      </c>
      <c r="F283" t="str" cm="1">
        <f t="array" ref="F283">_xlfn.XLOOKUP(A283&amp;B283,$L$2:$L$739&amp;$M$2:$M$739,$N$2:$N$739)</f>
        <v>High</v>
      </c>
      <c r="G283">
        <f t="shared" si="4"/>
        <v>616</v>
      </c>
      <c r="H283" t="str">
        <f>_xlfn.XLOOKUP(A283,VE!$A$2:$A$247,VE!$B$2:$B$247)</f>
        <v>Marion_Inside_UGB_1</v>
      </c>
      <c r="I283" t="str" cm="1">
        <f t="array" ref="I283">_xlfn.IFS(OR(H283=$S$2,H283=$S$13,H283=$S$5),"Other",OR(H283=$S$3,H283=$S$4,H283=$S$7,H283=$S$10,H283=$S$11),"Salem",OR(H283=$S$6),"Keizer",OR(H283=$S$8,H283=$S$9,H283=$S$12),"Marion")</f>
        <v>Marion</v>
      </c>
      <c r="L283">
        <v>156</v>
      </c>
      <c r="M283">
        <v>2050</v>
      </c>
      <c r="N283" t="s">
        <v>46</v>
      </c>
      <c r="O283">
        <v>1</v>
      </c>
    </row>
    <row r="284" spans="1:15" x14ac:dyDescent="0.25">
      <c r="A284">
        <v>158</v>
      </c>
      <c r="B284">
        <v>2005</v>
      </c>
      <c r="C284">
        <v>146</v>
      </c>
      <c r="D284">
        <v>576</v>
      </c>
      <c r="E284">
        <v>0</v>
      </c>
      <c r="F284" t="str" cm="1">
        <f t="array" ref="F284">_xlfn.XLOOKUP(A284&amp;B284,$L$2:$L$739&amp;$M$2:$M$739,$N$2:$N$739)</f>
        <v>Low</v>
      </c>
      <c r="G284">
        <f t="shared" si="4"/>
        <v>0</v>
      </c>
      <c r="H284" t="str">
        <f>_xlfn.XLOOKUP(A284,VE!$A$2:$A$247,VE!$B$2:$B$247)</f>
        <v>Salem_4</v>
      </c>
      <c r="I284" t="str" cm="1">
        <f t="array" ref="I284">_xlfn.IFS(OR(H284=$S$2,H284=$S$13,H284=$S$5),"Other",OR(H284=$S$3,H284=$S$4,H284=$S$7,H284=$S$10,H284=$S$11),"Salem",OR(H284=$S$6),"Keizer",OR(H284=$S$8,H284=$S$9,H284=$S$12),"Marion")</f>
        <v>Salem</v>
      </c>
      <c r="L284">
        <v>158</v>
      </c>
      <c r="M284">
        <v>2005</v>
      </c>
      <c r="N284" t="s">
        <v>45</v>
      </c>
      <c r="O284">
        <v>0</v>
      </c>
    </row>
    <row r="285" spans="1:15" x14ac:dyDescent="0.25">
      <c r="A285">
        <v>158</v>
      </c>
      <c r="B285">
        <v>2021</v>
      </c>
      <c r="C285">
        <v>140</v>
      </c>
      <c r="D285">
        <v>688</v>
      </c>
      <c r="E285">
        <v>0</v>
      </c>
      <c r="F285" t="str" cm="1">
        <f t="array" ref="F285">_xlfn.XLOOKUP(A285&amp;B285,$L$2:$L$739&amp;$M$2:$M$739,$N$2:$N$739)</f>
        <v>High</v>
      </c>
      <c r="G285">
        <f t="shared" si="4"/>
        <v>828</v>
      </c>
      <c r="H285" t="str">
        <f>_xlfn.XLOOKUP(A285,VE!$A$2:$A$247,VE!$B$2:$B$247)</f>
        <v>Salem_4</v>
      </c>
      <c r="I285" t="str" cm="1">
        <f t="array" ref="I285">_xlfn.IFS(OR(H285=$S$2,H285=$S$13,H285=$S$5),"Other",OR(H285=$S$3,H285=$S$4,H285=$S$7,H285=$S$10,H285=$S$11),"Salem",OR(H285=$S$6),"Keizer",OR(H285=$S$8,H285=$S$9,H285=$S$12),"Marion")</f>
        <v>Salem</v>
      </c>
      <c r="L285">
        <v>158</v>
      </c>
      <c r="M285">
        <v>2021</v>
      </c>
      <c r="N285" t="s">
        <v>46</v>
      </c>
      <c r="O285">
        <v>1</v>
      </c>
    </row>
    <row r="286" spans="1:15" x14ac:dyDescent="0.25">
      <c r="A286">
        <v>158</v>
      </c>
      <c r="B286">
        <v>2050</v>
      </c>
      <c r="C286">
        <v>138</v>
      </c>
      <c r="D286">
        <v>756</v>
      </c>
      <c r="E286">
        <v>0</v>
      </c>
      <c r="F286" t="str" cm="1">
        <f t="array" ref="F286">_xlfn.XLOOKUP(A286&amp;B286,$L$2:$L$739&amp;$M$2:$M$739,$N$2:$N$739)</f>
        <v>High</v>
      </c>
      <c r="G286">
        <f t="shared" si="4"/>
        <v>894</v>
      </c>
      <c r="H286" t="str">
        <f>_xlfn.XLOOKUP(A286,VE!$A$2:$A$247,VE!$B$2:$B$247)</f>
        <v>Salem_4</v>
      </c>
      <c r="I286" t="str" cm="1">
        <f t="array" ref="I286">_xlfn.IFS(OR(H286=$S$2,H286=$S$13,H286=$S$5),"Other",OR(H286=$S$3,H286=$S$4,H286=$S$7,H286=$S$10,H286=$S$11),"Salem",OR(H286=$S$6),"Keizer",OR(H286=$S$8,H286=$S$9,H286=$S$12),"Marion")</f>
        <v>Salem</v>
      </c>
      <c r="L286">
        <v>158</v>
      </c>
      <c r="M286">
        <v>2050</v>
      </c>
      <c r="N286" t="s">
        <v>46</v>
      </c>
      <c r="O286">
        <v>1</v>
      </c>
    </row>
    <row r="287" spans="1:15" x14ac:dyDescent="0.25">
      <c r="A287">
        <v>162</v>
      </c>
      <c r="B287">
        <v>2005</v>
      </c>
      <c r="C287">
        <v>63</v>
      </c>
      <c r="D287">
        <v>9</v>
      </c>
      <c r="E287">
        <v>0</v>
      </c>
      <c r="F287" t="str" cm="1">
        <f t="array" ref="F287">_xlfn.XLOOKUP(A287&amp;B287,$L$2:$L$739&amp;$M$2:$M$739,$N$2:$N$739)</f>
        <v>Low</v>
      </c>
      <c r="G287">
        <f t="shared" si="4"/>
        <v>0</v>
      </c>
      <c r="H287" t="str">
        <f>_xlfn.XLOOKUP(A287,VE!$A$2:$A$247,VE!$B$2:$B$247)</f>
        <v>Salem_4</v>
      </c>
      <c r="I287" t="str" cm="1">
        <f t="array" ref="I287">_xlfn.IFS(OR(H287=$S$2,H287=$S$13,H287=$S$5),"Other",OR(H287=$S$3,H287=$S$4,H287=$S$7,H287=$S$10,H287=$S$11),"Salem",OR(H287=$S$6),"Keizer",OR(H287=$S$8,H287=$S$9,H287=$S$12),"Marion")</f>
        <v>Salem</v>
      </c>
      <c r="L287">
        <v>162</v>
      </c>
      <c r="M287">
        <v>2005</v>
      </c>
      <c r="N287" t="s">
        <v>45</v>
      </c>
      <c r="O287">
        <v>0</v>
      </c>
    </row>
    <row r="288" spans="1:15" x14ac:dyDescent="0.25">
      <c r="A288">
        <v>162</v>
      </c>
      <c r="B288">
        <v>2021</v>
      </c>
      <c r="C288">
        <v>38</v>
      </c>
      <c r="D288">
        <v>41</v>
      </c>
      <c r="E288">
        <v>0</v>
      </c>
      <c r="F288" t="str" cm="1">
        <f t="array" ref="F288">_xlfn.XLOOKUP(A288&amp;B288,$L$2:$L$739&amp;$M$2:$M$739,$N$2:$N$739)</f>
        <v>High</v>
      </c>
      <c r="G288">
        <f t="shared" si="4"/>
        <v>79</v>
      </c>
      <c r="H288" t="str">
        <f>_xlfn.XLOOKUP(A288,VE!$A$2:$A$247,VE!$B$2:$B$247)</f>
        <v>Salem_4</v>
      </c>
      <c r="I288" t="str" cm="1">
        <f t="array" ref="I288">_xlfn.IFS(OR(H288=$S$2,H288=$S$13,H288=$S$5),"Other",OR(H288=$S$3,H288=$S$4,H288=$S$7,H288=$S$10,H288=$S$11),"Salem",OR(H288=$S$6),"Keizer",OR(H288=$S$8,H288=$S$9,H288=$S$12),"Marion")</f>
        <v>Salem</v>
      </c>
      <c r="L288">
        <v>162</v>
      </c>
      <c r="M288">
        <v>2021</v>
      </c>
      <c r="N288" t="s">
        <v>46</v>
      </c>
      <c r="O288">
        <v>1</v>
      </c>
    </row>
    <row r="289" spans="1:15" x14ac:dyDescent="0.25">
      <c r="A289">
        <v>162</v>
      </c>
      <c r="B289">
        <v>2050</v>
      </c>
      <c r="C289">
        <v>33</v>
      </c>
      <c r="D289">
        <v>36</v>
      </c>
      <c r="E289">
        <v>0</v>
      </c>
      <c r="F289" t="str" cm="1">
        <f t="array" ref="F289">_xlfn.XLOOKUP(A289&amp;B289,$L$2:$L$739&amp;$M$2:$M$739,$N$2:$N$739)</f>
        <v>High</v>
      </c>
      <c r="G289">
        <f t="shared" si="4"/>
        <v>69</v>
      </c>
      <c r="H289" t="str">
        <f>_xlfn.XLOOKUP(A289,VE!$A$2:$A$247,VE!$B$2:$B$247)</f>
        <v>Salem_4</v>
      </c>
      <c r="I289" t="str" cm="1">
        <f t="array" ref="I289">_xlfn.IFS(OR(H289=$S$2,H289=$S$13,H289=$S$5),"Other",OR(H289=$S$3,H289=$S$4,H289=$S$7,H289=$S$10,H289=$S$11),"Salem",OR(H289=$S$6),"Keizer",OR(H289=$S$8,H289=$S$9,H289=$S$12),"Marion")</f>
        <v>Salem</v>
      </c>
      <c r="L289">
        <v>162</v>
      </c>
      <c r="M289">
        <v>2050</v>
      </c>
      <c r="N289" t="s">
        <v>46</v>
      </c>
      <c r="O289">
        <v>1</v>
      </c>
    </row>
    <row r="290" spans="1:15" x14ac:dyDescent="0.25">
      <c r="A290">
        <v>164</v>
      </c>
      <c r="B290">
        <v>2005</v>
      </c>
      <c r="C290">
        <v>89</v>
      </c>
      <c r="D290">
        <v>524</v>
      </c>
      <c r="E290">
        <v>0</v>
      </c>
      <c r="F290" t="str" cm="1">
        <f t="array" ref="F290">_xlfn.XLOOKUP(A290&amp;B290,$L$2:$L$739&amp;$M$2:$M$739,$N$2:$N$739)</f>
        <v>Low</v>
      </c>
      <c r="G290">
        <f t="shared" si="4"/>
        <v>0</v>
      </c>
      <c r="H290" t="str">
        <f>_xlfn.XLOOKUP(A290,VE!$A$2:$A$247,VE!$B$2:$B$247)</f>
        <v>Salem_4</v>
      </c>
      <c r="I290" t="str" cm="1">
        <f t="array" ref="I290">_xlfn.IFS(OR(H290=$S$2,H290=$S$13,H290=$S$5),"Other",OR(H290=$S$3,H290=$S$4,H290=$S$7,H290=$S$10,H290=$S$11),"Salem",OR(H290=$S$6),"Keizer",OR(H290=$S$8,H290=$S$9,H290=$S$12),"Marion")</f>
        <v>Salem</v>
      </c>
      <c r="L290">
        <v>164</v>
      </c>
      <c r="M290">
        <v>2005</v>
      </c>
      <c r="N290" t="s">
        <v>45</v>
      </c>
      <c r="O290">
        <v>0</v>
      </c>
    </row>
    <row r="291" spans="1:15" x14ac:dyDescent="0.25">
      <c r="A291">
        <v>164</v>
      </c>
      <c r="B291">
        <v>2021</v>
      </c>
      <c r="C291">
        <v>51</v>
      </c>
      <c r="D291">
        <v>655</v>
      </c>
      <c r="E291">
        <v>0</v>
      </c>
      <c r="F291" t="str" cm="1">
        <f t="array" ref="F291">_xlfn.XLOOKUP(A291&amp;B291,$L$2:$L$739&amp;$M$2:$M$739,$N$2:$N$739)</f>
        <v>High</v>
      </c>
      <c r="G291">
        <f t="shared" si="4"/>
        <v>706</v>
      </c>
      <c r="H291" t="str">
        <f>_xlfn.XLOOKUP(A291,VE!$A$2:$A$247,VE!$B$2:$B$247)</f>
        <v>Salem_4</v>
      </c>
      <c r="I291" t="str" cm="1">
        <f t="array" ref="I291">_xlfn.IFS(OR(H291=$S$2,H291=$S$13,H291=$S$5),"Other",OR(H291=$S$3,H291=$S$4,H291=$S$7,H291=$S$10,H291=$S$11),"Salem",OR(H291=$S$6),"Keizer",OR(H291=$S$8,H291=$S$9,H291=$S$12),"Marion")</f>
        <v>Salem</v>
      </c>
      <c r="L291">
        <v>164</v>
      </c>
      <c r="M291">
        <v>2021</v>
      </c>
      <c r="N291" t="s">
        <v>46</v>
      </c>
      <c r="O291">
        <v>1</v>
      </c>
    </row>
    <row r="292" spans="1:15" x14ac:dyDescent="0.25">
      <c r="A292">
        <v>164</v>
      </c>
      <c r="B292">
        <v>2050</v>
      </c>
      <c r="C292">
        <v>52</v>
      </c>
      <c r="D292">
        <v>658</v>
      </c>
      <c r="E292">
        <v>0</v>
      </c>
      <c r="F292" t="str" cm="1">
        <f t="array" ref="F292">_xlfn.XLOOKUP(A292&amp;B292,$L$2:$L$739&amp;$M$2:$M$739,$N$2:$N$739)</f>
        <v>High</v>
      </c>
      <c r="G292">
        <f t="shared" si="4"/>
        <v>710</v>
      </c>
      <c r="H292" t="str">
        <f>_xlfn.XLOOKUP(A292,VE!$A$2:$A$247,VE!$B$2:$B$247)</f>
        <v>Salem_4</v>
      </c>
      <c r="I292" t="str" cm="1">
        <f t="array" ref="I292">_xlfn.IFS(OR(H292=$S$2,H292=$S$13,H292=$S$5),"Other",OR(H292=$S$3,H292=$S$4,H292=$S$7,H292=$S$10,H292=$S$11),"Salem",OR(H292=$S$6),"Keizer",OR(H292=$S$8,H292=$S$9,H292=$S$12),"Marion")</f>
        <v>Salem</v>
      </c>
      <c r="L292">
        <v>164</v>
      </c>
      <c r="M292">
        <v>2050</v>
      </c>
      <c r="N292" t="s">
        <v>46</v>
      </c>
      <c r="O292">
        <v>1</v>
      </c>
    </row>
    <row r="293" spans="1:15" x14ac:dyDescent="0.25">
      <c r="A293">
        <v>168</v>
      </c>
      <c r="B293">
        <v>2005</v>
      </c>
      <c r="C293">
        <v>299</v>
      </c>
      <c r="D293">
        <v>117</v>
      </c>
      <c r="E293">
        <v>0</v>
      </c>
      <c r="F293" t="str" cm="1">
        <f t="array" ref="F293">_xlfn.XLOOKUP(A293&amp;B293,$L$2:$L$739&amp;$M$2:$M$739,$N$2:$N$739)</f>
        <v>Low</v>
      </c>
      <c r="G293">
        <f t="shared" si="4"/>
        <v>0</v>
      </c>
      <c r="H293" t="str">
        <f>_xlfn.XLOOKUP(A293,VE!$A$2:$A$247,VE!$B$2:$B$247)</f>
        <v>Salem_4</v>
      </c>
      <c r="I293" t="str" cm="1">
        <f t="array" ref="I293">_xlfn.IFS(OR(H293=$S$2,H293=$S$13,H293=$S$5),"Other",OR(H293=$S$3,H293=$S$4,H293=$S$7,H293=$S$10,H293=$S$11),"Salem",OR(H293=$S$6),"Keizer",OR(H293=$S$8,H293=$S$9,H293=$S$12),"Marion")</f>
        <v>Salem</v>
      </c>
      <c r="L293">
        <v>168</v>
      </c>
      <c r="M293">
        <v>2005</v>
      </c>
      <c r="N293" t="s">
        <v>45</v>
      </c>
      <c r="O293">
        <v>0</v>
      </c>
    </row>
    <row r="294" spans="1:15" x14ac:dyDescent="0.25">
      <c r="A294">
        <v>168</v>
      </c>
      <c r="B294">
        <v>2021</v>
      </c>
      <c r="C294">
        <v>302</v>
      </c>
      <c r="D294">
        <v>219</v>
      </c>
      <c r="E294">
        <v>0</v>
      </c>
      <c r="F294" t="str" cm="1">
        <f t="array" ref="F294">_xlfn.XLOOKUP(A294&amp;B294,$L$2:$L$739&amp;$M$2:$M$739,$N$2:$N$739)</f>
        <v>Low</v>
      </c>
      <c r="G294">
        <f t="shared" si="4"/>
        <v>0</v>
      </c>
      <c r="H294" t="str">
        <f>_xlfn.XLOOKUP(A294,VE!$A$2:$A$247,VE!$B$2:$B$247)</f>
        <v>Salem_4</v>
      </c>
      <c r="I294" t="str" cm="1">
        <f t="array" ref="I294">_xlfn.IFS(OR(H294=$S$2,H294=$S$13,H294=$S$5),"Other",OR(H294=$S$3,H294=$S$4,H294=$S$7,H294=$S$10,H294=$S$11),"Salem",OR(H294=$S$6),"Keizer",OR(H294=$S$8,H294=$S$9,H294=$S$12),"Marion")</f>
        <v>Salem</v>
      </c>
      <c r="L294">
        <v>168</v>
      </c>
      <c r="M294">
        <v>2021</v>
      </c>
      <c r="N294" t="s">
        <v>45</v>
      </c>
      <c r="O294">
        <v>0</v>
      </c>
    </row>
    <row r="295" spans="1:15" x14ac:dyDescent="0.25">
      <c r="A295">
        <v>168</v>
      </c>
      <c r="B295">
        <v>2050</v>
      </c>
      <c r="C295">
        <v>361</v>
      </c>
      <c r="D295">
        <v>273</v>
      </c>
      <c r="E295">
        <v>0</v>
      </c>
      <c r="F295" t="str" cm="1">
        <f t="array" ref="F295">_xlfn.XLOOKUP(A295&amp;B295,$L$2:$L$739&amp;$M$2:$M$739,$N$2:$N$739)</f>
        <v>Low</v>
      </c>
      <c r="G295">
        <f t="shared" si="4"/>
        <v>0</v>
      </c>
      <c r="H295" t="str">
        <f>_xlfn.XLOOKUP(A295,VE!$A$2:$A$247,VE!$B$2:$B$247)</f>
        <v>Salem_4</v>
      </c>
      <c r="I295" t="str" cm="1">
        <f t="array" ref="I295">_xlfn.IFS(OR(H295=$S$2,H295=$S$13,H295=$S$5),"Other",OR(H295=$S$3,H295=$S$4,H295=$S$7,H295=$S$10,H295=$S$11),"Salem",OR(H295=$S$6),"Keizer",OR(H295=$S$8,H295=$S$9,H295=$S$12),"Marion")</f>
        <v>Salem</v>
      </c>
      <c r="L295">
        <v>168</v>
      </c>
      <c r="M295">
        <v>2050</v>
      </c>
      <c r="N295" t="s">
        <v>45</v>
      </c>
      <c r="O295">
        <v>0</v>
      </c>
    </row>
    <row r="296" spans="1:15" x14ac:dyDescent="0.25">
      <c r="A296">
        <v>169</v>
      </c>
      <c r="B296">
        <v>2005</v>
      </c>
      <c r="C296">
        <v>3</v>
      </c>
      <c r="D296">
        <v>1</v>
      </c>
      <c r="E296">
        <v>0</v>
      </c>
      <c r="F296" t="str" cm="1">
        <f t="array" ref="F296">_xlfn.XLOOKUP(A296&amp;B296,$L$2:$L$739&amp;$M$2:$M$739,$N$2:$N$739)</f>
        <v>Low</v>
      </c>
      <c r="G296">
        <f t="shared" si="4"/>
        <v>0</v>
      </c>
      <c r="H296" t="str">
        <f>_xlfn.XLOOKUP(A296,VE!$A$2:$A$247,VE!$B$2:$B$247)</f>
        <v>Marion_Outside_UGB</v>
      </c>
      <c r="I296" t="str" cm="1">
        <f t="array" ref="I296">_xlfn.IFS(OR(H296=$S$2,H296=$S$13,H296=$S$5),"Other",OR(H296=$S$3,H296=$S$4,H296=$S$7,H296=$S$10,H296=$S$11),"Salem",OR(H296=$S$6),"Keizer",OR(H296=$S$8,H296=$S$9,H296=$S$12),"Marion")</f>
        <v>Other</v>
      </c>
      <c r="L296">
        <v>169</v>
      </c>
      <c r="M296">
        <v>2005</v>
      </c>
      <c r="N296" t="s">
        <v>45</v>
      </c>
      <c r="O296">
        <v>0</v>
      </c>
    </row>
    <row r="297" spans="1:15" x14ac:dyDescent="0.25">
      <c r="A297">
        <v>169</v>
      </c>
      <c r="B297">
        <v>2021</v>
      </c>
      <c r="C297">
        <v>9</v>
      </c>
      <c r="D297">
        <v>0</v>
      </c>
      <c r="E297">
        <v>0</v>
      </c>
      <c r="F297" t="str" cm="1">
        <f t="array" ref="F297">_xlfn.XLOOKUP(A297&amp;B297,$L$2:$L$739&amp;$M$2:$M$739,$N$2:$N$739)</f>
        <v>Low</v>
      </c>
      <c r="G297">
        <f t="shared" si="4"/>
        <v>0</v>
      </c>
      <c r="H297" t="str">
        <f>_xlfn.XLOOKUP(A297,VE!$A$2:$A$247,VE!$B$2:$B$247)</f>
        <v>Marion_Outside_UGB</v>
      </c>
      <c r="I297" t="str" cm="1">
        <f t="array" ref="I297">_xlfn.IFS(OR(H297=$S$2,H297=$S$13,H297=$S$5),"Other",OR(H297=$S$3,H297=$S$4,H297=$S$7,H297=$S$10,H297=$S$11),"Salem",OR(H297=$S$6),"Keizer",OR(H297=$S$8,H297=$S$9,H297=$S$12),"Marion")</f>
        <v>Other</v>
      </c>
      <c r="L297">
        <v>169</v>
      </c>
      <c r="M297">
        <v>2021</v>
      </c>
      <c r="N297" t="s">
        <v>45</v>
      </c>
      <c r="O297">
        <v>0</v>
      </c>
    </row>
    <row r="298" spans="1:15" x14ac:dyDescent="0.25">
      <c r="A298">
        <v>169</v>
      </c>
      <c r="B298">
        <v>2050</v>
      </c>
      <c r="C298">
        <v>5</v>
      </c>
      <c r="D298">
        <v>0</v>
      </c>
      <c r="E298">
        <v>0</v>
      </c>
      <c r="F298" t="str" cm="1">
        <f t="array" ref="F298">_xlfn.XLOOKUP(A298&amp;B298,$L$2:$L$739&amp;$M$2:$M$739,$N$2:$N$739)</f>
        <v>Low</v>
      </c>
      <c r="G298">
        <f t="shared" si="4"/>
        <v>0</v>
      </c>
      <c r="H298" t="str">
        <f>_xlfn.XLOOKUP(A298,VE!$A$2:$A$247,VE!$B$2:$B$247)</f>
        <v>Marion_Outside_UGB</v>
      </c>
      <c r="I298" t="str" cm="1">
        <f t="array" ref="I298">_xlfn.IFS(OR(H298=$S$2,H298=$S$13,H298=$S$5),"Other",OR(H298=$S$3,H298=$S$4,H298=$S$7,H298=$S$10,H298=$S$11),"Salem",OR(H298=$S$6),"Keizer",OR(H298=$S$8,H298=$S$9,H298=$S$12),"Marion")</f>
        <v>Other</v>
      </c>
      <c r="L298">
        <v>169</v>
      </c>
      <c r="M298">
        <v>2050</v>
      </c>
      <c r="N298" t="s">
        <v>45</v>
      </c>
      <c r="O298">
        <v>0</v>
      </c>
    </row>
    <row r="299" spans="1:15" x14ac:dyDescent="0.25">
      <c r="A299">
        <v>170</v>
      </c>
      <c r="B299">
        <v>2005</v>
      </c>
      <c r="C299">
        <v>123</v>
      </c>
      <c r="D299">
        <v>33</v>
      </c>
      <c r="E299">
        <v>0</v>
      </c>
      <c r="F299" t="str" cm="1">
        <f t="array" ref="F299">_xlfn.XLOOKUP(A299&amp;B299,$L$2:$L$739&amp;$M$2:$M$739,$N$2:$N$739)</f>
        <v>Low</v>
      </c>
      <c r="G299">
        <f t="shared" si="4"/>
        <v>0</v>
      </c>
      <c r="H299" t="str">
        <f>_xlfn.XLOOKUP(A299,VE!$A$2:$A$247,VE!$B$2:$B$247)</f>
        <v>Marion_Outside_UGB</v>
      </c>
      <c r="I299" t="str" cm="1">
        <f t="array" ref="I299">_xlfn.IFS(OR(H299=$S$2,H299=$S$13,H299=$S$5),"Other",OR(H299=$S$3,H299=$S$4,H299=$S$7,H299=$S$10,H299=$S$11),"Salem",OR(H299=$S$6),"Keizer",OR(H299=$S$8,H299=$S$9,H299=$S$12),"Marion")</f>
        <v>Other</v>
      </c>
      <c r="L299">
        <v>170</v>
      </c>
      <c r="M299">
        <v>2005</v>
      </c>
      <c r="N299" t="s">
        <v>45</v>
      </c>
      <c r="O299">
        <v>0</v>
      </c>
    </row>
    <row r="300" spans="1:15" x14ac:dyDescent="0.25">
      <c r="A300">
        <v>170</v>
      </c>
      <c r="B300">
        <v>2021</v>
      </c>
      <c r="C300">
        <v>123</v>
      </c>
      <c r="D300">
        <v>33</v>
      </c>
      <c r="E300">
        <v>0</v>
      </c>
      <c r="F300" t="str" cm="1">
        <f t="array" ref="F300">_xlfn.XLOOKUP(A300&amp;B300,$L$2:$L$739&amp;$M$2:$M$739,$N$2:$N$739)</f>
        <v>Low</v>
      </c>
      <c r="G300">
        <f t="shared" si="4"/>
        <v>0</v>
      </c>
      <c r="H300" t="str">
        <f>_xlfn.XLOOKUP(A300,VE!$A$2:$A$247,VE!$B$2:$B$247)</f>
        <v>Marion_Outside_UGB</v>
      </c>
      <c r="I300" t="str" cm="1">
        <f t="array" ref="I300">_xlfn.IFS(OR(H300=$S$2,H300=$S$13,H300=$S$5),"Other",OR(H300=$S$3,H300=$S$4,H300=$S$7,H300=$S$10,H300=$S$11),"Salem",OR(H300=$S$6),"Keizer",OR(H300=$S$8,H300=$S$9,H300=$S$12),"Marion")</f>
        <v>Other</v>
      </c>
      <c r="L300">
        <v>170</v>
      </c>
      <c r="M300">
        <v>2021</v>
      </c>
      <c r="N300" t="s">
        <v>45</v>
      </c>
      <c r="O300">
        <v>0</v>
      </c>
    </row>
    <row r="301" spans="1:15" x14ac:dyDescent="0.25">
      <c r="A301">
        <v>170</v>
      </c>
      <c r="B301">
        <v>2050</v>
      </c>
      <c r="C301">
        <v>125</v>
      </c>
      <c r="D301">
        <v>33</v>
      </c>
      <c r="E301">
        <v>0</v>
      </c>
      <c r="F301" t="str" cm="1">
        <f t="array" ref="F301">_xlfn.XLOOKUP(A301&amp;B301,$L$2:$L$739&amp;$M$2:$M$739,$N$2:$N$739)</f>
        <v>Low</v>
      </c>
      <c r="G301">
        <f t="shared" si="4"/>
        <v>0</v>
      </c>
      <c r="H301" t="str">
        <f>_xlfn.XLOOKUP(A301,VE!$A$2:$A$247,VE!$B$2:$B$247)</f>
        <v>Marion_Outside_UGB</v>
      </c>
      <c r="I301" t="str" cm="1">
        <f t="array" ref="I301">_xlfn.IFS(OR(H301=$S$2,H301=$S$13,H301=$S$5),"Other",OR(H301=$S$3,H301=$S$4,H301=$S$7,H301=$S$10,H301=$S$11),"Salem",OR(H301=$S$6),"Keizer",OR(H301=$S$8,H301=$S$9,H301=$S$12),"Marion")</f>
        <v>Other</v>
      </c>
      <c r="L301">
        <v>170</v>
      </c>
      <c r="M301">
        <v>2050</v>
      </c>
      <c r="N301" t="s">
        <v>45</v>
      </c>
      <c r="O301">
        <v>0</v>
      </c>
    </row>
    <row r="302" spans="1:15" x14ac:dyDescent="0.25">
      <c r="A302">
        <v>171</v>
      </c>
      <c r="B302">
        <v>2005</v>
      </c>
      <c r="C302">
        <v>61</v>
      </c>
      <c r="D302">
        <v>0</v>
      </c>
      <c r="E302">
        <v>0</v>
      </c>
      <c r="F302" t="str" cm="1">
        <f t="array" ref="F302">_xlfn.XLOOKUP(A302&amp;B302,$L$2:$L$739&amp;$M$2:$M$739,$N$2:$N$739)</f>
        <v>Low</v>
      </c>
      <c r="G302">
        <f t="shared" si="4"/>
        <v>0</v>
      </c>
      <c r="H302" t="str">
        <f>_xlfn.XLOOKUP(A302,VE!$A$2:$A$247,VE!$B$2:$B$247)</f>
        <v>Marion_Outside_UGB</v>
      </c>
      <c r="I302" t="str" cm="1">
        <f t="array" ref="I302">_xlfn.IFS(OR(H302=$S$2,H302=$S$13,H302=$S$5),"Other",OR(H302=$S$3,H302=$S$4,H302=$S$7,H302=$S$10,H302=$S$11),"Salem",OR(H302=$S$6),"Keizer",OR(H302=$S$8,H302=$S$9,H302=$S$12),"Marion")</f>
        <v>Other</v>
      </c>
      <c r="L302">
        <v>171</v>
      </c>
      <c r="M302">
        <v>2005</v>
      </c>
      <c r="N302" t="s">
        <v>45</v>
      </c>
      <c r="O302">
        <v>0</v>
      </c>
    </row>
    <row r="303" spans="1:15" x14ac:dyDescent="0.25">
      <c r="A303">
        <v>171</v>
      </c>
      <c r="B303">
        <v>2021</v>
      </c>
      <c r="C303">
        <v>61</v>
      </c>
      <c r="D303">
        <v>0</v>
      </c>
      <c r="E303">
        <v>0</v>
      </c>
      <c r="F303" t="str" cm="1">
        <f t="array" ref="F303">_xlfn.XLOOKUP(A303&amp;B303,$L$2:$L$739&amp;$M$2:$M$739,$N$2:$N$739)</f>
        <v>Low</v>
      </c>
      <c r="G303">
        <f t="shared" si="4"/>
        <v>0</v>
      </c>
      <c r="H303" t="str">
        <f>_xlfn.XLOOKUP(A303,VE!$A$2:$A$247,VE!$B$2:$B$247)</f>
        <v>Marion_Outside_UGB</v>
      </c>
      <c r="I303" t="str" cm="1">
        <f t="array" ref="I303">_xlfn.IFS(OR(H303=$S$2,H303=$S$13,H303=$S$5),"Other",OR(H303=$S$3,H303=$S$4,H303=$S$7,H303=$S$10,H303=$S$11),"Salem",OR(H303=$S$6),"Keizer",OR(H303=$S$8,H303=$S$9,H303=$S$12),"Marion")</f>
        <v>Other</v>
      </c>
      <c r="L303">
        <v>171</v>
      </c>
      <c r="M303">
        <v>2021</v>
      </c>
      <c r="N303" t="s">
        <v>45</v>
      </c>
      <c r="O303">
        <v>0</v>
      </c>
    </row>
    <row r="304" spans="1:15" x14ac:dyDescent="0.25">
      <c r="A304">
        <v>171</v>
      </c>
      <c r="B304">
        <v>2050</v>
      </c>
      <c r="C304">
        <v>69</v>
      </c>
      <c r="D304">
        <v>0</v>
      </c>
      <c r="E304">
        <v>0</v>
      </c>
      <c r="F304" t="str" cm="1">
        <f t="array" ref="F304">_xlfn.XLOOKUP(A304&amp;B304,$L$2:$L$739&amp;$M$2:$M$739,$N$2:$N$739)</f>
        <v>Low</v>
      </c>
      <c r="G304">
        <f t="shared" si="4"/>
        <v>0</v>
      </c>
      <c r="H304" t="str">
        <f>_xlfn.XLOOKUP(A304,VE!$A$2:$A$247,VE!$B$2:$B$247)</f>
        <v>Marion_Outside_UGB</v>
      </c>
      <c r="I304" t="str" cm="1">
        <f t="array" ref="I304">_xlfn.IFS(OR(H304=$S$2,H304=$S$13,H304=$S$5),"Other",OR(H304=$S$3,H304=$S$4,H304=$S$7,H304=$S$10,H304=$S$11),"Salem",OR(H304=$S$6),"Keizer",OR(H304=$S$8,H304=$S$9,H304=$S$12),"Marion")</f>
        <v>Other</v>
      </c>
      <c r="L304">
        <v>171</v>
      </c>
      <c r="M304">
        <v>2050</v>
      </c>
      <c r="N304" t="s">
        <v>45</v>
      </c>
      <c r="O304">
        <v>0</v>
      </c>
    </row>
    <row r="305" spans="1:15" x14ac:dyDescent="0.25">
      <c r="A305">
        <v>172</v>
      </c>
      <c r="B305">
        <v>2005</v>
      </c>
      <c r="C305">
        <v>921</v>
      </c>
      <c r="D305">
        <v>165</v>
      </c>
      <c r="E305">
        <v>0</v>
      </c>
      <c r="F305" t="str" cm="1">
        <f t="array" ref="F305">_xlfn.XLOOKUP(A305&amp;B305,$L$2:$L$739&amp;$M$2:$M$739,$N$2:$N$739)</f>
        <v>Low</v>
      </c>
      <c r="G305">
        <f t="shared" si="4"/>
        <v>0</v>
      </c>
      <c r="H305" t="str">
        <f>_xlfn.XLOOKUP(A305,VE!$A$2:$A$247,VE!$B$2:$B$247)</f>
        <v>Salem_4</v>
      </c>
      <c r="I305" t="str" cm="1">
        <f t="array" ref="I305">_xlfn.IFS(OR(H305=$S$2,H305=$S$13,H305=$S$5),"Other",OR(H305=$S$3,H305=$S$4,H305=$S$7,H305=$S$10,H305=$S$11),"Salem",OR(H305=$S$6),"Keizer",OR(H305=$S$8,H305=$S$9,H305=$S$12),"Marion")</f>
        <v>Salem</v>
      </c>
      <c r="L305">
        <v>172</v>
      </c>
      <c r="M305">
        <v>2005</v>
      </c>
      <c r="N305" t="s">
        <v>45</v>
      </c>
      <c r="O305">
        <v>0</v>
      </c>
    </row>
    <row r="306" spans="1:15" x14ac:dyDescent="0.25">
      <c r="A306">
        <v>172</v>
      </c>
      <c r="B306">
        <v>2021</v>
      </c>
      <c r="C306">
        <v>969</v>
      </c>
      <c r="D306">
        <v>184</v>
      </c>
      <c r="E306">
        <v>0</v>
      </c>
      <c r="F306" t="str" cm="1">
        <f t="array" ref="F306">_xlfn.XLOOKUP(A306&amp;B306,$L$2:$L$739&amp;$M$2:$M$739,$N$2:$N$739)</f>
        <v>Low</v>
      </c>
      <c r="G306">
        <f t="shared" si="4"/>
        <v>0</v>
      </c>
      <c r="H306" t="str">
        <f>_xlfn.XLOOKUP(A306,VE!$A$2:$A$247,VE!$B$2:$B$247)</f>
        <v>Salem_4</v>
      </c>
      <c r="I306" t="str" cm="1">
        <f t="array" ref="I306">_xlfn.IFS(OR(H306=$S$2,H306=$S$13,H306=$S$5),"Other",OR(H306=$S$3,H306=$S$4,H306=$S$7,H306=$S$10,H306=$S$11),"Salem",OR(H306=$S$6),"Keizer",OR(H306=$S$8,H306=$S$9,H306=$S$12),"Marion")</f>
        <v>Salem</v>
      </c>
      <c r="L306">
        <v>172</v>
      </c>
      <c r="M306">
        <v>2021</v>
      </c>
      <c r="N306" t="s">
        <v>45</v>
      </c>
      <c r="O306">
        <v>0</v>
      </c>
    </row>
    <row r="307" spans="1:15" x14ac:dyDescent="0.25">
      <c r="A307">
        <v>172</v>
      </c>
      <c r="B307">
        <v>2050</v>
      </c>
      <c r="C307">
        <v>1042</v>
      </c>
      <c r="D307">
        <v>184</v>
      </c>
      <c r="E307">
        <v>0</v>
      </c>
      <c r="F307" t="str" cm="1">
        <f t="array" ref="F307">_xlfn.XLOOKUP(A307&amp;B307,$L$2:$L$739&amp;$M$2:$M$739,$N$2:$N$739)</f>
        <v>Low</v>
      </c>
      <c r="G307">
        <f t="shared" si="4"/>
        <v>0</v>
      </c>
      <c r="H307" t="str">
        <f>_xlfn.XLOOKUP(A307,VE!$A$2:$A$247,VE!$B$2:$B$247)</f>
        <v>Salem_4</v>
      </c>
      <c r="I307" t="str" cm="1">
        <f t="array" ref="I307">_xlfn.IFS(OR(H307=$S$2,H307=$S$13,H307=$S$5),"Other",OR(H307=$S$3,H307=$S$4,H307=$S$7,H307=$S$10,H307=$S$11),"Salem",OR(H307=$S$6),"Keizer",OR(H307=$S$8,H307=$S$9,H307=$S$12),"Marion")</f>
        <v>Salem</v>
      </c>
      <c r="L307">
        <v>172</v>
      </c>
      <c r="M307">
        <v>2050</v>
      </c>
      <c r="N307" t="s">
        <v>45</v>
      </c>
      <c r="O307">
        <v>0</v>
      </c>
    </row>
    <row r="308" spans="1:15" x14ac:dyDescent="0.25">
      <c r="A308">
        <v>173</v>
      </c>
      <c r="B308">
        <v>2005</v>
      </c>
      <c r="C308">
        <v>425</v>
      </c>
      <c r="D308">
        <v>709</v>
      </c>
      <c r="E308">
        <v>0</v>
      </c>
      <c r="F308" t="str" cm="1">
        <f t="array" ref="F308">_xlfn.XLOOKUP(A308&amp;B308,$L$2:$L$739&amp;$M$2:$M$739,$N$2:$N$739)</f>
        <v>Low</v>
      </c>
      <c r="G308">
        <f t="shared" si="4"/>
        <v>0</v>
      </c>
      <c r="H308" t="str">
        <f>_xlfn.XLOOKUP(A308,VE!$A$2:$A$247,VE!$B$2:$B$247)</f>
        <v>Salem_4</v>
      </c>
      <c r="I308" t="str" cm="1">
        <f t="array" ref="I308">_xlfn.IFS(OR(H308=$S$2,H308=$S$13,H308=$S$5),"Other",OR(H308=$S$3,H308=$S$4,H308=$S$7,H308=$S$10,H308=$S$11),"Salem",OR(H308=$S$6),"Keizer",OR(H308=$S$8,H308=$S$9,H308=$S$12),"Marion")</f>
        <v>Salem</v>
      </c>
      <c r="L308">
        <v>173</v>
      </c>
      <c r="M308">
        <v>2005</v>
      </c>
      <c r="N308" t="s">
        <v>45</v>
      </c>
      <c r="O308">
        <v>0</v>
      </c>
    </row>
    <row r="309" spans="1:15" x14ac:dyDescent="0.25">
      <c r="A309">
        <v>173</v>
      </c>
      <c r="B309">
        <v>2021</v>
      </c>
      <c r="C309">
        <v>429</v>
      </c>
      <c r="D309">
        <v>758</v>
      </c>
      <c r="E309">
        <v>0</v>
      </c>
      <c r="F309" t="str" cm="1">
        <f t="array" ref="F309">_xlfn.XLOOKUP(A309&amp;B309,$L$2:$L$739&amp;$M$2:$M$739,$N$2:$N$739)</f>
        <v>High</v>
      </c>
      <c r="G309">
        <f t="shared" si="4"/>
        <v>1187</v>
      </c>
      <c r="H309" t="str">
        <f>_xlfn.XLOOKUP(A309,VE!$A$2:$A$247,VE!$B$2:$B$247)</f>
        <v>Salem_4</v>
      </c>
      <c r="I309" t="str" cm="1">
        <f t="array" ref="I309">_xlfn.IFS(OR(H309=$S$2,H309=$S$13,H309=$S$5),"Other",OR(H309=$S$3,H309=$S$4,H309=$S$7,H309=$S$10,H309=$S$11),"Salem",OR(H309=$S$6),"Keizer",OR(H309=$S$8,H309=$S$9,H309=$S$12),"Marion")</f>
        <v>Salem</v>
      </c>
      <c r="L309">
        <v>173</v>
      </c>
      <c r="M309">
        <v>2021</v>
      </c>
      <c r="N309" t="s">
        <v>46</v>
      </c>
      <c r="O309">
        <v>1</v>
      </c>
    </row>
    <row r="310" spans="1:15" x14ac:dyDescent="0.25">
      <c r="A310">
        <v>173</v>
      </c>
      <c r="B310">
        <v>2050</v>
      </c>
      <c r="C310">
        <v>421</v>
      </c>
      <c r="D310">
        <v>1170</v>
      </c>
      <c r="E310">
        <v>0</v>
      </c>
      <c r="F310" t="str" cm="1">
        <f t="array" ref="F310">_xlfn.XLOOKUP(A310&amp;B310,$L$2:$L$739&amp;$M$2:$M$739,$N$2:$N$739)</f>
        <v>High</v>
      </c>
      <c r="G310">
        <f t="shared" si="4"/>
        <v>1591</v>
      </c>
      <c r="H310" t="str">
        <f>_xlfn.XLOOKUP(A310,VE!$A$2:$A$247,VE!$B$2:$B$247)</f>
        <v>Salem_4</v>
      </c>
      <c r="I310" t="str" cm="1">
        <f t="array" ref="I310">_xlfn.IFS(OR(H310=$S$2,H310=$S$13,H310=$S$5),"Other",OR(H310=$S$3,H310=$S$4,H310=$S$7,H310=$S$10,H310=$S$11),"Salem",OR(H310=$S$6),"Keizer",OR(H310=$S$8,H310=$S$9,H310=$S$12),"Marion")</f>
        <v>Salem</v>
      </c>
      <c r="L310">
        <v>173</v>
      </c>
      <c r="M310">
        <v>2050</v>
      </c>
      <c r="N310" t="s">
        <v>46</v>
      </c>
      <c r="O310">
        <v>1</v>
      </c>
    </row>
    <row r="311" spans="1:15" x14ac:dyDescent="0.25">
      <c r="A311">
        <v>180</v>
      </c>
      <c r="B311">
        <v>2005</v>
      </c>
      <c r="C311">
        <v>774</v>
      </c>
      <c r="D311">
        <v>623</v>
      </c>
      <c r="E311">
        <v>0</v>
      </c>
      <c r="F311" t="str" cm="1">
        <f t="array" ref="F311">_xlfn.XLOOKUP(A311&amp;B311,$L$2:$L$739&amp;$M$2:$M$739,$N$2:$N$739)</f>
        <v>Low</v>
      </c>
      <c r="G311">
        <f t="shared" si="4"/>
        <v>0</v>
      </c>
      <c r="H311" t="str">
        <f>_xlfn.XLOOKUP(A311,VE!$A$2:$A$247,VE!$B$2:$B$247)</f>
        <v>Marion_Inside_UGB_2</v>
      </c>
      <c r="I311" t="str" cm="1">
        <f t="array" ref="I311">_xlfn.IFS(OR(H311=$S$2,H311=$S$13,H311=$S$5),"Other",OR(H311=$S$3,H311=$S$4,H311=$S$7,H311=$S$10,H311=$S$11),"Salem",OR(H311=$S$6),"Keizer",OR(H311=$S$8,H311=$S$9,H311=$S$12),"Marion")</f>
        <v>Marion</v>
      </c>
      <c r="L311">
        <v>180</v>
      </c>
      <c r="M311">
        <v>2005</v>
      </c>
      <c r="N311" t="s">
        <v>45</v>
      </c>
      <c r="O311">
        <v>0</v>
      </c>
    </row>
    <row r="312" spans="1:15" x14ac:dyDescent="0.25">
      <c r="A312">
        <v>180</v>
      </c>
      <c r="B312">
        <v>2021</v>
      </c>
      <c r="C312">
        <v>924</v>
      </c>
      <c r="D312">
        <v>550</v>
      </c>
      <c r="E312">
        <v>0</v>
      </c>
      <c r="F312" t="str" cm="1">
        <f t="array" ref="F312">_xlfn.XLOOKUP(A312&amp;B312,$L$2:$L$739&amp;$M$2:$M$739,$N$2:$N$739)</f>
        <v>High</v>
      </c>
      <c r="G312">
        <f t="shared" si="4"/>
        <v>1474</v>
      </c>
      <c r="H312" t="str">
        <f>_xlfn.XLOOKUP(A312,VE!$A$2:$A$247,VE!$B$2:$B$247)</f>
        <v>Marion_Inside_UGB_2</v>
      </c>
      <c r="I312" t="str" cm="1">
        <f t="array" ref="I312">_xlfn.IFS(OR(H312=$S$2,H312=$S$13,H312=$S$5),"Other",OR(H312=$S$3,H312=$S$4,H312=$S$7,H312=$S$10,H312=$S$11),"Salem",OR(H312=$S$6),"Keizer",OR(H312=$S$8,H312=$S$9,H312=$S$12),"Marion")</f>
        <v>Marion</v>
      </c>
      <c r="L312">
        <v>180</v>
      </c>
      <c r="M312">
        <v>2021</v>
      </c>
      <c r="N312" t="s">
        <v>46</v>
      </c>
      <c r="O312">
        <v>1</v>
      </c>
    </row>
    <row r="313" spans="1:15" x14ac:dyDescent="0.25">
      <c r="A313">
        <v>180</v>
      </c>
      <c r="B313">
        <v>2050</v>
      </c>
      <c r="C313">
        <v>1134</v>
      </c>
      <c r="D313">
        <v>614</v>
      </c>
      <c r="E313">
        <v>0</v>
      </c>
      <c r="F313" t="str" cm="1">
        <f t="array" ref="F313">_xlfn.XLOOKUP(A313&amp;B313,$L$2:$L$739&amp;$M$2:$M$739,$N$2:$N$739)</f>
        <v>High</v>
      </c>
      <c r="G313">
        <f t="shared" si="4"/>
        <v>1748</v>
      </c>
      <c r="H313" t="str">
        <f>_xlfn.XLOOKUP(A313,VE!$A$2:$A$247,VE!$B$2:$B$247)</f>
        <v>Marion_Inside_UGB_2</v>
      </c>
      <c r="I313" t="str" cm="1">
        <f t="array" ref="I313">_xlfn.IFS(OR(H313=$S$2,H313=$S$13,H313=$S$5),"Other",OR(H313=$S$3,H313=$S$4,H313=$S$7,H313=$S$10,H313=$S$11),"Salem",OR(H313=$S$6),"Keizer",OR(H313=$S$8,H313=$S$9,H313=$S$12),"Marion")</f>
        <v>Marion</v>
      </c>
      <c r="L313">
        <v>180</v>
      </c>
      <c r="M313">
        <v>2050</v>
      </c>
      <c r="N313" t="s">
        <v>46</v>
      </c>
      <c r="O313">
        <v>1</v>
      </c>
    </row>
    <row r="314" spans="1:15" x14ac:dyDescent="0.25">
      <c r="A314">
        <v>185</v>
      </c>
      <c r="B314">
        <v>2005</v>
      </c>
      <c r="C314">
        <v>207</v>
      </c>
      <c r="D314">
        <v>6</v>
      </c>
      <c r="E314">
        <v>0</v>
      </c>
      <c r="F314" t="str" cm="1">
        <f t="array" ref="F314">_xlfn.XLOOKUP(A314&amp;B314,$L$2:$L$739&amp;$M$2:$M$739,$N$2:$N$739)</f>
        <v>Low</v>
      </c>
      <c r="G314">
        <f t="shared" si="4"/>
        <v>0</v>
      </c>
      <c r="H314" t="str">
        <f>_xlfn.XLOOKUP(A314,VE!$A$2:$A$247,VE!$B$2:$B$247)</f>
        <v>Marion_Outside_UGB</v>
      </c>
      <c r="I314" t="str" cm="1">
        <f t="array" ref="I314">_xlfn.IFS(OR(H314=$S$2,H314=$S$13,H314=$S$5),"Other",OR(H314=$S$3,H314=$S$4,H314=$S$7,H314=$S$10,H314=$S$11),"Salem",OR(H314=$S$6),"Keizer",OR(H314=$S$8,H314=$S$9,H314=$S$12),"Marion")</f>
        <v>Other</v>
      </c>
      <c r="L314">
        <v>185</v>
      </c>
      <c r="M314">
        <v>2005</v>
      </c>
      <c r="N314" t="s">
        <v>45</v>
      </c>
      <c r="O314">
        <v>0</v>
      </c>
    </row>
    <row r="315" spans="1:15" x14ac:dyDescent="0.25">
      <c r="A315">
        <v>185</v>
      </c>
      <c r="B315">
        <v>2021</v>
      </c>
      <c r="C315">
        <v>207</v>
      </c>
      <c r="D315">
        <v>6</v>
      </c>
      <c r="E315">
        <v>0</v>
      </c>
      <c r="F315" t="str" cm="1">
        <f t="array" ref="F315">_xlfn.XLOOKUP(A315&amp;B315,$L$2:$L$739&amp;$M$2:$M$739,$N$2:$N$739)</f>
        <v>Low</v>
      </c>
      <c r="G315">
        <f t="shared" si="4"/>
        <v>0</v>
      </c>
      <c r="H315" t="str">
        <f>_xlfn.XLOOKUP(A315,VE!$A$2:$A$247,VE!$B$2:$B$247)</f>
        <v>Marion_Outside_UGB</v>
      </c>
      <c r="I315" t="str" cm="1">
        <f t="array" ref="I315">_xlfn.IFS(OR(H315=$S$2,H315=$S$13,H315=$S$5),"Other",OR(H315=$S$3,H315=$S$4,H315=$S$7,H315=$S$10,H315=$S$11),"Salem",OR(H315=$S$6),"Keizer",OR(H315=$S$8,H315=$S$9,H315=$S$12),"Marion")</f>
        <v>Other</v>
      </c>
      <c r="L315">
        <v>185</v>
      </c>
      <c r="M315">
        <v>2021</v>
      </c>
      <c r="N315" t="s">
        <v>45</v>
      </c>
      <c r="O315">
        <v>0</v>
      </c>
    </row>
    <row r="316" spans="1:15" x14ac:dyDescent="0.25">
      <c r="A316">
        <v>185</v>
      </c>
      <c r="B316">
        <v>2050</v>
      </c>
      <c r="C316">
        <v>246</v>
      </c>
      <c r="D316">
        <v>5</v>
      </c>
      <c r="E316">
        <v>0</v>
      </c>
      <c r="F316" t="str" cm="1">
        <f t="array" ref="F316">_xlfn.XLOOKUP(A316&amp;B316,$L$2:$L$739&amp;$M$2:$M$739,$N$2:$N$739)</f>
        <v>Low</v>
      </c>
      <c r="G316">
        <f t="shared" si="4"/>
        <v>0</v>
      </c>
      <c r="H316" t="str">
        <f>_xlfn.XLOOKUP(A316,VE!$A$2:$A$247,VE!$B$2:$B$247)</f>
        <v>Marion_Outside_UGB</v>
      </c>
      <c r="I316" t="str" cm="1">
        <f t="array" ref="I316">_xlfn.IFS(OR(H316=$S$2,H316=$S$13,H316=$S$5),"Other",OR(H316=$S$3,H316=$S$4,H316=$S$7,H316=$S$10,H316=$S$11),"Salem",OR(H316=$S$6),"Keizer",OR(H316=$S$8,H316=$S$9,H316=$S$12),"Marion")</f>
        <v>Other</v>
      </c>
      <c r="L316">
        <v>185</v>
      </c>
      <c r="M316">
        <v>2050</v>
      </c>
      <c r="N316" t="s">
        <v>45</v>
      </c>
      <c r="O316">
        <v>0</v>
      </c>
    </row>
    <row r="317" spans="1:15" x14ac:dyDescent="0.25">
      <c r="A317">
        <v>186</v>
      </c>
      <c r="B317">
        <v>2005</v>
      </c>
      <c r="C317">
        <v>1</v>
      </c>
      <c r="D317">
        <v>0</v>
      </c>
      <c r="E317">
        <v>0</v>
      </c>
      <c r="F317" t="str" cm="1">
        <f t="array" ref="F317">_xlfn.XLOOKUP(A317&amp;B317,$L$2:$L$739&amp;$M$2:$M$739,$N$2:$N$739)</f>
        <v>Low</v>
      </c>
      <c r="G317">
        <f t="shared" si="4"/>
        <v>0</v>
      </c>
      <c r="H317" t="str">
        <f>_xlfn.XLOOKUP(A317,VE!$A$2:$A$247,VE!$B$2:$B$247)</f>
        <v>Marion_Outside_UGB</v>
      </c>
      <c r="I317" t="str" cm="1">
        <f t="array" ref="I317">_xlfn.IFS(OR(H317=$S$2,H317=$S$13,H317=$S$5),"Other",OR(H317=$S$3,H317=$S$4,H317=$S$7,H317=$S$10,H317=$S$11),"Salem",OR(H317=$S$6),"Keizer",OR(H317=$S$8,H317=$S$9,H317=$S$12),"Marion")</f>
        <v>Other</v>
      </c>
      <c r="L317">
        <v>186</v>
      </c>
      <c r="M317">
        <v>2005</v>
      </c>
      <c r="N317" t="s">
        <v>45</v>
      </c>
      <c r="O317">
        <v>0</v>
      </c>
    </row>
    <row r="318" spans="1:15" x14ac:dyDescent="0.25">
      <c r="A318">
        <v>186</v>
      </c>
      <c r="B318">
        <v>2021</v>
      </c>
      <c r="C318">
        <v>1</v>
      </c>
      <c r="D318">
        <v>0</v>
      </c>
      <c r="E318">
        <v>0</v>
      </c>
      <c r="F318" t="str" cm="1">
        <f t="array" ref="F318">_xlfn.XLOOKUP(A318&amp;B318,$L$2:$L$739&amp;$M$2:$M$739,$N$2:$N$739)</f>
        <v>Low</v>
      </c>
      <c r="G318">
        <f t="shared" si="4"/>
        <v>0</v>
      </c>
      <c r="H318" t="str">
        <f>_xlfn.XLOOKUP(A318,VE!$A$2:$A$247,VE!$B$2:$B$247)</f>
        <v>Marion_Outside_UGB</v>
      </c>
      <c r="I318" t="str" cm="1">
        <f t="array" ref="I318">_xlfn.IFS(OR(H318=$S$2,H318=$S$13,H318=$S$5),"Other",OR(H318=$S$3,H318=$S$4,H318=$S$7,H318=$S$10,H318=$S$11),"Salem",OR(H318=$S$6),"Keizer",OR(H318=$S$8,H318=$S$9,H318=$S$12),"Marion")</f>
        <v>Other</v>
      </c>
      <c r="L318">
        <v>186</v>
      </c>
      <c r="M318">
        <v>2021</v>
      </c>
      <c r="N318" t="s">
        <v>45</v>
      </c>
      <c r="O318">
        <v>0</v>
      </c>
    </row>
    <row r="319" spans="1:15" x14ac:dyDescent="0.25">
      <c r="A319">
        <v>186</v>
      </c>
      <c r="B319">
        <v>2050</v>
      </c>
      <c r="C319">
        <v>463</v>
      </c>
      <c r="D319">
        <v>0</v>
      </c>
      <c r="E319">
        <v>0</v>
      </c>
      <c r="F319" t="str" cm="1">
        <f t="array" ref="F319">_xlfn.XLOOKUP(A319&amp;B319,$L$2:$L$739&amp;$M$2:$M$739,$N$2:$N$739)</f>
        <v>Low</v>
      </c>
      <c r="G319">
        <f t="shared" si="4"/>
        <v>0</v>
      </c>
      <c r="H319" t="str">
        <f>_xlfn.XLOOKUP(A319,VE!$A$2:$A$247,VE!$B$2:$B$247)</f>
        <v>Marion_Outside_UGB</v>
      </c>
      <c r="I319" t="str" cm="1">
        <f t="array" ref="I319">_xlfn.IFS(OR(H319=$S$2,H319=$S$13,H319=$S$5),"Other",OR(H319=$S$3,H319=$S$4,H319=$S$7,H319=$S$10,H319=$S$11),"Salem",OR(H319=$S$6),"Keizer",OR(H319=$S$8,H319=$S$9,H319=$S$12),"Marion")</f>
        <v>Other</v>
      </c>
      <c r="L319">
        <v>186</v>
      </c>
      <c r="M319">
        <v>2050</v>
      </c>
      <c r="N319" t="s">
        <v>45</v>
      </c>
      <c r="O319">
        <v>0</v>
      </c>
    </row>
    <row r="320" spans="1:15" x14ac:dyDescent="0.25">
      <c r="A320">
        <v>189</v>
      </c>
      <c r="B320">
        <v>2005</v>
      </c>
      <c r="C320">
        <v>225</v>
      </c>
      <c r="D320">
        <v>321</v>
      </c>
      <c r="E320">
        <v>0</v>
      </c>
      <c r="F320" t="str" cm="1">
        <f t="array" ref="F320">_xlfn.XLOOKUP(A320&amp;B320,$L$2:$L$739&amp;$M$2:$M$739,$N$2:$N$739)</f>
        <v>Low</v>
      </c>
      <c r="G320">
        <f t="shared" si="4"/>
        <v>0</v>
      </c>
      <c r="H320" t="str">
        <f>_xlfn.XLOOKUP(A320,VE!$A$2:$A$247,VE!$B$2:$B$247)</f>
        <v>Marion_Inside_UGB_2</v>
      </c>
      <c r="I320" t="str" cm="1">
        <f t="array" ref="I320">_xlfn.IFS(OR(H320=$S$2,H320=$S$13,H320=$S$5),"Other",OR(H320=$S$3,H320=$S$4,H320=$S$7,H320=$S$10,H320=$S$11),"Salem",OR(H320=$S$6),"Keizer",OR(H320=$S$8,H320=$S$9,H320=$S$12),"Marion")</f>
        <v>Marion</v>
      </c>
      <c r="L320">
        <v>189</v>
      </c>
      <c r="M320">
        <v>2005</v>
      </c>
      <c r="N320" t="s">
        <v>45</v>
      </c>
      <c r="O320">
        <v>0</v>
      </c>
    </row>
    <row r="321" spans="1:15" x14ac:dyDescent="0.25">
      <c r="A321">
        <v>189</v>
      </c>
      <c r="B321">
        <v>2021</v>
      </c>
      <c r="C321">
        <v>258</v>
      </c>
      <c r="D321">
        <v>395</v>
      </c>
      <c r="E321">
        <v>0</v>
      </c>
      <c r="F321" t="str" cm="1">
        <f t="array" ref="F321">_xlfn.XLOOKUP(A321&amp;B321,$L$2:$L$739&amp;$M$2:$M$739,$N$2:$N$739)</f>
        <v>Low</v>
      </c>
      <c r="G321">
        <f t="shared" si="4"/>
        <v>0</v>
      </c>
      <c r="H321" t="str">
        <f>_xlfn.XLOOKUP(A321,VE!$A$2:$A$247,VE!$B$2:$B$247)</f>
        <v>Marion_Inside_UGB_2</v>
      </c>
      <c r="I321" t="str" cm="1">
        <f t="array" ref="I321">_xlfn.IFS(OR(H321=$S$2,H321=$S$13,H321=$S$5),"Other",OR(H321=$S$3,H321=$S$4,H321=$S$7,H321=$S$10,H321=$S$11),"Salem",OR(H321=$S$6),"Keizer",OR(H321=$S$8,H321=$S$9,H321=$S$12),"Marion")</f>
        <v>Marion</v>
      </c>
      <c r="L321">
        <v>189</v>
      </c>
      <c r="M321">
        <v>2021</v>
      </c>
      <c r="N321" t="s">
        <v>45</v>
      </c>
      <c r="O321">
        <v>0</v>
      </c>
    </row>
    <row r="322" spans="1:15" x14ac:dyDescent="0.25">
      <c r="A322">
        <v>189</v>
      </c>
      <c r="B322">
        <v>2050</v>
      </c>
      <c r="C322">
        <v>472</v>
      </c>
      <c r="D322">
        <v>485</v>
      </c>
      <c r="E322">
        <v>0</v>
      </c>
      <c r="F322" t="str" cm="1">
        <f t="array" ref="F322">_xlfn.XLOOKUP(A322&amp;B322,$L$2:$L$739&amp;$M$2:$M$739,$N$2:$N$739)</f>
        <v>High</v>
      </c>
      <c r="G322">
        <f t="shared" si="4"/>
        <v>957</v>
      </c>
      <c r="H322" t="str">
        <f>_xlfn.XLOOKUP(A322,VE!$A$2:$A$247,VE!$B$2:$B$247)</f>
        <v>Marion_Inside_UGB_2</v>
      </c>
      <c r="I322" t="str" cm="1">
        <f t="array" ref="I322">_xlfn.IFS(OR(H322=$S$2,H322=$S$13,H322=$S$5),"Other",OR(H322=$S$3,H322=$S$4,H322=$S$7,H322=$S$10,H322=$S$11),"Salem",OR(H322=$S$6),"Keizer",OR(H322=$S$8,H322=$S$9,H322=$S$12),"Marion")</f>
        <v>Marion</v>
      </c>
      <c r="L322">
        <v>189</v>
      </c>
      <c r="M322">
        <v>2050</v>
      </c>
      <c r="N322" t="s">
        <v>46</v>
      </c>
      <c r="O322">
        <v>1</v>
      </c>
    </row>
    <row r="323" spans="1:15" x14ac:dyDescent="0.25">
      <c r="A323">
        <v>193</v>
      </c>
      <c r="B323">
        <v>2005</v>
      </c>
      <c r="C323">
        <v>1</v>
      </c>
      <c r="D323">
        <v>0</v>
      </c>
      <c r="E323">
        <v>0</v>
      </c>
      <c r="F323" t="str" cm="1">
        <f t="array" ref="F323">_xlfn.XLOOKUP(A323&amp;B323,$L$2:$L$739&amp;$M$2:$M$739,$N$2:$N$739)</f>
        <v>Low</v>
      </c>
      <c r="G323">
        <f t="shared" ref="G323:G386" si="5">IF(F323="High",SUM(C323:D323),0)</f>
        <v>0</v>
      </c>
      <c r="H323" t="str">
        <f>_xlfn.XLOOKUP(A323,VE!$A$2:$A$247,VE!$B$2:$B$247)</f>
        <v>Marion_Outside_UGB</v>
      </c>
      <c r="I323" t="str" cm="1">
        <f t="array" ref="I323">_xlfn.IFS(OR(H323=$S$2,H323=$S$13,H323=$S$5),"Other",OR(H323=$S$3,H323=$S$4,H323=$S$7,H323=$S$10,H323=$S$11),"Salem",OR(H323=$S$6),"Keizer",OR(H323=$S$8,H323=$S$9,H323=$S$12),"Marion")</f>
        <v>Other</v>
      </c>
      <c r="L323">
        <v>193</v>
      </c>
      <c r="M323">
        <v>2005</v>
      </c>
      <c r="N323" t="s">
        <v>45</v>
      </c>
      <c r="O323">
        <v>0</v>
      </c>
    </row>
    <row r="324" spans="1:15" x14ac:dyDescent="0.25">
      <c r="A324">
        <v>193</v>
      </c>
      <c r="B324">
        <v>2021</v>
      </c>
      <c r="C324">
        <v>2</v>
      </c>
      <c r="D324">
        <v>2</v>
      </c>
      <c r="E324">
        <v>0</v>
      </c>
      <c r="F324" t="str" cm="1">
        <f t="array" ref="F324">_xlfn.XLOOKUP(A324&amp;B324,$L$2:$L$739&amp;$M$2:$M$739,$N$2:$N$739)</f>
        <v>Low</v>
      </c>
      <c r="G324">
        <f t="shared" si="5"/>
        <v>0</v>
      </c>
      <c r="H324" t="str">
        <f>_xlfn.XLOOKUP(A324,VE!$A$2:$A$247,VE!$B$2:$B$247)</f>
        <v>Marion_Outside_UGB</v>
      </c>
      <c r="I324" t="str" cm="1">
        <f t="array" ref="I324">_xlfn.IFS(OR(H324=$S$2,H324=$S$13,H324=$S$5),"Other",OR(H324=$S$3,H324=$S$4,H324=$S$7,H324=$S$10,H324=$S$11),"Salem",OR(H324=$S$6),"Keizer",OR(H324=$S$8,H324=$S$9,H324=$S$12),"Marion")</f>
        <v>Other</v>
      </c>
      <c r="L324">
        <v>193</v>
      </c>
      <c r="M324">
        <v>2021</v>
      </c>
      <c r="N324" t="s">
        <v>45</v>
      </c>
      <c r="O324">
        <v>0</v>
      </c>
    </row>
    <row r="325" spans="1:15" x14ac:dyDescent="0.25">
      <c r="A325">
        <v>193</v>
      </c>
      <c r="B325">
        <v>2050</v>
      </c>
      <c r="C325">
        <v>0</v>
      </c>
      <c r="D325">
        <v>1</v>
      </c>
      <c r="E325">
        <v>0</v>
      </c>
      <c r="F325" t="str" cm="1">
        <f t="array" ref="F325">_xlfn.XLOOKUP(A325&amp;B325,$L$2:$L$739&amp;$M$2:$M$739,$N$2:$N$739)</f>
        <v>Low</v>
      </c>
      <c r="G325">
        <f t="shared" si="5"/>
        <v>0</v>
      </c>
      <c r="H325" t="str">
        <f>_xlfn.XLOOKUP(A325,VE!$A$2:$A$247,VE!$B$2:$B$247)</f>
        <v>Marion_Outside_UGB</v>
      </c>
      <c r="I325" t="str" cm="1">
        <f t="array" ref="I325">_xlfn.IFS(OR(H325=$S$2,H325=$S$13,H325=$S$5),"Other",OR(H325=$S$3,H325=$S$4,H325=$S$7,H325=$S$10,H325=$S$11),"Salem",OR(H325=$S$6),"Keizer",OR(H325=$S$8,H325=$S$9,H325=$S$12),"Marion")</f>
        <v>Other</v>
      </c>
      <c r="L325">
        <v>193</v>
      </c>
      <c r="M325">
        <v>2050</v>
      </c>
      <c r="N325" t="s">
        <v>45</v>
      </c>
      <c r="O325">
        <v>0</v>
      </c>
    </row>
    <row r="326" spans="1:15" x14ac:dyDescent="0.25">
      <c r="A326">
        <v>194</v>
      </c>
      <c r="B326">
        <v>2005</v>
      </c>
      <c r="C326">
        <v>162</v>
      </c>
      <c r="D326">
        <v>382</v>
      </c>
      <c r="E326">
        <v>0</v>
      </c>
      <c r="F326" t="str" cm="1">
        <f t="array" ref="F326">_xlfn.XLOOKUP(A326&amp;B326,$L$2:$L$739&amp;$M$2:$M$739,$N$2:$N$739)</f>
        <v>Low</v>
      </c>
      <c r="G326">
        <f t="shared" si="5"/>
        <v>0</v>
      </c>
      <c r="H326" t="str">
        <f>_xlfn.XLOOKUP(A326,VE!$A$2:$A$247,VE!$B$2:$B$247)</f>
        <v>Marion_Inside_UGB_2</v>
      </c>
      <c r="I326" t="str" cm="1">
        <f t="array" ref="I326">_xlfn.IFS(OR(H326=$S$2,H326=$S$13,H326=$S$5),"Other",OR(H326=$S$3,H326=$S$4,H326=$S$7,H326=$S$10,H326=$S$11),"Salem",OR(H326=$S$6),"Keizer",OR(H326=$S$8,H326=$S$9,H326=$S$12),"Marion")</f>
        <v>Marion</v>
      </c>
      <c r="L326">
        <v>194</v>
      </c>
      <c r="M326">
        <v>2005</v>
      </c>
      <c r="N326" t="s">
        <v>45</v>
      </c>
      <c r="O326">
        <v>0</v>
      </c>
    </row>
    <row r="327" spans="1:15" x14ac:dyDescent="0.25">
      <c r="A327">
        <v>194</v>
      </c>
      <c r="B327">
        <v>2021</v>
      </c>
      <c r="C327">
        <v>170</v>
      </c>
      <c r="D327">
        <v>420</v>
      </c>
      <c r="E327">
        <v>0</v>
      </c>
      <c r="F327" t="str" cm="1">
        <f t="array" ref="F327">_xlfn.XLOOKUP(A327&amp;B327,$L$2:$L$739&amp;$M$2:$M$739,$N$2:$N$739)</f>
        <v>Low</v>
      </c>
      <c r="G327">
        <f t="shared" si="5"/>
        <v>0</v>
      </c>
      <c r="H327" t="str">
        <f>_xlfn.XLOOKUP(A327,VE!$A$2:$A$247,VE!$B$2:$B$247)</f>
        <v>Marion_Inside_UGB_2</v>
      </c>
      <c r="I327" t="str" cm="1">
        <f t="array" ref="I327">_xlfn.IFS(OR(H327=$S$2,H327=$S$13,H327=$S$5),"Other",OR(H327=$S$3,H327=$S$4,H327=$S$7,H327=$S$10,H327=$S$11),"Salem",OR(H327=$S$6),"Keizer",OR(H327=$S$8,H327=$S$9,H327=$S$12),"Marion")</f>
        <v>Marion</v>
      </c>
      <c r="L327">
        <v>194</v>
      </c>
      <c r="M327">
        <v>2021</v>
      </c>
      <c r="N327" t="s">
        <v>45</v>
      </c>
      <c r="O327">
        <v>0</v>
      </c>
    </row>
    <row r="328" spans="1:15" x14ac:dyDescent="0.25">
      <c r="A328">
        <v>194</v>
      </c>
      <c r="B328">
        <v>2050</v>
      </c>
      <c r="C328">
        <v>172</v>
      </c>
      <c r="D328">
        <v>458</v>
      </c>
      <c r="E328">
        <v>0</v>
      </c>
      <c r="F328" t="str" cm="1">
        <f t="array" ref="F328">_xlfn.XLOOKUP(A328&amp;B328,$L$2:$L$739&amp;$M$2:$M$739,$N$2:$N$739)</f>
        <v>Low</v>
      </c>
      <c r="G328">
        <f t="shared" si="5"/>
        <v>0</v>
      </c>
      <c r="H328" t="str">
        <f>_xlfn.XLOOKUP(A328,VE!$A$2:$A$247,VE!$B$2:$B$247)</f>
        <v>Marion_Inside_UGB_2</v>
      </c>
      <c r="I328" t="str" cm="1">
        <f t="array" ref="I328">_xlfn.IFS(OR(H328=$S$2,H328=$S$13,H328=$S$5),"Other",OR(H328=$S$3,H328=$S$4,H328=$S$7,H328=$S$10,H328=$S$11),"Salem",OR(H328=$S$6),"Keizer",OR(H328=$S$8,H328=$S$9,H328=$S$12),"Marion")</f>
        <v>Marion</v>
      </c>
      <c r="L328">
        <v>194</v>
      </c>
      <c r="M328">
        <v>2050</v>
      </c>
      <c r="N328" t="s">
        <v>45</v>
      </c>
      <c r="O328">
        <v>0</v>
      </c>
    </row>
    <row r="329" spans="1:15" x14ac:dyDescent="0.25">
      <c r="A329">
        <v>196</v>
      </c>
      <c r="B329">
        <v>2005</v>
      </c>
      <c r="C329">
        <v>2073</v>
      </c>
      <c r="D329">
        <v>800</v>
      </c>
      <c r="E329">
        <v>0</v>
      </c>
      <c r="F329" t="str" cm="1">
        <f t="array" ref="F329">_xlfn.XLOOKUP(A329&amp;B329,$L$2:$L$739&amp;$M$2:$M$739,$N$2:$N$739)</f>
        <v>Low</v>
      </c>
      <c r="G329">
        <f t="shared" si="5"/>
        <v>0</v>
      </c>
      <c r="H329" t="str">
        <f>_xlfn.XLOOKUP(A329,VE!$A$2:$A$247,VE!$B$2:$B$247)</f>
        <v>Marion_Inside_UGB_2</v>
      </c>
      <c r="I329" t="str" cm="1">
        <f t="array" ref="I329">_xlfn.IFS(OR(H329=$S$2,H329=$S$13,H329=$S$5),"Other",OR(H329=$S$3,H329=$S$4,H329=$S$7,H329=$S$10,H329=$S$11),"Salem",OR(H329=$S$6),"Keizer",OR(H329=$S$8,H329=$S$9,H329=$S$12),"Marion")</f>
        <v>Marion</v>
      </c>
      <c r="L329">
        <v>196</v>
      </c>
      <c r="M329">
        <v>2005</v>
      </c>
      <c r="N329" t="s">
        <v>45</v>
      </c>
      <c r="O329">
        <v>0</v>
      </c>
    </row>
    <row r="330" spans="1:15" x14ac:dyDescent="0.25">
      <c r="A330">
        <v>196</v>
      </c>
      <c r="B330">
        <v>2021</v>
      </c>
      <c r="C330">
        <v>2312</v>
      </c>
      <c r="D330">
        <v>1309</v>
      </c>
      <c r="E330">
        <v>0</v>
      </c>
      <c r="F330" t="str" cm="1">
        <f t="array" ref="F330">_xlfn.XLOOKUP(A330&amp;B330,$L$2:$L$739&amp;$M$2:$M$739,$N$2:$N$739)</f>
        <v>Low</v>
      </c>
      <c r="G330">
        <f t="shared" si="5"/>
        <v>0</v>
      </c>
      <c r="H330" t="str">
        <f>_xlfn.XLOOKUP(A330,VE!$A$2:$A$247,VE!$B$2:$B$247)</f>
        <v>Marion_Inside_UGB_2</v>
      </c>
      <c r="I330" t="str" cm="1">
        <f t="array" ref="I330">_xlfn.IFS(OR(H330=$S$2,H330=$S$13,H330=$S$5),"Other",OR(H330=$S$3,H330=$S$4,H330=$S$7,H330=$S$10,H330=$S$11),"Salem",OR(H330=$S$6),"Keizer",OR(H330=$S$8,H330=$S$9,H330=$S$12),"Marion")</f>
        <v>Marion</v>
      </c>
      <c r="L330">
        <v>196</v>
      </c>
      <c r="M330">
        <v>2021</v>
      </c>
      <c r="N330" t="s">
        <v>45</v>
      </c>
      <c r="O330">
        <v>0</v>
      </c>
    </row>
    <row r="331" spans="1:15" x14ac:dyDescent="0.25">
      <c r="A331">
        <v>196</v>
      </c>
      <c r="B331">
        <v>2050</v>
      </c>
      <c r="C331">
        <v>2324</v>
      </c>
      <c r="D331">
        <v>1406</v>
      </c>
      <c r="E331">
        <v>0</v>
      </c>
      <c r="F331" t="str" cm="1">
        <f t="array" ref="F331">_xlfn.XLOOKUP(A331&amp;B331,$L$2:$L$739&amp;$M$2:$M$739,$N$2:$N$739)</f>
        <v>Low</v>
      </c>
      <c r="G331">
        <f t="shared" si="5"/>
        <v>0</v>
      </c>
      <c r="H331" t="str">
        <f>_xlfn.XLOOKUP(A331,VE!$A$2:$A$247,VE!$B$2:$B$247)</f>
        <v>Marion_Inside_UGB_2</v>
      </c>
      <c r="I331" t="str" cm="1">
        <f t="array" ref="I331">_xlfn.IFS(OR(H331=$S$2,H331=$S$13,H331=$S$5),"Other",OR(H331=$S$3,H331=$S$4,H331=$S$7,H331=$S$10,H331=$S$11),"Salem",OR(H331=$S$6),"Keizer",OR(H331=$S$8,H331=$S$9,H331=$S$12),"Marion")</f>
        <v>Marion</v>
      </c>
      <c r="L331">
        <v>196</v>
      </c>
      <c r="M331">
        <v>2050</v>
      </c>
      <c r="N331" t="s">
        <v>45</v>
      </c>
      <c r="O331">
        <v>0</v>
      </c>
    </row>
    <row r="332" spans="1:15" x14ac:dyDescent="0.25">
      <c r="A332">
        <v>200</v>
      </c>
      <c r="B332">
        <v>2005</v>
      </c>
      <c r="C332">
        <v>118</v>
      </c>
      <c r="D332">
        <v>2</v>
      </c>
      <c r="E332">
        <v>0</v>
      </c>
      <c r="F332" t="str" cm="1">
        <f t="array" ref="F332">_xlfn.XLOOKUP(A332&amp;B332,$L$2:$L$739&amp;$M$2:$M$739,$N$2:$N$739)</f>
        <v>Low</v>
      </c>
      <c r="G332">
        <f t="shared" si="5"/>
        <v>0</v>
      </c>
      <c r="H332" t="str">
        <f>_xlfn.XLOOKUP(A332,VE!$A$2:$A$247,VE!$B$2:$B$247)</f>
        <v>Salem_5</v>
      </c>
      <c r="I332" t="str" cm="1">
        <f t="array" ref="I332">_xlfn.IFS(OR(H332=$S$2,H332=$S$13,H332=$S$5),"Other",OR(H332=$S$3,H332=$S$4,H332=$S$7,H332=$S$10,H332=$S$11),"Salem",OR(H332=$S$6),"Keizer",OR(H332=$S$8,H332=$S$9,H332=$S$12),"Marion")</f>
        <v>Salem</v>
      </c>
      <c r="L332">
        <v>200</v>
      </c>
      <c r="M332">
        <v>2005</v>
      </c>
      <c r="N332" t="s">
        <v>45</v>
      </c>
      <c r="O332">
        <v>0</v>
      </c>
    </row>
    <row r="333" spans="1:15" x14ac:dyDescent="0.25">
      <c r="A333">
        <v>200</v>
      </c>
      <c r="B333">
        <v>2021</v>
      </c>
      <c r="C333">
        <v>147</v>
      </c>
      <c r="D333">
        <v>18</v>
      </c>
      <c r="E333">
        <v>0</v>
      </c>
      <c r="F333" t="str" cm="1">
        <f t="array" ref="F333">_xlfn.XLOOKUP(A333&amp;B333,$L$2:$L$739&amp;$M$2:$M$739,$N$2:$N$739)</f>
        <v>High</v>
      </c>
      <c r="G333">
        <f t="shared" si="5"/>
        <v>165</v>
      </c>
      <c r="H333" t="str">
        <f>_xlfn.XLOOKUP(A333,VE!$A$2:$A$247,VE!$B$2:$B$247)</f>
        <v>Salem_5</v>
      </c>
      <c r="I333" t="str" cm="1">
        <f t="array" ref="I333">_xlfn.IFS(OR(H333=$S$2,H333=$S$13,H333=$S$5),"Other",OR(H333=$S$3,H333=$S$4,H333=$S$7,H333=$S$10,H333=$S$11),"Salem",OR(H333=$S$6),"Keizer",OR(H333=$S$8,H333=$S$9,H333=$S$12),"Marion")</f>
        <v>Salem</v>
      </c>
      <c r="L333">
        <v>200</v>
      </c>
      <c r="M333">
        <v>2021</v>
      </c>
      <c r="N333" t="s">
        <v>46</v>
      </c>
      <c r="O333">
        <v>1</v>
      </c>
    </row>
    <row r="334" spans="1:15" x14ac:dyDescent="0.25">
      <c r="A334">
        <v>200</v>
      </c>
      <c r="B334">
        <v>2050</v>
      </c>
      <c r="C334">
        <v>147</v>
      </c>
      <c r="D334">
        <v>18</v>
      </c>
      <c r="E334">
        <v>0</v>
      </c>
      <c r="F334" t="str" cm="1">
        <f t="array" ref="F334">_xlfn.XLOOKUP(A334&amp;B334,$L$2:$L$739&amp;$M$2:$M$739,$N$2:$N$739)</f>
        <v>High</v>
      </c>
      <c r="G334">
        <f t="shared" si="5"/>
        <v>165</v>
      </c>
      <c r="H334" t="str">
        <f>_xlfn.XLOOKUP(A334,VE!$A$2:$A$247,VE!$B$2:$B$247)</f>
        <v>Salem_5</v>
      </c>
      <c r="I334" t="str" cm="1">
        <f t="array" ref="I334">_xlfn.IFS(OR(H334=$S$2,H334=$S$13,H334=$S$5),"Other",OR(H334=$S$3,H334=$S$4,H334=$S$7,H334=$S$10,H334=$S$11),"Salem",OR(H334=$S$6),"Keizer",OR(H334=$S$8,H334=$S$9,H334=$S$12),"Marion")</f>
        <v>Salem</v>
      </c>
      <c r="L334">
        <v>200</v>
      </c>
      <c r="M334">
        <v>2050</v>
      </c>
      <c r="N334" t="s">
        <v>46</v>
      </c>
      <c r="O334">
        <v>1</v>
      </c>
    </row>
    <row r="335" spans="1:15" x14ac:dyDescent="0.25">
      <c r="A335">
        <v>204</v>
      </c>
      <c r="B335">
        <v>2005</v>
      </c>
      <c r="C335">
        <v>9</v>
      </c>
      <c r="D335">
        <v>0</v>
      </c>
      <c r="E335">
        <v>0</v>
      </c>
      <c r="F335" t="str" cm="1">
        <f t="array" ref="F335">_xlfn.XLOOKUP(A335&amp;B335,$L$2:$L$739&amp;$M$2:$M$739,$N$2:$N$739)</f>
        <v>Low</v>
      </c>
      <c r="G335">
        <f t="shared" si="5"/>
        <v>0</v>
      </c>
      <c r="H335" t="str">
        <f>_xlfn.XLOOKUP(A335,VE!$A$2:$A$247,VE!$B$2:$B$247)</f>
        <v>Marion_Outside_UGB</v>
      </c>
      <c r="I335" t="str" cm="1">
        <f t="array" ref="I335">_xlfn.IFS(OR(H335=$S$2,H335=$S$13,H335=$S$5),"Other",OR(H335=$S$3,H335=$S$4,H335=$S$7,H335=$S$10,H335=$S$11),"Salem",OR(H335=$S$6),"Keizer",OR(H335=$S$8,H335=$S$9,H335=$S$12),"Marion")</f>
        <v>Other</v>
      </c>
      <c r="L335">
        <v>204</v>
      </c>
      <c r="M335">
        <v>2005</v>
      </c>
      <c r="N335" t="s">
        <v>45</v>
      </c>
      <c r="O335">
        <v>0</v>
      </c>
    </row>
    <row r="336" spans="1:15" x14ac:dyDescent="0.25">
      <c r="A336">
        <v>204</v>
      </c>
      <c r="B336">
        <v>2021</v>
      </c>
      <c r="C336">
        <v>9</v>
      </c>
      <c r="D336">
        <v>0</v>
      </c>
      <c r="E336">
        <v>0</v>
      </c>
      <c r="F336" t="str" cm="1">
        <f t="array" ref="F336">_xlfn.XLOOKUP(A336&amp;B336,$L$2:$L$739&amp;$M$2:$M$739,$N$2:$N$739)</f>
        <v>Low</v>
      </c>
      <c r="G336">
        <f t="shared" si="5"/>
        <v>0</v>
      </c>
      <c r="H336" t="str">
        <f>_xlfn.XLOOKUP(A336,VE!$A$2:$A$247,VE!$B$2:$B$247)</f>
        <v>Marion_Outside_UGB</v>
      </c>
      <c r="I336" t="str" cm="1">
        <f t="array" ref="I336">_xlfn.IFS(OR(H336=$S$2,H336=$S$13,H336=$S$5),"Other",OR(H336=$S$3,H336=$S$4,H336=$S$7,H336=$S$10,H336=$S$11),"Salem",OR(H336=$S$6),"Keizer",OR(H336=$S$8,H336=$S$9,H336=$S$12),"Marion")</f>
        <v>Other</v>
      </c>
      <c r="L336">
        <v>204</v>
      </c>
      <c r="M336">
        <v>2021</v>
      </c>
      <c r="N336" t="s">
        <v>45</v>
      </c>
      <c r="O336">
        <v>0</v>
      </c>
    </row>
    <row r="337" spans="1:15" x14ac:dyDescent="0.25">
      <c r="A337">
        <v>204</v>
      </c>
      <c r="B337">
        <v>2050</v>
      </c>
      <c r="C337">
        <v>3</v>
      </c>
      <c r="D337">
        <v>0</v>
      </c>
      <c r="E337">
        <v>0</v>
      </c>
      <c r="F337" t="str" cm="1">
        <f t="array" ref="F337">_xlfn.XLOOKUP(A337&amp;B337,$L$2:$L$739&amp;$M$2:$M$739,$N$2:$N$739)</f>
        <v>Low</v>
      </c>
      <c r="G337">
        <f t="shared" si="5"/>
        <v>0</v>
      </c>
      <c r="H337" t="str">
        <f>_xlfn.XLOOKUP(A337,VE!$A$2:$A$247,VE!$B$2:$B$247)</f>
        <v>Marion_Outside_UGB</v>
      </c>
      <c r="I337" t="str" cm="1">
        <f t="array" ref="I337">_xlfn.IFS(OR(H337=$S$2,H337=$S$13,H337=$S$5),"Other",OR(H337=$S$3,H337=$S$4,H337=$S$7,H337=$S$10,H337=$S$11),"Salem",OR(H337=$S$6),"Keizer",OR(H337=$S$8,H337=$S$9,H337=$S$12),"Marion")</f>
        <v>Other</v>
      </c>
      <c r="L337">
        <v>204</v>
      </c>
      <c r="M337">
        <v>2050</v>
      </c>
      <c r="N337" t="s">
        <v>45</v>
      </c>
      <c r="O337">
        <v>0</v>
      </c>
    </row>
    <row r="338" spans="1:15" x14ac:dyDescent="0.25">
      <c r="A338">
        <v>205</v>
      </c>
      <c r="B338">
        <v>2005</v>
      </c>
      <c r="C338">
        <v>101</v>
      </c>
      <c r="D338">
        <v>0</v>
      </c>
      <c r="E338">
        <v>0</v>
      </c>
      <c r="F338" t="str" cm="1">
        <f t="array" ref="F338">_xlfn.XLOOKUP(A338&amp;B338,$L$2:$L$739&amp;$M$2:$M$739,$N$2:$N$739)</f>
        <v>Low</v>
      </c>
      <c r="G338">
        <f t="shared" si="5"/>
        <v>0</v>
      </c>
      <c r="H338" t="str">
        <f>_xlfn.XLOOKUP(A338,VE!$A$2:$A$247,VE!$B$2:$B$247)</f>
        <v>Marion_Outside_UGB</v>
      </c>
      <c r="I338" t="str" cm="1">
        <f t="array" ref="I338">_xlfn.IFS(OR(H338=$S$2,H338=$S$13,H338=$S$5),"Other",OR(H338=$S$3,H338=$S$4,H338=$S$7,H338=$S$10,H338=$S$11),"Salem",OR(H338=$S$6),"Keizer",OR(H338=$S$8,H338=$S$9,H338=$S$12),"Marion")</f>
        <v>Other</v>
      </c>
      <c r="L338">
        <v>205</v>
      </c>
      <c r="M338">
        <v>2005</v>
      </c>
      <c r="N338" t="s">
        <v>45</v>
      </c>
      <c r="O338">
        <v>0</v>
      </c>
    </row>
    <row r="339" spans="1:15" x14ac:dyDescent="0.25">
      <c r="A339">
        <v>205</v>
      </c>
      <c r="B339">
        <v>2021</v>
      </c>
      <c r="C339">
        <v>101</v>
      </c>
      <c r="D339">
        <v>0</v>
      </c>
      <c r="E339">
        <v>0</v>
      </c>
      <c r="F339" t="str" cm="1">
        <f t="array" ref="F339">_xlfn.XLOOKUP(A339&amp;B339,$L$2:$L$739&amp;$M$2:$M$739,$N$2:$N$739)</f>
        <v>Low</v>
      </c>
      <c r="G339">
        <f t="shared" si="5"/>
        <v>0</v>
      </c>
      <c r="H339" t="str">
        <f>_xlfn.XLOOKUP(A339,VE!$A$2:$A$247,VE!$B$2:$B$247)</f>
        <v>Marion_Outside_UGB</v>
      </c>
      <c r="I339" t="str" cm="1">
        <f t="array" ref="I339">_xlfn.IFS(OR(H339=$S$2,H339=$S$13,H339=$S$5),"Other",OR(H339=$S$3,H339=$S$4,H339=$S$7,H339=$S$10,H339=$S$11),"Salem",OR(H339=$S$6),"Keizer",OR(H339=$S$8,H339=$S$9,H339=$S$12),"Marion")</f>
        <v>Other</v>
      </c>
      <c r="L339">
        <v>205</v>
      </c>
      <c r="M339">
        <v>2021</v>
      </c>
      <c r="N339" t="s">
        <v>45</v>
      </c>
      <c r="O339">
        <v>0</v>
      </c>
    </row>
    <row r="340" spans="1:15" x14ac:dyDescent="0.25">
      <c r="A340">
        <v>205</v>
      </c>
      <c r="B340">
        <v>2050</v>
      </c>
      <c r="C340">
        <v>114</v>
      </c>
      <c r="D340">
        <v>0</v>
      </c>
      <c r="E340">
        <v>0</v>
      </c>
      <c r="F340" t="str" cm="1">
        <f t="array" ref="F340">_xlfn.XLOOKUP(A340&amp;B340,$L$2:$L$739&amp;$M$2:$M$739,$N$2:$N$739)</f>
        <v>Low</v>
      </c>
      <c r="G340">
        <f t="shared" si="5"/>
        <v>0</v>
      </c>
      <c r="H340" t="str">
        <f>_xlfn.XLOOKUP(A340,VE!$A$2:$A$247,VE!$B$2:$B$247)</f>
        <v>Marion_Outside_UGB</v>
      </c>
      <c r="I340" t="str" cm="1">
        <f t="array" ref="I340">_xlfn.IFS(OR(H340=$S$2,H340=$S$13,H340=$S$5),"Other",OR(H340=$S$3,H340=$S$4,H340=$S$7,H340=$S$10,H340=$S$11),"Salem",OR(H340=$S$6),"Keizer",OR(H340=$S$8,H340=$S$9,H340=$S$12),"Marion")</f>
        <v>Other</v>
      </c>
      <c r="L340">
        <v>205</v>
      </c>
      <c r="M340">
        <v>2050</v>
      </c>
      <c r="N340" t="s">
        <v>45</v>
      </c>
      <c r="O340">
        <v>0</v>
      </c>
    </row>
    <row r="341" spans="1:15" x14ac:dyDescent="0.25">
      <c r="A341">
        <v>206</v>
      </c>
      <c r="B341">
        <v>2005</v>
      </c>
      <c r="C341">
        <v>96</v>
      </c>
      <c r="D341">
        <v>1</v>
      </c>
      <c r="E341">
        <v>0</v>
      </c>
      <c r="F341" t="str" cm="1">
        <f t="array" ref="F341">_xlfn.XLOOKUP(A341&amp;B341,$L$2:$L$739&amp;$M$2:$M$739,$N$2:$N$739)</f>
        <v>Low</v>
      </c>
      <c r="G341">
        <f t="shared" si="5"/>
        <v>0</v>
      </c>
      <c r="H341" t="str">
        <f>_xlfn.XLOOKUP(A341,VE!$A$2:$A$247,VE!$B$2:$B$247)</f>
        <v>Marion_Outside_UGB</v>
      </c>
      <c r="I341" t="str" cm="1">
        <f t="array" ref="I341">_xlfn.IFS(OR(H341=$S$2,H341=$S$13,H341=$S$5),"Other",OR(H341=$S$3,H341=$S$4,H341=$S$7,H341=$S$10,H341=$S$11),"Salem",OR(H341=$S$6),"Keizer",OR(H341=$S$8,H341=$S$9,H341=$S$12),"Marion")</f>
        <v>Other</v>
      </c>
      <c r="L341">
        <v>206</v>
      </c>
      <c r="M341">
        <v>2005</v>
      </c>
      <c r="N341" t="s">
        <v>45</v>
      </c>
      <c r="O341">
        <v>0</v>
      </c>
    </row>
    <row r="342" spans="1:15" x14ac:dyDescent="0.25">
      <c r="A342">
        <v>206</v>
      </c>
      <c r="B342">
        <v>2021</v>
      </c>
      <c r="C342">
        <v>96</v>
      </c>
      <c r="D342">
        <v>1</v>
      </c>
      <c r="E342">
        <v>0</v>
      </c>
      <c r="F342" t="str" cm="1">
        <f t="array" ref="F342">_xlfn.XLOOKUP(A342&amp;B342,$L$2:$L$739&amp;$M$2:$M$739,$N$2:$N$739)</f>
        <v>Low</v>
      </c>
      <c r="G342">
        <f t="shared" si="5"/>
        <v>0</v>
      </c>
      <c r="H342" t="str">
        <f>_xlfn.XLOOKUP(A342,VE!$A$2:$A$247,VE!$B$2:$B$247)</f>
        <v>Marion_Outside_UGB</v>
      </c>
      <c r="I342" t="str" cm="1">
        <f t="array" ref="I342">_xlfn.IFS(OR(H342=$S$2,H342=$S$13,H342=$S$5),"Other",OR(H342=$S$3,H342=$S$4,H342=$S$7,H342=$S$10,H342=$S$11),"Salem",OR(H342=$S$6),"Keizer",OR(H342=$S$8,H342=$S$9,H342=$S$12),"Marion")</f>
        <v>Other</v>
      </c>
      <c r="L342">
        <v>206</v>
      </c>
      <c r="M342">
        <v>2021</v>
      </c>
      <c r="N342" t="s">
        <v>45</v>
      </c>
      <c r="O342">
        <v>0</v>
      </c>
    </row>
    <row r="343" spans="1:15" x14ac:dyDescent="0.25">
      <c r="A343">
        <v>206</v>
      </c>
      <c r="B343">
        <v>2050</v>
      </c>
      <c r="C343">
        <v>93</v>
      </c>
      <c r="D343">
        <v>1</v>
      </c>
      <c r="E343">
        <v>0</v>
      </c>
      <c r="F343" t="str" cm="1">
        <f t="array" ref="F343">_xlfn.XLOOKUP(A343&amp;B343,$L$2:$L$739&amp;$M$2:$M$739,$N$2:$N$739)</f>
        <v>Low</v>
      </c>
      <c r="G343">
        <f t="shared" si="5"/>
        <v>0</v>
      </c>
      <c r="H343" t="str">
        <f>_xlfn.XLOOKUP(A343,VE!$A$2:$A$247,VE!$B$2:$B$247)</f>
        <v>Marion_Outside_UGB</v>
      </c>
      <c r="I343" t="str" cm="1">
        <f t="array" ref="I343">_xlfn.IFS(OR(H343=$S$2,H343=$S$13,H343=$S$5),"Other",OR(H343=$S$3,H343=$S$4,H343=$S$7,H343=$S$10,H343=$S$11),"Salem",OR(H343=$S$6),"Keizer",OR(H343=$S$8,H343=$S$9,H343=$S$12),"Marion")</f>
        <v>Other</v>
      </c>
      <c r="L343">
        <v>206</v>
      </c>
      <c r="M343">
        <v>2050</v>
      </c>
      <c r="N343" t="s">
        <v>45</v>
      </c>
      <c r="O343">
        <v>0</v>
      </c>
    </row>
    <row r="344" spans="1:15" x14ac:dyDescent="0.25">
      <c r="A344">
        <v>207</v>
      </c>
      <c r="B344">
        <v>2005</v>
      </c>
      <c r="C344">
        <v>332</v>
      </c>
      <c r="D344">
        <v>3</v>
      </c>
      <c r="E344">
        <v>0</v>
      </c>
      <c r="F344" t="str" cm="1">
        <f t="array" ref="F344">_xlfn.XLOOKUP(A344&amp;B344,$L$2:$L$739&amp;$M$2:$M$739,$N$2:$N$739)</f>
        <v>Low</v>
      </c>
      <c r="G344">
        <f t="shared" si="5"/>
        <v>0</v>
      </c>
      <c r="H344" t="str">
        <f>_xlfn.XLOOKUP(A344,VE!$A$2:$A$247,VE!$B$2:$B$247)</f>
        <v>Marion_Outside_UGB</v>
      </c>
      <c r="I344" t="str" cm="1">
        <f t="array" ref="I344">_xlfn.IFS(OR(H344=$S$2,H344=$S$13,H344=$S$5),"Other",OR(H344=$S$3,H344=$S$4,H344=$S$7,H344=$S$10,H344=$S$11),"Salem",OR(H344=$S$6),"Keizer",OR(H344=$S$8,H344=$S$9,H344=$S$12),"Marion")</f>
        <v>Other</v>
      </c>
      <c r="L344">
        <v>207</v>
      </c>
      <c r="M344">
        <v>2005</v>
      </c>
      <c r="N344" t="s">
        <v>45</v>
      </c>
      <c r="O344">
        <v>0</v>
      </c>
    </row>
    <row r="345" spans="1:15" x14ac:dyDescent="0.25">
      <c r="A345">
        <v>207</v>
      </c>
      <c r="B345">
        <v>2021</v>
      </c>
      <c r="C345">
        <v>533</v>
      </c>
      <c r="D345">
        <v>35</v>
      </c>
      <c r="E345">
        <v>0</v>
      </c>
      <c r="F345" t="str" cm="1">
        <f t="array" ref="F345">_xlfn.XLOOKUP(A345&amp;B345,$L$2:$L$739&amp;$M$2:$M$739,$N$2:$N$739)</f>
        <v>Low</v>
      </c>
      <c r="G345">
        <f t="shared" si="5"/>
        <v>0</v>
      </c>
      <c r="H345" t="str">
        <f>_xlfn.XLOOKUP(A345,VE!$A$2:$A$247,VE!$B$2:$B$247)</f>
        <v>Marion_Outside_UGB</v>
      </c>
      <c r="I345" t="str" cm="1">
        <f t="array" ref="I345">_xlfn.IFS(OR(H345=$S$2,H345=$S$13,H345=$S$5),"Other",OR(H345=$S$3,H345=$S$4,H345=$S$7,H345=$S$10,H345=$S$11),"Salem",OR(H345=$S$6),"Keizer",OR(H345=$S$8,H345=$S$9,H345=$S$12),"Marion")</f>
        <v>Other</v>
      </c>
      <c r="L345">
        <v>207</v>
      </c>
      <c r="M345">
        <v>2021</v>
      </c>
      <c r="N345" t="s">
        <v>45</v>
      </c>
      <c r="O345">
        <v>0</v>
      </c>
    </row>
    <row r="346" spans="1:15" x14ac:dyDescent="0.25">
      <c r="A346">
        <v>207</v>
      </c>
      <c r="B346">
        <v>2050</v>
      </c>
      <c r="C346">
        <v>592</v>
      </c>
      <c r="D346">
        <v>32</v>
      </c>
      <c r="E346">
        <v>0</v>
      </c>
      <c r="F346" t="str" cm="1">
        <f t="array" ref="F346">_xlfn.XLOOKUP(A346&amp;B346,$L$2:$L$739&amp;$M$2:$M$739,$N$2:$N$739)</f>
        <v>Low</v>
      </c>
      <c r="G346">
        <f t="shared" si="5"/>
        <v>0</v>
      </c>
      <c r="H346" t="str">
        <f>_xlfn.XLOOKUP(A346,VE!$A$2:$A$247,VE!$B$2:$B$247)</f>
        <v>Marion_Outside_UGB</v>
      </c>
      <c r="I346" t="str" cm="1">
        <f t="array" ref="I346">_xlfn.IFS(OR(H346=$S$2,H346=$S$13,H346=$S$5),"Other",OR(H346=$S$3,H346=$S$4,H346=$S$7,H346=$S$10,H346=$S$11),"Salem",OR(H346=$S$6),"Keizer",OR(H346=$S$8,H346=$S$9,H346=$S$12),"Marion")</f>
        <v>Other</v>
      </c>
      <c r="L346">
        <v>207</v>
      </c>
      <c r="M346">
        <v>2050</v>
      </c>
      <c r="N346" t="s">
        <v>45</v>
      </c>
      <c r="O346">
        <v>0</v>
      </c>
    </row>
    <row r="347" spans="1:15" x14ac:dyDescent="0.25">
      <c r="A347">
        <v>211</v>
      </c>
      <c r="B347">
        <v>2005</v>
      </c>
      <c r="C347">
        <v>9</v>
      </c>
      <c r="D347">
        <v>0</v>
      </c>
      <c r="E347">
        <v>0</v>
      </c>
      <c r="F347" t="str" cm="1">
        <f t="array" ref="F347">_xlfn.XLOOKUP(A347&amp;B347,$L$2:$L$739&amp;$M$2:$M$739,$N$2:$N$739)</f>
        <v>Low</v>
      </c>
      <c r="G347">
        <f t="shared" si="5"/>
        <v>0</v>
      </c>
      <c r="H347" t="str">
        <f>_xlfn.XLOOKUP(A347,VE!$A$2:$A$247,VE!$B$2:$B$247)</f>
        <v>Salem_4</v>
      </c>
      <c r="I347" t="str" cm="1">
        <f t="array" ref="I347">_xlfn.IFS(OR(H347=$S$2,H347=$S$13,H347=$S$5),"Other",OR(H347=$S$3,H347=$S$4,H347=$S$7,H347=$S$10,H347=$S$11),"Salem",OR(H347=$S$6),"Keizer",OR(H347=$S$8,H347=$S$9,H347=$S$12),"Marion")</f>
        <v>Salem</v>
      </c>
      <c r="L347">
        <v>211</v>
      </c>
      <c r="M347">
        <v>2005</v>
      </c>
      <c r="N347" t="s">
        <v>45</v>
      </c>
      <c r="O347">
        <v>0</v>
      </c>
    </row>
    <row r="348" spans="1:15" x14ac:dyDescent="0.25">
      <c r="A348">
        <v>211</v>
      </c>
      <c r="B348">
        <v>2021</v>
      </c>
      <c r="C348">
        <v>9</v>
      </c>
      <c r="D348">
        <v>0</v>
      </c>
      <c r="E348">
        <v>0</v>
      </c>
      <c r="F348" t="str" cm="1">
        <f t="array" ref="F348">_xlfn.XLOOKUP(A348&amp;B348,$L$2:$L$739&amp;$M$2:$M$739,$N$2:$N$739)</f>
        <v>Low</v>
      </c>
      <c r="G348">
        <f t="shared" si="5"/>
        <v>0</v>
      </c>
      <c r="H348" t="str">
        <f>_xlfn.XLOOKUP(A348,VE!$A$2:$A$247,VE!$B$2:$B$247)</f>
        <v>Salem_4</v>
      </c>
      <c r="I348" t="str" cm="1">
        <f t="array" ref="I348">_xlfn.IFS(OR(H348=$S$2,H348=$S$13,H348=$S$5),"Other",OR(H348=$S$3,H348=$S$4,H348=$S$7,H348=$S$10,H348=$S$11),"Salem",OR(H348=$S$6),"Keizer",OR(H348=$S$8,H348=$S$9,H348=$S$12),"Marion")</f>
        <v>Salem</v>
      </c>
      <c r="L348">
        <v>211</v>
      </c>
      <c r="M348">
        <v>2021</v>
      </c>
      <c r="N348" t="s">
        <v>45</v>
      </c>
      <c r="O348">
        <v>0</v>
      </c>
    </row>
    <row r="349" spans="1:15" x14ac:dyDescent="0.25">
      <c r="A349">
        <v>211</v>
      </c>
      <c r="B349">
        <v>2050</v>
      </c>
      <c r="C349">
        <v>5</v>
      </c>
      <c r="D349">
        <v>0</v>
      </c>
      <c r="E349">
        <v>0</v>
      </c>
      <c r="F349" t="str" cm="1">
        <f t="array" ref="F349">_xlfn.XLOOKUP(A349&amp;B349,$L$2:$L$739&amp;$M$2:$M$739,$N$2:$N$739)</f>
        <v>High</v>
      </c>
      <c r="G349">
        <f t="shared" si="5"/>
        <v>5</v>
      </c>
      <c r="H349" t="str">
        <f>_xlfn.XLOOKUP(A349,VE!$A$2:$A$247,VE!$B$2:$B$247)</f>
        <v>Salem_4</v>
      </c>
      <c r="I349" t="str" cm="1">
        <f t="array" ref="I349">_xlfn.IFS(OR(H349=$S$2,H349=$S$13,H349=$S$5),"Other",OR(H349=$S$3,H349=$S$4,H349=$S$7,H349=$S$10,H349=$S$11),"Salem",OR(H349=$S$6),"Keizer",OR(H349=$S$8,H349=$S$9,H349=$S$12),"Marion")</f>
        <v>Salem</v>
      </c>
      <c r="L349">
        <v>211</v>
      </c>
      <c r="M349">
        <v>2050</v>
      </c>
      <c r="N349" t="s">
        <v>46</v>
      </c>
      <c r="O349">
        <v>1</v>
      </c>
    </row>
    <row r="350" spans="1:15" x14ac:dyDescent="0.25">
      <c r="A350">
        <v>212</v>
      </c>
      <c r="B350">
        <v>2005</v>
      </c>
      <c r="C350">
        <v>5</v>
      </c>
      <c r="D350">
        <v>63</v>
      </c>
      <c r="E350">
        <v>0</v>
      </c>
      <c r="F350" t="str" cm="1">
        <f t="array" ref="F350">_xlfn.XLOOKUP(A350&amp;B350,$L$2:$L$739&amp;$M$2:$M$739,$N$2:$N$739)</f>
        <v>Low</v>
      </c>
      <c r="G350">
        <f t="shared" si="5"/>
        <v>0</v>
      </c>
      <c r="H350" t="str">
        <f>_xlfn.XLOOKUP(A350,VE!$A$2:$A$247,VE!$B$2:$B$247)</f>
        <v>Salem_4</v>
      </c>
      <c r="I350" t="str" cm="1">
        <f t="array" ref="I350">_xlfn.IFS(OR(H350=$S$2,H350=$S$13,H350=$S$5),"Other",OR(H350=$S$3,H350=$S$4,H350=$S$7,H350=$S$10,H350=$S$11),"Salem",OR(H350=$S$6),"Keizer",OR(H350=$S$8,H350=$S$9,H350=$S$12),"Marion")</f>
        <v>Salem</v>
      </c>
      <c r="L350">
        <v>212</v>
      </c>
      <c r="M350">
        <v>2005</v>
      </c>
      <c r="N350" t="s">
        <v>45</v>
      </c>
      <c r="O350">
        <v>0</v>
      </c>
    </row>
    <row r="351" spans="1:15" x14ac:dyDescent="0.25">
      <c r="A351">
        <v>212</v>
      </c>
      <c r="B351">
        <v>2021</v>
      </c>
      <c r="C351">
        <v>3</v>
      </c>
      <c r="D351">
        <v>322</v>
      </c>
      <c r="E351">
        <v>0</v>
      </c>
      <c r="F351" t="str" cm="1">
        <f t="array" ref="F351">_xlfn.XLOOKUP(A351&amp;B351,$L$2:$L$739&amp;$M$2:$M$739,$N$2:$N$739)</f>
        <v>High</v>
      </c>
      <c r="G351">
        <f t="shared" si="5"/>
        <v>325</v>
      </c>
      <c r="H351" t="str">
        <f>_xlfn.XLOOKUP(A351,VE!$A$2:$A$247,VE!$B$2:$B$247)</f>
        <v>Salem_4</v>
      </c>
      <c r="I351" t="str" cm="1">
        <f t="array" ref="I351">_xlfn.IFS(OR(H351=$S$2,H351=$S$13,H351=$S$5),"Other",OR(H351=$S$3,H351=$S$4,H351=$S$7,H351=$S$10,H351=$S$11),"Salem",OR(H351=$S$6),"Keizer",OR(H351=$S$8,H351=$S$9,H351=$S$12),"Marion")</f>
        <v>Salem</v>
      </c>
      <c r="L351">
        <v>212</v>
      </c>
      <c r="M351">
        <v>2021</v>
      </c>
      <c r="N351" t="s">
        <v>46</v>
      </c>
      <c r="O351">
        <v>1</v>
      </c>
    </row>
    <row r="352" spans="1:15" x14ac:dyDescent="0.25">
      <c r="A352">
        <v>212</v>
      </c>
      <c r="B352">
        <v>2050</v>
      </c>
      <c r="C352">
        <v>4</v>
      </c>
      <c r="D352">
        <v>368</v>
      </c>
      <c r="E352">
        <v>0</v>
      </c>
      <c r="F352" t="str" cm="1">
        <f t="array" ref="F352">_xlfn.XLOOKUP(A352&amp;B352,$L$2:$L$739&amp;$M$2:$M$739,$N$2:$N$739)</f>
        <v>High</v>
      </c>
      <c r="G352">
        <f t="shared" si="5"/>
        <v>372</v>
      </c>
      <c r="H352" t="str">
        <f>_xlfn.XLOOKUP(A352,VE!$A$2:$A$247,VE!$B$2:$B$247)</f>
        <v>Salem_4</v>
      </c>
      <c r="I352" t="str" cm="1">
        <f t="array" ref="I352">_xlfn.IFS(OR(H352=$S$2,H352=$S$13,H352=$S$5),"Other",OR(H352=$S$3,H352=$S$4,H352=$S$7,H352=$S$10,H352=$S$11),"Salem",OR(H352=$S$6),"Keizer",OR(H352=$S$8,H352=$S$9,H352=$S$12),"Marion")</f>
        <v>Salem</v>
      </c>
      <c r="L352">
        <v>212</v>
      </c>
      <c r="M352">
        <v>2050</v>
      </c>
      <c r="N352" t="s">
        <v>46</v>
      </c>
      <c r="O352">
        <v>1</v>
      </c>
    </row>
    <row r="353" spans="1:15" x14ac:dyDescent="0.25">
      <c r="A353">
        <v>213</v>
      </c>
      <c r="B353">
        <v>2005</v>
      </c>
      <c r="C353">
        <v>120</v>
      </c>
      <c r="D353">
        <v>383</v>
      </c>
      <c r="E353">
        <v>0</v>
      </c>
      <c r="F353" t="str" cm="1">
        <f t="array" ref="F353">_xlfn.XLOOKUP(A353&amp;B353,$L$2:$L$739&amp;$M$2:$M$739,$N$2:$N$739)</f>
        <v>Low</v>
      </c>
      <c r="G353">
        <f t="shared" si="5"/>
        <v>0</v>
      </c>
      <c r="H353" t="str">
        <f>_xlfn.XLOOKUP(A353,VE!$A$2:$A$247,VE!$B$2:$B$247)</f>
        <v>Salem_4</v>
      </c>
      <c r="I353" t="str" cm="1">
        <f t="array" ref="I353">_xlfn.IFS(OR(H353=$S$2,H353=$S$13,H353=$S$5),"Other",OR(H353=$S$3,H353=$S$4,H353=$S$7,H353=$S$10,H353=$S$11),"Salem",OR(H353=$S$6),"Keizer",OR(H353=$S$8,H353=$S$9,H353=$S$12),"Marion")</f>
        <v>Salem</v>
      </c>
      <c r="L353">
        <v>213</v>
      </c>
      <c r="M353">
        <v>2005</v>
      </c>
      <c r="N353" t="s">
        <v>45</v>
      </c>
      <c r="O353">
        <v>0</v>
      </c>
    </row>
    <row r="354" spans="1:15" x14ac:dyDescent="0.25">
      <c r="A354">
        <v>213</v>
      </c>
      <c r="B354">
        <v>2021</v>
      </c>
      <c r="C354">
        <v>116</v>
      </c>
      <c r="D354">
        <v>435</v>
      </c>
      <c r="E354">
        <v>0</v>
      </c>
      <c r="F354" t="str" cm="1">
        <f t="array" ref="F354">_xlfn.XLOOKUP(A354&amp;B354,$L$2:$L$739&amp;$M$2:$M$739,$N$2:$N$739)</f>
        <v>High</v>
      </c>
      <c r="G354">
        <f t="shared" si="5"/>
        <v>551</v>
      </c>
      <c r="H354" t="str">
        <f>_xlfn.XLOOKUP(A354,VE!$A$2:$A$247,VE!$B$2:$B$247)</f>
        <v>Salem_4</v>
      </c>
      <c r="I354" t="str" cm="1">
        <f t="array" ref="I354">_xlfn.IFS(OR(H354=$S$2,H354=$S$13,H354=$S$5),"Other",OR(H354=$S$3,H354=$S$4,H354=$S$7,H354=$S$10,H354=$S$11),"Salem",OR(H354=$S$6),"Keizer",OR(H354=$S$8,H354=$S$9,H354=$S$12),"Marion")</f>
        <v>Salem</v>
      </c>
      <c r="L354">
        <v>213</v>
      </c>
      <c r="M354">
        <v>2021</v>
      </c>
      <c r="N354" t="s">
        <v>46</v>
      </c>
      <c r="O354">
        <v>1</v>
      </c>
    </row>
    <row r="355" spans="1:15" x14ac:dyDescent="0.25">
      <c r="A355">
        <v>213</v>
      </c>
      <c r="B355">
        <v>2050</v>
      </c>
      <c r="C355">
        <v>112</v>
      </c>
      <c r="D355">
        <v>589</v>
      </c>
      <c r="E355">
        <v>0</v>
      </c>
      <c r="F355" t="str" cm="1">
        <f t="array" ref="F355">_xlfn.XLOOKUP(A355&amp;B355,$L$2:$L$739&amp;$M$2:$M$739,$N$2:$N$739)</f>
        <v>High</v>
      </c>
      <c r="G355">
        <f t="shared" si="5"/>
        <v>701</v>
      </c>
      <c r="H355" t="str">
        <f>_xlfn.XLOOKUP(A355,VE!$A$2:$A$247,VE!$B$2:$B$247)</f>
        <v>Salem_4</v>
      </c>
      <c r="I355" t="str" cm="1">
        <f t="array" ref="I355">_xlfn.IFS(OR(H355=$S$2,H355=$S$13,H355=$S$5),"Other",OR(H355=$S$3,H355=$S$4,H355=$S$7,H355=$S$10,H355=$S$11),"Salem",OR(H355=$S$6),"Keizer",OR(H355=$S$8,H355=$S$9,H355=$S$12),"Marion")</f>
        <v>Salem</v>
      </c>
      <c r="L355">
        <v>213</v>
      </c>
      <c r="M355">
        <v>2050</v>
      </c>
      <c r="N355" t="s">
        <v>46</v>
      </c>
      <c r="O355">
        <v>1</v>
      </c>
    </row>
    <row r="356" spans="1:15" x14ac:dyDescent="0.25">
      <c r="A356">
        <v>214</v>
      </c>
      <c r="B356">
        <v>2005</v>
      </c>
      <c r="C356">
        <v>410</v>
      </c>
      <c r="D356">
        <v>508</v>
      </c>
      <c r="E356">
        <v>0</v>
      </c>
      <c r="F356" t="str" cm="1">
        <f t="array" ref="F356">_xlfn.XLOOKUP(A356&amp;B356,$L$2:$L$739&amp;$M$2:$M$739,$N$2:$N$739)</f>
        <v>Low</v>
      </c>
      <c r="G356">
        <f t="shared" si="5"/>
        <v>0</v>
      </c>
      <c r="H356" t="str">
        <f>_xlfn.XLOOKUP(A356,VE!$A$2:$A$247,VE!$B$2:$B$247)</f>
        <v>Salem_4</v>
      </c>
      <c r="I356" t="str" cm="1">
        <f t="array" ref="I356">_xlfn.IFS(OR(H356=$S$2,H356=$S$13,H356=$S$5),"Other",OR(H356=$S$3,H356=$S$4,H356=$S$7,H356=$S$10,H356=$S$11),"Salem",OR(H356=$S$6),"Keizer",OR(H356=$S$8,H356=$S$9,H356=$S$12),"Marion")</f>
        <v>Salem</v>
      </c>
      <c r="L356">
        <v>214</v>
      </c>
      <c r="M356">
        <v>2005</v>
      </c>
      <c r="N356" t="s">
        <v>45</v>
      </c>
      <c r="O356">
        <v>0</v>
      </c>
    </row>
    <row r="357" spans="1:15" x14ac:dyDescent="0.25">
      <c r="A357">
        <v>214</v>
      </c>
      <c r="B357">
        <v>2021</v>
      </c>
      <c r="C357">
        <v>438</v>
      </c>
      <c r="D357">
        <v>507</v>
      </c>
      <c r="E357">
        <v>0</v>
      </c>
      <c r="F357" t="str" cm="1">
        <f t="array" ref="F357">_xlfn.XLOOKUP(A357&amp;B357,$L$2:$L$739&amp;$M$2:$M$739,$N$2:$N$739)</f>
        <v>High</v>
      </c>
      <c r="G357">
        <f t="shared" si="5"/>
        <v>945</v>
      </c>
      <c r="H357" t="str">
        <f>_xlfn.XLOOKUP(A357,VE!$A$2:$A$247,VE!$B$2:$B$247)</f>
        <v>Salem_4</v>
      </c>
      <c r="I357" t="str" cm="1">
        <f t="array" ref="I357">_xlfn.IFS(OR(H357=$S$2,H357=$S$13,H357=$S$5),"Other",OR(H357=$S$3,H357=$S$4,H357=$S$7,H357=$S$10,H357=$S$11),"Salem",OR(H357=$S$6),"Keizer",OR(H357=$S$8,H357=$S$9,H357=$S$12),"Marion")</f>
        <v>Salem</v>
      </c>
      <c r="L357">
        <v>214</v>
      </c>
      <c r="M357">
        <v>2021</v>
      </c>
      <c r="N357" t="s">
        <v>46</v>
      </c>
      <c r="O357">
        <v>1</v>
      </c>
    </row>
    <row r="358" spans="1:15" x14ac:dyDescent="0.25">
      <c r="A358">
        <v>214</v>
      </c>
      <c r="B358">
        <v>2050</v>
      </c>
      <c r="C358">
        <v>428</v>
      </c>
      <c r="D358">
        <v>502</v>
      </c>
      <c r="E358">
        <v>0</v>
      </c>
      <c r="F358" t="str" cm="1">
        <f t="array" ref="F358">_xlfn.XLOOKUP(A358&amp;B358,$L$2:$L$739&amp;$M$2:$M$739,$N$2:$N$739)</f>
        <v>High</v>
      </c>
      <c r="G358">
        <f t="shared" si="5"/>
        <v>930</v>
      </c>
      <c r="H358" t="str">
        <f>_xlfn.XLOOKUP(A358,VE!$A$2:$A$247,VE!$B$2:$B$247)</f>
        <v>Salem_4</v>
      </c>
      <c r="I358" t="str" cm="1">
        <f t="array" ref="I358">_xlfn.IFS(OR(H358=$S$2,H358=$S$13,H358=$S$5),"Other",OR(H358=$S$3,H358=$S$4,H358=$S$7,H358=$S$10,H358=$S$11),"Salem",OR(H358=$S$6),"Keizer",OR(H358=$S$8,H358=$S$9,H358=$S$12),"Marion")</f>
        <v>Salem</v>
      </c>
      <c r="L358">
        <v>214</v>
      </c>
      <c r="M358">
        <v>2050</v>
      </c>
      <c r="N358" t="s">
        <v>46</v>
      </c>
      <c r="O358">
        <v>1</v>
      </c>
    </row>
    <row r="359" spans="1:15" x14ac:dyDescent="0.25">
      <c r="A359">
        <v>220</v>
      </c>
      <c r="B359">
        <v>2005</v>
      </c>
      <c r="C359">
        <v>8</v>
      </c>
      <c r="D359">
        <v>123</v>
      </c>
      <c r="E359">
        <v>0</v>
      </c>
      <c r="F359" t="str" cm="1">
        <f t="array" ref="F359">_xlfn.XLOOKUP(A359&amp;B359,$L$2:$L$739&amp;$M$2:$M$739,$N$2:$N$739)</f>
        <v>Low</v>
      </c>
      <c r="G359">
        <f t="shared" si="5"/>
        <v>0</v>
      </c>
      <c r="H359" t="str">
        <f>_xlfn.XLOOKUP(A359,VE!$A$2:$A$247,VE!$B$2:$B$247)</f>
        <v>Salem_4</v>
      </c>
      <c r="I359" t="str" cm="1">
        <f t="array" ref="I359">_xlfn.IFS(OR(H359=$S$2,H359=$S$13,H359=$S$5),"Other",OR(H359=$S$3,H359=$S$4,H359=$S$7,H359=$S$10,H359=$S$11),"Salem",OR(H359=$S$6),"Keizer",OR(H359=$S$8,H359=$S$9,H359=$S$12),"Marion")</f>
        <v>Salem</v>
      </c>
      <c r="L359">
        <v>220</v>
      </c>
      <c r="M359">
        <v>2005</v>
      </c>
      <c r="N359" t="s">
        <v>45</v>
      </c>
      <c r="O359">
        <v>0</v>
      </c>
    </row>
    <row r="360" spans="1:15" x14ac:dyDescent="0.25">
      <c r="A360">
        <v>220</v>
      </c>
      <c r="B360">
        <v>2021</v>
      </c>
      <c r="C360">
        <v>8</v>
      </c>
      <c r="D360">
        <v>123</v>
      </c>
      <c r="E360">
        <v>0</v>
      </c>
      <c r="F360" t="str" cm="1">
        <f t="array" ref="F360">_xlfn.XLOOKUP(A360&amp;B360,$L$2:$L$739&amp;$M$2:$M$739,$N$2:$N$739)</f>
        <v>Low</v>
      </c>
      <c r="G360">
        <f t="shared" si="5"/>
        <v>0</v>
      </c>
      <c r="H360" t="str">
        <f>_xlfn.XLOOKUP(A360,VE!$A$2:$A$247,VE!$B$2:$B$247)</f>
        <v>Salem_4</v>
      </c>
      <c r="I360" t="str" cm="1">
        <f t="array" ref="I360">_xlfn.IFS(OR(H360=$S$2,H360=$S$13,H360=$S$5),"Other",OR(H360=$S$3,H360=$S$4,H360=$S$7,H360=$S$10,H360=$S$11),"Salem",OR(H360=$S$6),"Keizer",OR(H360=$S$8,H360=$S$9,H360=$S$12),"Marion")</f>
        <v>Salem</v>
      </c>
      <c r="L360">
        <v>220</v>
      </c>
      <c r="M360">
        <v>2021</v>
      </c>
      <c r="N360" t="s">
        <v>45</v>
      </c>
      <c r="O360">
        <v>0</v>
      </c>
    </row>
    <row r="361" spans="1:15" x14ac:dyDescent="0.25">
      <c r="A361">
        <v>220</v>
      </c>
      <c r="B361">
        <v>2050</v>
      </c>
      <c r="C361">
        <v>8</v>
      </c>
      <c r="D361">
        <v>196</v>
      </c>
      <c r="E361">
        <v>0</v>
      </c>
      <c r="F361" t="str" cm="1">
        <f t="array" ref="F361">_xlfn.XLOOKUP(A361&amp;B361,$L$2:$L$739&amp;$M$2:$M$739,$N$2:$N$739)</f>
        <v>High</v>
      </c>
      <c r="G361">
        <f t="shared" si="5"/>
        <v>204</v>
      </c>
      <c r="H361" t="str">
        <f>_xlfn.XLOOKUP(A361,VE!$A$2:$A$247,VE!$B$2:$B$247)</f>
        <v>Salem_4</v>
      </c>
      <c r="I361" t="str" cm="1">
        <f t="array" ref="I361">_xlfn.IFS(OR(H361=$S$2,H361=$S$13,H361=$S$5),"Other",OR(H361=$S$3,H361=$S$4,H361=$S$7,H361=$S$10,H361=$S$11),"Salem",OR(H361=$S$6),"Keizer",OR(H361=$S$8,H361=$S$9,H361=$S$12),"Marion")</f>
        <v>Salem</v>
      </c>
      <c r="L361">
        <v>220</v>
      </c>
      <c r="M361">
        <v>2050</v>
      </c>
      <c r="N361" t="s">
        <v>46</v>
      </c>
      <c r="O361">
        <v>1</v>
      </c>
    </row>
    <row r="362" spans="1:15" x14ac:dyDescent="0.25">
      <c r="A362">
        <v>221</v>
      </c>
      <c r="B362">
        <v>2005</v>
      </c>
      <c r="C362">
        <v>0</v>
      </c>
      <c r="D362">
        <v>1</v>
      </c>
      <c r="E362">
        <v>0</v>
      </c>
      <c r="F362" t="str" cm="1">
        <f t="array" ref="F362">_xlfn.XLOOKUP(A362&amp;B362,$L$2:$L$739&amp;$M$2:$M$739,$N$2:$N$739)</f>
        <v>Low</v>
      </c>
      <c r="G362">
        <f t="shared" si="5"/>
        <v>0</v>
      </c>
      <c r="H362" t="str">
        <f>_xlfn.XLOOKUP(A362,VE!$A$2:$A$247,VE!$B$2:$B$247)</f>
        <v>Salem_4</v>
      </c>
      <c r="I362" t="str" cm="1">
        <f t="array" ref="I362">_xlfn.IFS(OR(H362=$S$2,H362=$S$13,H362=$S$5),"Other",OR(H362=$S$3,H362=$S$4,H362=$S$7,H362=$S$10,H362=$S$11),"Salem",OR(H362=$S$6),"Keizer",OR(H362=$S$8,H362=$S$9,H362=$S$12),"Marion")</f>
        <v>Salem</v>
      </c>
      <c r="L362">
        <v>221</v>
      </c>
      <c r="M362">
        <v>2005</v>
      </c>
      <c r="N362" t="s">
        <v>45</v>
      </c>
      <c r="O362">
        <v>0</v>
      </c>
    </row>
    <row r="363" spans="1:15" x14ac:dyDescent="0.25">
      <c r="A363">
        <v>221</v>
      </c>
      <c r="B363">
        <v>2021</v>
      </c>
      <c r="C363">
        <v>0</v>
      </c>
      <c r="D363">
        <v>1</v>
      </c>
      <c r="E363">
        <v>0</v>
      </c>
      <c r="F363" t="str" cm="1">
        <f t="array" ref="F363">_xlfn.XLOOKUP(A363&amp;B363,$L$2:$L$739&amp;$M$2:$M$739,$N$2:$N$739)</f>
        <v>Low</v>
      </c>
      <c r="G363">
        <f t="shared" si="5"/>
        <v>0</v>
      </c>
      <c r="H363" t="str">
        <f>_xlfn.XLOOKUP(A363,VE!$A$2:$A$247,VE!$B$2:$B$247)</f>
        <v>Salem_4</v>
      </c>
      <c r="I363" t="str" cm="1">
        <f t="array" ref="I363">_xlfn.IFS(OR(H363=$S$2,H363=$S$13,H363=$S$5),"Other",OR(H363=$S$3,H363=$S$4,H363=$S$7,H363=$S$10,H363=$S$11),"Salem",OR(H363=$S$6),"Keizer",OR(H363=$S$8,H363=$S$9,H363=$S$12),"Marion")</f>
        <v>Salem</v>
      </c>
      <c r="L363">
        <v>221</v>
      </c>
      <c r="M363">
        <v>2021</v>
      </c>
      <c r="N363" t="s">
        <v>45</v>
      </c>
      <c r="O363">
        <v>0</v>
      </c>
    </row>
    <row r="364" spans="1:15" x14ac:dyDescent="0.25">
      <c r="A364">
        <v>221</v>
      </c>
      <c r="B364">
        <v>2050</v>
      </c>
      <c r="C364">
        <v>0</v>
      </c>
      <c r="D364">
        <v>1</v>
      </c>
      <c r="E364">
        <v>0</v>
      </c>
      <c r="F364" t="str" cm="1">
        <f t="array" ref="F364">_xlfn.XLOOKUP(A364&amp;B364,$L$2:$L$739&amp;$M$2:$M$739,$N$2:$N$739)</f>
        <v>High</v>
      </c>
      <c r="G364">
        <f t="shared" si="5"/>
        <v>1</v>
      </c>
      <c r="H364" t="str">
        <f>_xlfn.XLOOKUP(A364,VE!$A$2:$A$247,VE!$B$2:$B$247)</f>
        <v>Salem_4</v>
      </c>
      <c r="I364" t="str" cm="1">
        <f t="array" ref="I364">_xlfn.IFS(OR(H364=$S$2,H364=$S$13,H364=$S$5),"Other",OR(H364=$S$3,H364=$S$4,H364=$S$7,H364=$S$10,H364=$S$11),"Salem",OR(H364=$S$6),"Keizer",OR(H364=$S$8,H364=$S$9,H364=$S$12),"Marion")</f>
        <v>Salem</v>
      </c>
      <c r="L364">
        <v>221</v>
      </c>
      <c r="M364">
        <v>2050</v>
      </c>
      <c r="N364" t="s">
        <v>46</v>
      </c>
      <c r="O364">
        <v>1</v>
      </c>
    </row>
    <row r="365" spans="1:15" x14ac:dyDescent="0.25">
      <c r="A365">
        <v>222</v>
      </c>
      <c r="B365">
        <v>2005</v>
      </c>
      <c r="C365">
        <v>3</v>
      </c>
      <c r="D365">
        <v>2</v>
      </c>
      <c r="E365">
        <v>0</v>
      </c>
      <c r="F365" t="str" cm="1">
        <f t="array" ref="F365">_xlfn.XLOOKUP(A365&amp;B365,$L$2:$L$739&amp;$M$2:$M$739,$N$2:$N$739)</f>
        <v>Low</v>
      </c>
      <c r="G365">
        <f t="shared" si="5"/>
        <v>0</v>
      </c>
      <c r="H365" t="str">
        <f>_xlfn.XLOOKUP(A365,VE!$A$2:$A$247,VE!$B$2:$B$247)</f>
        <v>Salem_4</v>
      </c>
      <c r="I365" t="str" cm="1">
        <f t="array" ref="I365">_xlfn.IFS(OR(H365=$S$2,H365=$S$13,H365=$S$5),"Other",OR(H365=$S$3,H365=$S$4,H365=$S$7,H365=$S$10,H365=$S$11),"Salem",OR(H365=$S$6),"Keizer",OR(H365=$S$8,H365=$S$9,H365=$S$12),"Marion")</f>
        <v>Salem</v>
      </c>
      <c r="L365">
        <v>222</v>
      </c>
      <c r="M365">
        <v>2005</v>
      </c>
      <c r="N365" t="s">
        <v>45</v>
      </c>
      <c r="O365">
        <v>0</v>
      </c>
    </row>
    <row r="366" spans="1:15" x14ac:dyDescent="0.25">
      <c r="A366">
        <v>222</v>
      </c>
      <c r="B366">
        <v>2021</v>
      </c>
      <c r="C366">
        <v>7</v>
      </c>
      <c r="D366">
        <v>13</v>
      </c>
      <c r="E366">
        <v>0</v>
      </c>
      <c r="F366" t="str" cm="1">
        <f t="array" ref="F366">_xlfn.XLOOKUP(A366&amp;B366,$L$2:$L$739&amp;$M$2:$M$739,$N$2:$N$739)</f>
        <v>Low</v>
      </c>
      <c r="G366">
        <f t="shared" si="5"/>
        <v>0</v>
      </c>
      <c r="H366" t="str">
        <f>_xlfn.XLOOKUP(A366,VE!$A$2:$A$247,VE!$B$2:$B$247)</f>
        <v>Salem_4</v>
      </c>
      <c r="I366" t="str" cm="1">
        <f t="array" ref="I366">_xlfn.IFS(OR(H366=$S$2,H366=$S$13,H366=$S$5),"Other",OR(H366=$S$3,H366=$S$4,H366=$S$7,H366=$S$10,H366=$S$11),"Salem",OR(H366=$S$6),"Keizer",OR(H366=$S$8,H366=$S$9,H366=$S$12),"Marion")</f>
        <v>Salem</v>
      </c>
      <c r="L366">
        <v>222</v>
      </c>
      <c r="M366">
        <v>2021</v>
      </c>
      <c r="N366" t="s">
        <v>45</v>
      </c>
      <c r="O366">
        <v>0</v>
      </c>
    </row>
    <row r="367" spans="1:15" x14ac:dyDescent="0.25">
      <c r="A367">
        <v>222</v>
      </c>
      <c r="B367">
        <v>2050</v>
      </c>
      <c r="C367">
        <v>6</v>
      </c>
      <c r="D367">
        <v>12</v>
      </c>
      <c r="E367">
        <v>0</v>
      </c>
      <c r="F367" t="str" cm="1">
        <f t="array" ref="F367">_xlfn.XLOOKUP(A367&amp;B367,$L$2:$L$739&amp;$M$2:$M$739,$N$2:$N$739)</f>
        <v>Low</v>
      </c>
      <c r="G367">
        <f t="shared" si="5"/>
        <v>0</v>
      </c>
      <c r="H367" t="str">
        <f>_xlfn.XLOOKUP(A367,VE!$A$2:$A$247,VE!$B$2:$B$247)</f>
        <v>Salem_4</v>
      </c>
      <c r="I367" t="str" cm="1">
        <f t="array" ref="I367">_xlfn.IFS(OR(H367=$S$2,H367=$S$13,H367=$S$5),"Other",OR(H367=$S$3,H367=$S$4,H367=$S$7,H367=$S$10,H367=$S$11),"Salem",OR(H367=$S$6),"Keizer",OR(H367=$S$8,H367=$S$9,H367=$S$12),"Marion")</f>
        <v>Salem</v>
      </c>
      <c r="L367">
        <v>222</v>
      </c>
      <c r="M367">
        <v>2050</v>
      </c>
      <c r="N367" t="s">
        <v>45</v>
      </c>
      <c r="O367">
        <v>0</v>
      </c>
    </row>
    <row r="368" spans="1:15" x14ac:dyDescent="0.25">
      <c r="A368">
        <v>223</v>
      </c>
      <c r="B368">
        <v>2005</v>
      </c>
      <c r="C368">
        <v>0</v>
      </c>
      <c r="D368">
        <v>1</v>
      </c>
      <c r="E368">
        <v>0</v>
      </c>
      <c r="F368" t="str" cm="1">
        <f t="array" ref="F368">_xlfn.XLOOKUP(A368&amp;B368,$L$2:$L$739&amp;$M$2:$M$739,$N$2:$N$739)</f>
        <v>Low</v>
      </c>
      <c r="G368">
        <f t="shared" si="5"/>
        <v>0</v>
      </c>
      <c r="H368" t="str">
        <f>_xlfn.XLOOKUP(A368,VE!$A$2:$A$247,VE!$B$2:$B$247)</f>
        <v>Salem_4</v>
      </c>
      <c r="I368" t="str" cm="1">
        <f t="array" ref="I368">_xlfn.IFS(OR(H368=$S$2,H368=$S$13,H368=$S$5),"Other",OR(H368=$S$3,H368=$S$4,H368=$S$7,H368=$S$10,H368=$S$11),"Salem",OR(H368=$S$6),"Keizer",OR(H368=$S$8,H368=$S$9,H368=$S$12),"Marion")</f>
        <v>Salem</v>
      </c>
      <c r="L368">
        <v>223</v>
      </c>
      <c r="M368">
        <v>2005</v>
      </c>
      <c r="N368" t="s">
        <v>45</v>
      </c>
      <c r="O368">
        <v>0</v>
      </c>
    </row>
    <row r="369" spans="1:15" x14ac:dyDescent="0.25">
      <c r="A369">
        <v>223</v>
      </c>
      <c r="B369">
        <v>2021</v>
      </c>
      <c r="C369">
        <v>0</v>
      </c>
      <c r="D369">
        <v>1</v>
      </c>
      <c r="E369">
        <v>0</v>
      </c>
      <c r="F369" t="str" cm="1">
        <f t="array" ref="F369">_xlfn.XLOOKUP(A369&amp;B369,$L$2:$L$739&amp;$M$2:$M$739,$N$2:$N$739)</f>
        <v>Low</v>
      </c>
      <c r="G369">
        <f t="shared" si="5"/>
        <v>0</v>
      </c>
      <c r="H369" t="str">
        <f>_xlfn.XLOOKUP(A369,VE!$A$2:$A$247,VE!$B$2:$B$247)</f>
        <v>Salem_4</v>
      </c>
      <c r="I369" t="str" cm="1">
        <f t="array" ref="I369">_xlfn.IFS(OR(H369=$S$2,H369=$S$13,H369=$S$5),"Other",OR(H369=$S$3,H369=$S$4,H369=$S$7,H369=$S$10,H369=$S$11),"Salem",OR(H369=$S$6),"Keizer",OR(H369=$S$8,H369=$S$9,H369=$S$12),"Marion")</f>
        <v>Salem</v>
      </c>
      <c r="L369">
        <v>223</v>
      </c>
      <c r="M369">
        <v>2021</v>
      </c>
      <c r="N369" t="s">
        <v>45</v>
      </c>
      <c r="O369">
        <v>0</v>
      </c>
    </row>
    <row r="370" spans="1:15" x14ac:dyDescent="0.25">
      <c r="A370">
        <v>223</v>
      </c>
      <c r="B370">
        <v>2050</v>
      </c>
      <c r="C370">
        <v>0</v>
      </c>
      <c r="D370">
        <v>1</v>
      </c>
      <c r="E370">
        <v>0</v>
      </c>
      <c r="F370" t="str" cm="1">
        <f t="array" ref="F370">_xlfn.XLOOKUP(A370&amp;B370,$L$2:$L$739&amp;$M$2:$M$739,$N$2:$N$739)</f>
        <v>High</v>
      </c>
      <c r="G370">
        <f t="shared" si="5"/>
        <v>1</v>
      </c>
      <c r="H370" t="str">
        <f>_xlfn.XLOOKUP(A370,VE!$A$2:$A$247,VE!$B$2:$B$247)</f>
        <v>Salem_4</v>
      </c>
      <c r="I370" t="str" cm="1">
        <f t="array" ref="I370">_xlfn.IFS(OR(H370=$S$2,H370=$S$13,H370=$S$5),"Other",OR(H370=$S$3,H370=$S$4,H370=$S$7,H370=$S$10,H370=$S$11),"Salem",OR(H370=$S$6),"Keizer",OR(H370=$S$8,H370=$S$9,H370=$S$12),"Marion")</f>
        <v>Salem</v>
      </c>
      <c r="L370">
        <v>223</v>
      </c>
      <c r="M370">
        <v>2050</v>
      </c>
      <c r="N370" t="s">
        <v>46</v>
      </c>
      <c r="O370">
        <v>1</v>
      </c>
    </row>
    <row r="371" spans="1:15" x14ac:dyDescent="0.25">
      <c r="A371">
        <v>224</v>
      </c>
      <c r="B371">
        <v>2005</v>
      </c>
      <c r="C371">
        <v>0</v>
      </c>
      <c r="D371">
        <v>1</v>
      </c>
      <c r="E371">
        <v>0</v>
      </c>
      <c r="F371" t="str" cm="1">
        <f t="array" ref="F371">_xlfn.XLOOKUP(A371&amp;B371,$L$2:$L$739&amp;$M$2:$M$739,$N$2:$N$739)</f>
        <v>Low</v>
      </c>
      <c r="G371">
        <f t="shared" si="5"/>
        <v>0</v>
      </c>
      <c r="H371" t="str">
        <f>_xlfn.XLOOKUP(A371,VE!$A$2:$A$247,VE!$B$2:$B$247)</f>
        <v>Salem_4</v>
      </c>
      <c r="I371" t="str" cm="1">
        <f t="array" ref="I371">_xlfn.IFS(OR(H371=$S$2,H371=$S$13,H371=$S$5),"Other",OR(H371=$S$3,H371=$S$4,H371=$S$7,H371=$S$10,H371=$S$11),"Salem",OR(H371=$S$6),"Keizer",OR(H371=$S$8,H371=$S$9,H371=$S$12),"Marion")</f>
        <v>Salem</v>
      </c>
      <c r="L371">
        <v>224</v>
      </c>
      <c r="M371">
        <v>2005</v>
      </c>
      <c r="N371" t="s">
        <v>45</v>
      </c>
      <c r="O371">
        <v>0</v>
      </c>
    </row>
    <row r="372" spans="1:15" x14ac:dyDescent="0.25">
      <c r="A372">
        <v>224</v>
      </c>
      <c r="B372">
        <v>2021</v>
      </c>
      <c r="C372">
        <v>0</v>
      </c>
      <c r="D372">
        <v>1</v>
      </c>
      <c r="E372">
        <v>0</v>
      </c>
      <c r="F372" t="str" cm="1">
        <f t="array" ref="F372">_xlfn.XLOOKUP(A372&amp;B372,$L$2:$L$739&amp;$M$2:$M$739,$N$2:$N$739)</f>
        <v>High</v>
      </c>
      <c r="G372">
        <f t="shared" si="5"/>
        <v>1</v>
      </c>
      <c r="H372" t="str">
        <f>_xlfn.XLOOKUP(A372,VE!$A$2:$A$247,VE!$B$2:$B$247)</f>
        <v>Salem_4</v>
      </c>
      <c r="I372" t="str" cm="1">
        <f t="array" ref="I372">_xlfn.IFS(OR(H372=$S$2,H372=$S$13,H372=$S$5),"Other",OR(H372=$S$3,H372=$S$4,H372=$S$7,H372=$S$10,H372=$S$11),"Salem",OR(H372=$S$6),"Keizer",OR(H372=$S$8,H372=$S$9,H372=$S$12),"Marion")</f>
        <v>Salem</v>
      </c>
      <c r="L372">
        <v>224</v>
      </c>
      <c r="M372">
        <v>2021</v>
      </c>
      <c r="N372" t="s">
        <v>46</v>
      </c>
      <c r="O372">
        <v>1</v>
      </c>
    </row>
    <row r="373" spans="1:15" x14ac:dyDescent="0.25">
      <c r="A373">
        <v>224</v>
      </c>
      <c r="B373">
        <v>2050</v>
      </c>
      <c r="C373">
        <v>0</v>
      </c>
      <c r="D373">
        <v>1</v>
      </c>
      <c r="E373">
        <v>0</v>
      </c>
      <c r="F373" t="str" cm="1">
        <f t="array" ref="F373">_xlfn.XLOOKUP(A373&amp;B373,$L$2:$L$739&amp;$M$2:$M$739,$N$2:$N$739)</f>
        <v>High</v>
      </c>
      <c r="G373">
        <f t="shared" si="5"/>
        <v>1</v>
      </c>
      <c r="H373" t="str">
        <f>_xlfn.XLOOKUP(A373,VE!$A$2:$A$247,VE!$B$2:$B$247)</f>
        <v>Salem_4</v>
      </c>
      <c r="I373" t="str" cm="1">
        <f t="array" ref="I373">_xlfn.IFS(OR(H373=$S$2,H373=$S$13,H373=$S$5),"Other",OR(H373=$S$3,H373=$S$4,H373=$S$7,H373=$S$10,H373=$S$11),"Salem",OR(H373=$S$6),"Keizer",OR(H373=$S$8,H373=$S$9,H373=$S$12),"Marion")</f>
        <v>Salem</v>
      </c>
      <c r="L373">
        <v>224</v>
      </c>
      <c r="M373">
        <v>2050</v>
      </c>
      <c r="N373" t="s">
        <v>46</v>
      </c>
      <c r="O373">
        <v>1</v>
      </c>
    </row>
    <row r="374" spans="1:15" x14ac:dyDescent="0.25">
      <c r="A374">
        <v>225</v>
      </c>
      <c r="B374">
        <v>2005</v>
      </c>
      <c r="C374">
        <v>3</v>
      </c>
      <c r="D374">
        <v>0</v>
      </c>
      <c r="E374">
        <v>0</v>
      </c>
      <c r="F374" t="str" cm="1">
        <f t="array" ref="F374">_xlfn.XLOOKUP(A374&amp;B374,$L$2:$L$739&amp;$M$2:$M$739,$N$2:$N$739)</f>
        <v>Low</v>
      </c>
      <c r="G374">
        <f t="shared" si="5"/>
        <v>0</v>
      </c>
      <c r="H374" t="str">
        <f>_xlfn.XLOOKUP(A374,VE!$A$2:$A$247,VE!$B$2:$B$247)</f>
        <v>Salem_4</v>
      </c>
      <c r="I374" t="str" cm="1">
        <f t="array" ref="I374">_xlfn.IFS(OR(H374=$S$2,H374=$S$13,H374=$S$5),"Other",OR(H374=$S$3,H374=$S$4,H374=$S$7,H374=$S$10,H374=$S$11),"Salem",OR(H374=$S$6),"Keizer",OR(H374=$S$8,H374=$S$9,H374=$S$12),"Marion")</f>
        <v>Salem</v>
      </c>
      <c r="L374">
        <v>225</v>
      </c>
      <c r="M374">
        <v>2005</v>
      </c>
      <c r="N374" t="s">
        <v>45</v>
      </c>
      <c r="O374">
        <v>0</v>
      </c>
    </row>
    <row r="375" spans="1:15" x14ac:dyDescent="0.25">
      <c r="A375">
        <v>225</v>
      </c>
      <c r="B375">
        <v>2021</v>
      </c>
      <c r="C375">
        <v>5</v>
      </c>
      <c r="D375">
        <v>0</v>
      </c>
      <c r="E375">
        <v>0</v>
      </c>
      <c r="F375" t="str" cm="1">
        <f t="array" ref="F375">_xlfn.XLOOKUP(A375&amp;B375,$L$2:$L$739&amp;$M$2:$M$739,$N$2:$N$739)</f>
        <v>High</v>
      </c>
      <c r="G375">
        <f t="shared" si="5"/>
        <v>5</v>
      </c>
      <c r="H375" t="str">
        <f>_xlfn.XLOOKUP(A375,VE!$A$2:$A$247,VE!$B$2:$B$247)</f>
        <v>Salem_4</v>
      </c>
      <c r="I375" t="str" cm="1">
        <f t="array" ref="I375">_xlfn.IFS(OR(H375=$S$2,H375=$S$13,H375=$S$5),"Other",OR(H375=$S$3,H375=$S$4,H375=$S$7,H375=$S$10,H375=$S$11),"Salem",OR(H375=$S$6),"Keizer",OR(H375=$S$8,H375=$S$9,H375=$S$12),"Marion")</f>
        <v>Salem</v>
      </c>
      <c r="L375">
        <v>225</v>
      </c>
      <c r="M375">
        <v>2021</v>
      </c>
      <c r="N375" t="s">
        <v>46</v>
      </c>
      <c r="O375">
        <v>1</v>
      </c>
    </row>
    <row r="376" spans="1:15" x14ac:dyDescent="0.25">
      <c r="A376">
        <v>225</v>
      </c>
      <c r="B376">
        <v>2050</v>
      </c>
      <c r="C376">
        <v>5</v>
      </c>
      <c r="D376">
        <v>66</v>
      </c>
      <c r="E376">
        <v>0</v>
      </c>
      <c r="F376" t="str" cm="1">
        <f t="array" ref="F376">_xlfn.XLOOKUP(A376&amp;B376,$L$2:$L$739&amp;$M$2:$M$739,$N$2:$N$739)</f>
        <v>High</v>
      </c>
      <c r="G376">
        <f t="shared" si="5"/>
        <v>71</v>
      </c>
      <c r="H376" t="str">
        <f>_xlfn.XLOOKUP(A376,VE!$A$2:$A$247,VE!$B$2:$B$247)</f>
        <v>Salem_4</v>
      </c>
      <c r="I376" t="str" cm="1">
        <f t="array" ref="I376">_xlfn.IFS(OR(H376=$S$2,H376=$S$13,H376=$S$5),"Other",OR(H376=$S$3,H376=$S$4,H376=$S$7,H376=$S$10,H376=$S$11),"Salem",OR(H376=$S$6),"Keizer",OR(H376=$S$8,H376=$S$9,H376=$S$12),"Marion")</f>
        <v>Salem</v>
      </c>
      <c r="L376">
        <v>225</v>
      </c>
      <c r="M376">
        <v>2050</v>
      </c>
      <c r="N376" t="s">
        <v>46</v>
      </c>
      <c r="O376">
        <v>1</v>
      </c>
    </row>
    <row r="377" spans="1:15" x14ac:dyDescent="0.25">
      <c r="A377">
        <v>226</v>
      </c>
      <c r="B377">
        <v>2005</v>
      </c>
      <c r="C377">
        <v>54</v>
      </c>
      <c r="D377">
        <v>62</v>
      </c>
      <c r="E377">
        <v>0</v>
      </c>
      <c r="F377" t="str" cm="1">
        <f t="array" ref="F377">_xlfn.XLOOKUP(A377&amp;B377,$L$2:$L$739&amp;$M$2:$M$739,$N$2:$N$739)</f>
        <v>Low</v>
      </c>
      <c r="G377">
        <f t="shared" si="5"/>
        <v>0</v>
      </c>
      <c r="H377" t="str">
        <f>_xlfn.XLOOKUP(A377,VE!$A$2:$A$247,VE!$B$2:$B$247)</f>
        <v>Salem_4</v>
      </c>
      <c r="I377" t="str" cm="1">
        <f t="array" ref="I377">_xlfn.IFS(OR(H377=$S$2,H377=$S$13,H377=$S$5),"Other",OR(H377=$S$3,H377=$S$4,H377=$S$7,H377=$S$10,H377=$S$11),"Salem",OR(H377=$S$6),"Keizer",OR(H377=$S$8,H377=$S$9,H377=$S$12),"Marion")</f>
        <v>Salem</v>
      </c>
      <c r="L377">
        <v>226</v>
      </c>
      <c r="M377">
        <v>2005</v>
      </c>
      <c r="N377" t="s">
        <v>45</v>
      </c>
      <c r="O377">
        <v>0</v>
      </c>
    </row>
    <row r="378" spans="1:15" x14ac:dyDescent="0.25">
      <c r="A378">
        <v>226</v>
      </c>
      <c r="B378">
        <v>2021</v>
      </c>
      <c r="C378">
        <v>61</v>
      </c>
      <c r="D378">
        <v>55</v>
      </c>
      <c r="E378">
        <v>0</v>
      </c>
      <c r="F378" t="str" cm="1">
        <f t="array" ref="F378">_xlfn.XLOOKUP(A378&amp;B378,$L$2:$L$739&amp;$M$2:$M$739,$N$2:$N$739)</f>
        <v>Low</v>
      </c>
      <c r="G378">
        <f t="shared" si="5"/>
        <v>0</v>
      </c>
      <c r="H378" t="str">
        <f>_xlfn.XLOOKUP(A378,VE!$A$2:$A$247,VE!$B$2:$B$247)</f>
        <v>Salem_4</v>
      </c>
      <c r="I378" t="str" cm="1">
        <f t="array" ref="I378">_xlfn.IFS(OR(H378=$S$2,H378=$S$13,H378=$S$5),"Other",OR(H378=$S$3,H378=$S$4,H378=$S$7,H378=$S$10,H378=$S$11),"Salem",OR(H378=$S$6),"Keizer",OR(H378=$S$8,H378=$S$9,H378=$S$12),"Marion")</f>
        <v>Salem</v>
      </c>
      <c r="L378">
        <v>226</v>
      </c>
      <c r="M378">
        <v>2021</v>
      </c>
      <c r="N378" t="s">
        <v>45</v>
      </c>
      <c r="O378">
        <v>0</v>
      </c>
    </row>
    <row r="379" spans="1:15" x14ac:dyDescent="0.25">
      <c r="A379">
        <v>226</v>
      </c>
      <c r="B379">
        <v>2050</v>
      </c>
      <c r="C379">
        <v>60</v>
      </c>
      <c r="D379">
        <v>68</v>
      </c>
      <c r="E379">
        <v>0</v>
      </c>
      <c r="F379" t="str" cm="1">
        <f t="array" ref="F379">_xlfn.XLOOKUP(A379&amp;B379,$L$2:$L$739&amp;$M$2:$M$739,$N$2:$N$739)</f>
        <v>Low</v>
      </c>
      <c r="G379">
        <f t="shared" si="5"/>
        <v>0</v>
      </c>
      <c r="H379" t="str">
        <f>_xlfn.XLOOKUP(A379,VE!$A$2:$A$247,VE!$B$2:$B$247)</f>
        <v>Salem_4</v>
      </c>
      <c r="I379" t="str" cm="1">
        <f t="array" ref="I379">_xlfn.IFS(OR(H379=$S$2,H379=$S$13,H379=$S$5),"Other",OR(H379=$S$3,H379=$S$4,H379=$S$7,H379=$S$10,H379=$S$11),"Salem",OR(H379=$S$6),"Keizer",OR(H379=$S$8,H379=$S$9,H379=$S$12),"Marion")</f>
        <v>Salem</v>
      </c>
      <c r="L379">
        <v>226</v>
      </c>
      <c r="M379">
        <v>2050</v>
      </c>
      <c r="N379" t="s">
        <v>45</v>
      </c>
      <c r="O379">
        <v>0</v>
      </c>
    </row>
    <row r="380" spans="1:15" x14ac:dyDescent="0.25">
      <c r="A380">
        <v>227</v>
      </c>
      <c r="B380">
        <v>2005</v>
      </c>
      <c r="C380">
        <v>234</v>
      </c>
      <c r="D380">
        <v>248</v>
      </c>
      <c r="E380">
        <v>0</v>
      </c>
      <c r="F380" t="str" cm="1">
        <f t="array" ref="F380">_xlfn.XLOOKUP(A380&amp;B380,$L$2:$L$739&amp;$M$2:$M$739,$N$2:$N$739)</f>
        <v>Low</v>
      </c>
      <c r="G380">
        <f t="shared" si="5"/>
        <v>0</v>
      </c>
      <c r="H380" t="str">
        <f>_xlfn.XLOOKUP(A380,VE!$A$2:$A$247,VE!$B$2:$B$247)</f>
        <v>Salem_3</v>
      </c>
      <c r="I380" t="str" cm="1">
        <f t="array" ref="I380">_xlfn.IFS(OR(H380=$S$2,H380=$S$13,H380=$S$5),"Other",OR(H380=$S$3,H380=$S$4,H380=$S$7,H380=$S$10,H380=$S$11),"Salem",OR(H380=$S$6),"Keizer",OR(H380=$S$8,H380=$S$9,H380=$S$12),"Marion")</f>
        <v>Salem</v>
      </c>
      <c r="L380">
        <v>227</v>
      </c>
      <c r="M380">
        <v>2005</v>
      </c>
      <c r="N380" t="s">
        <v>45</v>
      </c>
      <c r="O380">
        <v>0</v>
      </c>
    </row>
    <row r="381" spans="1:15" x14ac:dyDescent="0.25">
      <c r="A381">
        <v>227</v>
      </c>
      <c r="B381">
        <v>2021</v>
      </c>
      <c r="C381">
        <v>235</v>
      </c>
      <c r="D381">
        <v>299</v>
      </c>
      <c r="E381">
        <v>0</v>
      </c>
      <c r="F381" t="str" cm="1">
        <f t="array" ref="F381">_xlfn.XLOOKUP(A381&amp;B381,$L$2:$L$739&amp;$M$2:$M$739,$N$2:$N$739)</f>
        <v>High</v>
      </c>
      <c r="G381">
        <f t="shared" si="5"/>
        <v>534</v>
      </c>
      <c r="H381" t="str">
        <f>_xlfn.XLOOKUP(A381,VE!$A$2:$A$247,VE!$B$2:$B$247)</f>
        <v>Salem_3</v>
      </c>
      <c r="I381" t="str" cm="1">
        <f t="array" ref="I381">_xlfn.IFS(OR(H381=$S$2,H381=$S$13,H381=$S$5),"Other",OR(H381=$S$3,H381=$S$4,H381=$S$7,H381=$S$10,H381=$S$11),"Salem",OR(H381=$S$6),"Keizer",OR(H381=$S$8,H381=$S$9,H381=$S$12),"Marion")</f>
        <v>Salem</v>
      </c>
      <c r="L381">
        <v>227</v>
      </c>
      <c r="M381">
        <v>2021</v>
      </c>
      <c r="N381" t="s">
        <v>46</v>
      </c>
      <c r="O381">
        <v>1</v>
      </c>
    </row>
    <row r="382" spans="1:15" x14ac:dyDescent="0.25">
      <c r="A382">
        <v>227</v>
      </c>
      <c r="B382">
        <v>2050</v>
      </c>
      <c r="C382">
        <v>234</v>
      </c>
      <c r="D382">
        <v>325</v>
      </c>
      <c r="E382">
        <v>0</v>
      </c>
      <c r="F382" t="str" cm="1">
        <f t="array" ref="F382">_xlfn.XLOOKUP(A382&amp;B382,$L$2:$L$739&amp;$M$2:$M$739,$N$2:$N$739)</f>
        <v>High</v>
      </c>
      <c r="G382">
        <f t="shared" si="5"/>
        <v>559</v>
      </c>
      <c r="H382" t="str">
        <f>_xlfn.XLOOKUP(A382,VE!$A$2:$A$247,VE!$B$2:$B$247)</f>
        <v>Salem_3</v>
      </c>
      <c r="I382" t="str" cm="1">
        <f t="array" ref="I382">_xlfn.IFS(OR(H382=$S$2,H382=$S$13,H382=$S$5),"Other",OR(H382=$S$3,H382=$S$4,H382=$S$7,H382=$S$10,H382=$S$11),"Salem",OR(H382=$S$6),"Keizer",OR(H382=$S$8,H382=$S$9,H382=$S$12),"Marion")</f>
        <v>Salem</v>
      </c>
      <c r="L382">
        <v>227</v>
      </c>
      <c r="M382">
        <v>2050</v>
      </c>
      <c r="N382" t="s">
        <v>46</v>
      </c>
      <c r="O382">
        <v>1</v>
      </c>
    </row>
    <row r="383" spans="1:15" x14ac:dyDescent="0.25">
      <c r="A383">
        <v>229</v>
      </c>
      <c r="B383">
        <v>2005</v>
      </c>
      <c r="C383">
        <v>44</v>
      </c>
      <c r="D383">
        <v>26</v>
      </c>
      <c r="E383">
        <v>0</v>
      </c>
      <c r="F383" t="str" cm="1">
        <f t="array" ref="F383">_xlfn.XLOOKUP(A383&amp;B383,$L$2:$L$739&amp;$M$2:$M$739,$N$2:$N$739)</f>
        <v>Low</v>
      </c>
      <c r="G383">
        <f t="shared" si="5"/>
        <v>0</v>
      </c>
      <c r="H383" t="str">
        <f>_xlfn.XLOOKUP(A383,VE!$A$2:$A$247,VE!$B$2:$B$247)</f>
        <v>Salem_4</v>
      </c>
      <c r="I383" t="str" cm="1">
        <f t="array" ref="I383">_xlfn.IFS(OR(H383=$S$2,H383=$S$13,H383=$S$5),"Other",OR(H383=$S$3,H383=$S$4,H383=$S$7,H383=$S$10,H383=$S$11),"Salem",OR(H383=$S$6),"Keizer",OR(H383=$S$8,H383=$S$9,H383=$S$12),"Marion")</f>
        <v>Salem</v>
      </c>
      <c r="L383">
        <v>229</v>
      </c>
      <c r="M383">
        <v>2005</v>
      </c>
      <c r="N383" t="s">
        <v>45</v>
      </c>
      <c r="O383">
        <v>0</v>
      </c>
    </row>
    <row r="384" spans="1:15" x14ac:dyDescent="0.25">
      <c r="A384">
        <v>229</v>
      </c>
      <c r="B384">
        <v>2021</v>
      </c>
      <c r="C384">
        <v>45</v>
      </c>
      <c r="D384">
        <v>28</v>
      </c>
      <c r="E384">
        <v>0</v>
      </c>
      <c r="F384" t="str" cm="1">
        <f t="array" ref="F384">_xlfn.XLOOKUP(A384&amp;B384,$L$2:$L$739&amp;$M$2:$M$739,$N$2:$N$739)</f>
        <v>High</v>
      </c>
      <c r="G384">
        <f t="shared" si="5"/>
        <v>73</v>
      </c>
      <c r="H384" t="str">
        <f>_xlfn.XLOOKUP(A384,VE!$A$2:$A$247,VE!$B$2:$B$247)</f>
        <v>Salem_4</v>
      </c>
      <c r="I384" t="str" cm="1">
        <f t="array" ref="I384">_xlfn.IFS(OR(H384=$S$2,H384=$S$13,H384=$S$5),"Other",OR(H384=$S$3,H384=$S$4,H384=$S$7,H384=$S$10,H384=$S$11),"Salem",OR(H384=$S$6),"Keizer",OR(H384=$S$8,H384=$S$9,H384=$S$12),"Marion")</f>
        <v>Salem</v>
      </c>
      <c r="L384">
        <v>229</v>
      </c>
      <c r="M384">
        <v>2021</v>
      </c>
      <c r="N384" t="s">
        <v>46</v>
      </c>
      <c r="O384">
        <v>1</v>
      </c>
    </row>
    <row r="385" spans="1:15" x14ac:dyDescent="0.25">
      <c r="A385">
        <v>229</v>
      </c>
      <c r="B385">
        <v>2050</v>
      </c>
      <c r="C385">
        <v>41</v>
      </c>
      <c r="D385">
        <v>40</v>
      </c>
      <c r="E385">
        <v>0</v>
      </c>
      <c r="F385" t="str" cm="1">
        <f t="array" ref="F385">_xlfn.XLOOKUP(A385&amp;B385,$L$2:$L$739&amp;$M$2:$M$739,$N$2:$N$739)</f>
        <v>High</v>
      </c>
      <c r="G385">
        <f t="shared" si="5"/>
        <v>81</v>
      </c>
      <c r="H385" t="str">
        <f>_xlfn.XLOOKUP(A385,VE!$A$2:$A$247,VE!$B$2:$B$247)</f>
        <v>Salem_4</v>
      </c>
      <c r="I385" t="str" cm="1">
        <f t="array" ref="I385">_xlfn.IFS(OR(H385=$S$2,H385=$S$13,H385=$S$5),"Other",OR(H385=$S$3,H385=$S$4,H385=$S$7,H385=$S$10,H385=$S$11),"Salem",OR(H385=$S$6),"Keizer",OR(H385=$S$8,H385=$S$9,H385=$S$12),"Marion")</f>
        <v>Salem</v>
      </c>
      <c r="L385">
        <v>229</v>
      </c>
      <c r="M385">
        <v>2050</v>
      </c>
      <c r="N385" t="s">
        <v>46</v>
      </c>
      <c r="O385">
        <v>1</v>
      </c>
    </row>
    <row r="386" spans="1:15" x14ac:dyDescent="0.25">
      <c r="A386">
        <v>230</v>
      </c>
      <c r="B386">
        <v>2005</v>
      </c>
      <c r="C386">
        <v>105</v>
      </c>
      <c r="D386">
        <v>56</v>
      </c>
      <c r="E386">
        <v>0</v>
      </c>
      <c r="F386" t="str" cm="1">
        <f t="array" ref="F386">_xlfn.XLOOKUP(A386&amp;B386,$L$2:$L$739&amp;$M$2:$M$739,$N$2:$N$739)</f>
        <v>Low</v>
      </c>
      <c r="G386">
        <f t="shared" si="5"/>
        <v>0</v>
      </c>
      <c r="H386" t="str">
        <f>_xlfn.XLOOKUP(A386,VE!$A$2:$A$247,VE!$B$2:$B$247)</f>
        <v>Salem_4</v>
      </c>
      <c r="I386" t="str" cm="1">
        <f t="array" ref="I386">_xlfn.IFS(OR(H386=$S$2,H386=$S$13,H386=$S$5),"Other",OR(H386=$S$3,H386=$S$4,H386=$S$7,H386=$S$10,H386=$S$11),"Salem",OR(H386=$S$6),"Keizer",OR(H386=$S$8,H386=$S$9,H386=$S$12),"Marion")</f>
        <v>Salem</v>
      </c>
      <c r="L386">
        <v>230</v>
      </c>
      <c r="M386">
        <v>2005</v>
      </c>
      <c r="N386" t="s">
        <v>45</v>
      </c>
      <c r="O386">
        <v>0</v>
      </c>
    </row>
    <row r="387" spans="1:15" x14ac:dyDescent="0.25">
      <c r="A387">
        <v>230</v>
      </c>
      <c r="B387">
        <v>2021</v>
      </c>
      <c r="C387">
        <v>219</v>
      </c>
      <c r="D387">
        <v>113</v>
      </c>
      <c r="E387">
        <v>0</v>
      </c>
      <c r="F387" t="str" cm="1">
        <f t="array" ref="F387">_xlfn.XLOOKUP(A387&amp;B387,$L$2:$L$739&amp;$M$2:$M$739,$N$2:$N$739)</f>
        <v>Low</v>
      </c>
      <c r="G387">
        <f t="shared" ref="G387:G450" si="6">IF(F387="High",SUM(C387:D387),0)</f>
        <v>0</v>
      </c>
      <c r="H387" t="str">
        <f>_xlfn.XLOOKUP(A387,VE!$A$2:$A$247,VE!$B$2:$B$247)</f>
        <v>Salem_4</v>
      </c>
      <c r="I387" t="str" cm="1">
        <f t="array" ref="I387">_xlfn.IFS(OR(H387=$S$2,H387=$S$13,H387=$S$5),"Other",OR(H387=$S$3,H387=$S$4,H387=$S$7,H387=$S$10,H387=$S$11),"Salem",OR(H387=$S$6),"Keizer",OR(H387=$S$8,H387=$S$9,H387=$S$12),"Marion")</f>
        <v>Salem</v>
      </c>
      <c r="L387">
        <v>230</v>
      </c>
      <c r="M387">
        <v>2021</v>
      </c>
      <c r="N387" t="s">
        <v>45</v>
      </c>
      <c r="O387">
        <v>0</v>
      </c>
    </row>
    <row r="388" spans="1:15" x14ac:dyDescent="0.25">
      <c r="A388">
        <v>230</v>
      </c>
      <c r="B388">
        <v>2050</v>
      </c>
      <c r="C388">
        <v>219</v>
      </c>
      <c r="D388">
        <v>113</v>
      </c>
      <c r="E388">
        <v>0</v>
      </c>
      <c r="F388" t="str" cm="1">
        <f t="array" ref="F388">_xlfn.XLOOKUP(A388&amp;B388,$L$2:$L$739&amp;$M$2:$M$739,$N$2:$N$739)</f>
        <v>Low</v>
      </c>
      <c r="G388">
        <f t="shared" si="6"/>
        <v>0</v>
      </c>
      <c r="H388" t="str">
        <f>_xlfn.XLOOKUP(A388,VE!$A$2:$A$247,VE!$B$2:$B$247)</f>
        <v>Salem_4</v>
      </c>
      <c r="I388" t="str" cm="1">
        <f t="array" ref="I388">_xlfn.IFS(OR(H388=$S$2,H388=$S$13,H388=$S$5),"Other",OR(H388=$S$3,H388=$S$4,H388=$S$7,H388=$S$10,H388=$S$11),"Salem",OR(H388=$S$6),"Keizer",OR(H388=$S$8,H388=$S$9,H388=$S$12),"Marion")</f>
        <v>Salem</v>
      </c>
      <c r="L388">
        <v>230</v>
      </c>
      <c r="M388">
        <v>2050</v>
      </c>
      <c r="N388" t="s">
        <v>45</v>
      </c>
      <c r="O388">
        <v>0</v>
      </c>
    </row>
    <row r="389" spans="1:15" x14ac:dyDescent="0.25">
      <c r="A389">
        <v>231</v>
      </c>
      <c r="B389">
        <v>2005</v>
      </c>
      <c r="C389">
        <v>128</v>
      </c>
      <c r="D389">
        <v>38</v>
      </c>
      <c r="E389">
        <v>0</v>
      </c>
      <c r="F389" t="str" cm="1">
        <f t="array" ref="F389">_xlfn.XLOOKUP(A389&amp;B389,$L$2:$L$739&amp;$M$2:$M$739,$N$2:$N$739)</f>
        <v>Low</v>
      </c>
      <c r="G389">
        <f t="shared" si="6"/>
        <v>0</v>
      </c>
      <c r="H389" t="str">
        <f>_xlfn.XLOOKUP(A389,VE!$A$2:$A$247,VE!$B$2:$B$247)</f>
        <v>Salem_4</v>
      </c>
      <c r="I389" t="str" cm="1">
        <f t="array" ref="I389">_xlfn.IFS(OR(H389=$S$2,H389=$S$13,H389=$S$5),"Other",OR(H389=$S$3,H389=$S$4,H389=$S$7,H389=$S$10,H389=$S$11),"Salem",OR(H389=$S$6),"Keizer",OR(H389=$S$8,H389=$S$9,H389=$S$12),"Marion")</f>
        <v>Salem</v>
      </c>
      <c r="L389">
        <v>231</v>
      </c>
      <c r="M389">
        <v>2005</v>
      </c>
      <c r="N389" t="s">
        <v>45</v>
      </c>
      <c r="O389">
        <v>0</v>
      </c>
    </row>
    <row r="390" spans="1:15" x14ac:dyDescent="0.25">
      <c r="A390">
        <v>231</v>
      </c>
      <c r="B390">
        <v>2021</v>
      </c>
      <c r="C390">
        <v>138</v>
      </c>
      <c r="D390">
        <v>28</v>
      </c>
      <c r="E390">
        <v>0</v>
      </c>
      <c r="F390" t="str" cm="1">
        <f t="array" ref="F390">_xlfn.XLOOKUP(A390&amp;B390,$L$2:$L$739&amp;$M$2:$M$739,$N$2:$N$739)</f>
        <v>Low</v>
      </c>
      <c r="G390">
        <f t="shared" si="6"/>
        <v>0</v>
      </c>
      <c r="H390" t="str">
        <f>_xlfn.XLOOKUP(A390,VE!$A$2:$A$247,VE!$B$2:$B$247)</f>
        <v>Salem_4</v>
      </c>
      <c r="I390" t="str" cm="1">
        <f t="array" ref="I390">_xlfn.IFS(OR(H390=$S$2,H390=$S$13,H390=$S$5),"Other",OR(H390=$S$3,H390=$S$4,H390=$S$7,H390=$S$10,H390=$S$11),"Salem",OR(H390=$S$6),"Keizer",OR(H390=$S$8,H390=$S$9,H390=$S$12),"Marion")</f>
        <v>Salem</v>
      </c>
      <c r="L390">
        <v>231</v>
      </c>
      <c r="M390">
        <v>2021</v>
      </c>
      <c r="N390" t="s">
        <v>45</v>
      </c>
      <c r="O390">
        <v>0</v>
      </c>
    </row>
    <row r="391" spans="1:15" x14ac:dyDescent="0.25">
      <c r="A391">
        <v>231</v>
      </c>
      <c r="B391">
        <v>2050</v>
      </c>
      <c r="C391">
        <v>139</v>
      </c>
      <c r="D391">
        <v>28</v>
      </c>
      <c r="E391">
        <v>0</v>
      </c>
      <c r="F391" t="str" cm="1">
        <f t="array" ref="F391">_xlfn.XLOOKUP(A391&amp;B391,$L$2:$L$739&amp;$M$2:$M$739,$N$2:$N$739)</f>
        <v>Low</v>
      </c>
      <c r="G391">
        <f t="shared" si="6"/>
        <v>0</v>
      </c>
      <c r="H391" t="str">
        <f>_xlfn.XLOOKUP(A391,VE!$A$2:$A$247,VE!$B$2:$B$247)</f>
        <v>Salem_4</v>
      </c>
      <c r="I391" t="str" cm="1">
        <f t="array" ref="I391">_xlfn.IFS(OR(H391=$S$2,H391=$S$13,H391=$S$5),"Other",OR(H391=$S$3,H391=$S$4,H391=$S$7,H391=$S$10,H391=$S$11),"Salem",OR(H391=$S$6),"Keizer",OR(H391=$S$8,H391=$S$9,H391=$S$12),"Marion")</f>
        <v>Salem</v>
      </c>
      <c r="L391">
        <v>231</v>
      </c>
      <c r="M391">
        <v>2050</v>
      </c>
      <c r="N391" t="s">
        <v>45</v>
      </c>
      <c r="O391">
        <v>0</v>
      </c>
    </row>
    <row r="392" spans="1:15" x14ac:dyDescent="0.25">
      <c r="A392">
        <v>232</v>
      </c>
      <c r="B392">
        <v>2005</v>
      </c>
      <c r="C392">
        <v>365</v>
      </c>
      <c r="D392">
        <v>111</v>
      </c>
      <c r="E392">
        <v>0</v>
      </c>
      <c r="F392" t="str" cm="1">
        <f t="array" ref="F392">_xlfn.XLOOKUP(A392&amp;B392,$L$2:$L$739&amp;$M$2:$M$739,$N$2:$N$739)</f>
        <v>Low</v>
      </c>
      <c r="G392">
        <f t="shared" si="6"/>
        <v>0</v>
      </c>
      <c r="H392" t="str">
        <f>_xlfn.XLOOKUP(A392,VE!$A$2:$A$247,VE!$B$2:$B$247)</f>
        <v>Salem_3</v>
      </c>
      <c r="I392" t="str" cm="1">
        <f t="array" ref="I392">_xlfn.IFS(OR(H392=$S$2,H392=$S$13,H392=$S$5),"Other",OR(H392=$S$3,H392=$S$4,H392=$S$7,H392=$S$10,H392=$S$11),"Salem",OR(H392=$S$6),"Keizer",OR(H392=$S$8,H392=$S$9,H392=$S$12),"Marion")</f>
        <v>Salem</v>
      </c>
      <c r="L392">
        <v>232</v>
      </c>
      <c r="M392">
        <v>2005</v>
      </c>
      <c r="N392" t="s">
        <v>45</v>
      </c>
      <c r="O392">
        <v>0</v>
      </c>
    </row>
    <row r="393" spans="1:15" x14ac:dyDescent="0.25">
      <c r="A393">
        <v>232</v>
      </c>
      <c r="B393">
        <v>2021</v>
      </c>
      <c r="C393">
        <v>401</v>
      </c>
      <c r="D393">
        <v>86</v>
      </c>
      <c r="E393">
        <v>0</v>
      </c>
      <c r="F393" t="str" cm="1">
        <f t="array" ref="F393">_xlfn.XLOOKUP(A393&amp;B393,$L$2:$L$739&amp;$M$2:$M$739,$N$2:$N$739)</f>
        <v>High</v>
      </c>
      <c r="G393">
        <f t="shared" si="6"/>
        <v>487</v>
      </c>
      <c r="H393" t="str">
        <f>_xlfn.XLOOKUP(A393,VE!$A$2:$A$247,VE!$B$2:$B$247)</f>
        <v>Salem_3</v>
      </c>
      <c r="I393" t="str" cm="1">
        <f t="array" ref="I393">_xlfn.IFS(OR(H393=$S$2,H393=$S$13,H393=$S$5),"Other",OR(H393=$S$3,H393=$S$4,H393=$S$7,H393=$S$10,H393=$S$11),"Salem",OR(H393=$S$6),"Keizer",OR(H393=$S$8,H393=$S$9,H393=$S$12),"Marion")</f>
        <v>Salem</v>
      </c>
      <c r="L393">
        <v>232</v>
      </c>
      <c r="M393">
        <v>2021</v>
      </c>
      <c r="N393" t="s">
        <v>46</v>
      </c>
      <c r="O393">
        <v>1</v>
      </c>
    </row>
    <row r="394" spans="1:15" x14ac:dyDescent="0.25">
      <c r="A394">
        <v>232</v>
      </c>
      <c r="B394">
        <v>2050</v>
      </c>
      <c r="C394">
        <v>396</v>
      </c>
      <c r="D394">
        <v>104</v>
      </c>
      <c r="E394">
        <v>0</v>
      </c>
      <c r="F394" t="str" cm="1">
        <f t="array" ref="F394">_xlfn.XLOOKUP(A394&amp;B394,$L$2:$L$739&amp;$M$2:$M$739,$N$2:$N$739)</f>
        <v>High</v>
      </c>
      <c r="G394">
        <f t="shared" si="6"/>
        <v>500</v>
      </c>
      <c r="H394" t="str">
        <f>_xlfn.XLOOKUP(A394,VE!$A$2:$A$247,VE!$B$2:$B$247)</f>
        <v>Salem_3</v>
      </c>
      <c r="I394" t="str" cm="1">
        <f t="array" ref="I394">_xlfn.IFS(OR(H394=$S$2,H394=$S$13,H394=$S$5),"Other",OR(H394=$S$3,H394=$S$4,H394=$S$7,H394=$S$10,H394=$S$11),"Salem",OR(H394=$S$6),"Keizer",OR(H394=$S$8,H394=$S$9,H394=$S$12),"Marion")</f>
        <v>Salem</v>
      </c>
      <c r="L394">
        <v>232</v>
      </c>
      <c r="M394">
        <v>2050</v>
      </c>
      <c r="N394" t="s">
        <v>46</v>
      </c>
      <c r="O394">
        <v>1</v>
      </c>
    </row>
    <row r="395" spans="1:15" x14ac:dyDescent="0.25">
      <c r="A395">
        <v>233</v>
      </c>
      <c r="B395">
        <v>2005</v>
      </c>
      <c r="C395">
        <v>117</v>
      </c>
      <c r="D395">
        <v>71</v>
      </c>
      <c r="E395">
        <v>0</v>
      </c>
      <c r="F395" t="str" cm="1">
        <f t="array" ref="F395">_xlfn.XLOOKUP(A395&amp;B395,$L$2:$L$739&amp;$M$2:$M$739,$N$2:$N$739)</f>
        <v>Low</v>
      </c>
      <c r="G395">
        <f t="shared" si="6"/>
        <v>0</v>
      </c>
      <c r="H395" t="str">
        <f>_xlfn.XLOOKUP(A395,VE!$A$2:$A$247,VE!$B$2:$B$247)</f>
        <v>Salem_4</v>
      </c>
      <c r="I395" t="str" cm="1">
        <f t="array" ref="I395">_xlfn.IFS(OR(H395=$S$2,H395=$S$13,H395=$S$5),"Other",OR(H395=$S$3,H395=$S$4,H395=$S$7,H395=$S$10,H395=$S$11),"Salem",OR(H395=$S$6),"Keizer",OR(H395=$S$8,H395=$S$9,H395=$S$12),"Marion")</f>
        <v>Salem</v>
      </c>
      <c r="L395">
        <v>233</v>
      </c>
      <c r="M395">
        <v>2005</v>
      </c>
      <c r="N395" t="s">
        <v>45</v>
      </c>
      <c r="O395">
        <v>0</v>
      </c>
    </row>
    <row r="396" spans="1:15" x14ac:dyDescent="0.25">
      <c r="A396">
        <v>233</v>
      </c>
      <c r="B396">
        <v>2021</v>
      </c>
      <c r="C396">
        <v>123</v>
      </c>
      <c r="D396">
        <v>73</v>
      </c>
      <c r="E396">
        <v>0</v>
      </c>
      <c r="F396" t="str" cm="1">
        <f t="array" ref="F396">_xlfn.XLOOKUP(A396&amp;B396,$L$2:$L$739&amp;$M$2:$M$739,$N$2:$N$739)</f>
        <v>Low</v>
      </c>
      <c r="G396">
        <f t="shared" si="6"/>
        <v>0</v>
      </c>
      <c r="H396" t="str">
        <f>_xlfn.XLOOKUP(A396,VE!$A$2:$A$247,VE!$B$2:$B$247)</f>
        <v>Salem_4</v>
      </c>
      <c r="I396" t="str" cm="1">
        <f t="array" ref="I396">_xlfn.IFS(OR(H396=$S$2,H396=$S$13,H396=$S$5),"Other",OR(H396=$S$3,H396=$S$4,H396=$S$7,H396=$S$10,H396=$S$11),"Salem",OR(H396=$S$6),"Keizer",OR(H396=$S$8,H396=$S$9,H396=$S$12),"Marion")</f>
        <v>Salem</v>
      </c>
      <c r="L396">
        <v>233</v>
      </c>
      <c r="M396">
        <v>2021</v>
      </c>
      <c r="N396" t="s">
        <v>45</v>
      </c>
      <c r="O396">
        <v>0</v>
      </c>
    </row>
    <row r="397" spans="1:15" x14ac:dyDescent="0.25">
      <c r="A397">
        <v>233</v>
      </c>
      <c r="B397">
        <v>2050</v>
      </c>
      <c r="C397">
        <v>121</v>
      </c>
      <c r="D397">
        <v>84</v>
      </c>
      <c r="E397">
        <v>0</v>
      </c>
      <c r="F397" t="str" cm="1">
        <f t="array" ref="F397">_xlfn.XLOOKUP(A397&amp;B397,$L$2:$L$739&amp;$M$2:$M$739,$N$2:$N$739)</f>
        <v>Low</v>
      </c>
      <c r="G397">
        <f t="shared" si="6"/>
        <v>0</v>
      </c>
      <c r="H397" t="str">
        <f>_xlfn.XLOOKUP(A397,VE!$A$2:$A$247,VE!$B$2:$B$247)</f>
        <v>Salem_4</v>
      </c>
      <c r="I397" t="str" cm="1">
        <f t="array" ref="I397">_xlfn.IFS(OR(H397=$S$2,H397=$S$13,H397=$S$5),"Other",OR(H397=$S$3,H397=$S$4,H397=$S$7,H397=$S$10,H397=$S$11),"Salem",OR(H397=$S$6),"Keizer",OR(H397=$S$8,H397=$S$9,H397=$S$12),"Marion")</f>
        <v>Salem</v>
      </c>
      <c r="L397">
        <v>233</v>
      </c>
      <c r="M397">
        <v>2050</v>
      </c>
      <c r="N397" t="s">
        <v>45</v>
      </c>
      <c r="O397">
        <v>0</v>
      </c>
    </row>
    <row r="398" spans="1:15" x14ac:dyDescent="0.25">
      <c r="A398">
        <v>234</v>
      </c>
      <c r="B398">
        <v>2005</v>
      </c>
      <c r="C398">
        <v>64</v>
      </c>
      <c r="D398">
        <v>75</v>
      </c>
      <c r="E398">
        <v>0</v>
      </c>
      <c r="F398" t="str" cm="1">
        <f t="array" ref="F398">_xlfn.XLOOKUP(A398&amp;B398,$L$2:$L$739&amp;$M$2:$M$739,$N$2:$N$739)</f>
        <v>Low</v>
      </c>
      <c r="G398">
        <f t="shared" si="6"/>
        <v>0</v>
      </c>
      <c r="H398" t="str">
        <f>_xlfn.XLOOKUP(A398,VE!$A$2:$A$247,VE!$B$2:$B$247)</f>
        <v>Salem_4</v>
      </c>
      <c r="I398" t="str" cm="1">
        <f t="array" ref="I398">_xlfn.IFS(OR(H398=$S$2,H398=$S$13,H398=$S$5),"Other",OR(H398=$S$3,H398=$S$4,H398=$S$7,H398=$S$10,H398=$S$11),"Salem",OR(H398=$S$6),"Keizer",OR(H398=$S$8,H398=$S$9,H398=$S$12),"Marion")</f>
        <v>Salem</v>
      </c>
      <c r="L398">
        <v>234</v>
      </c>
      <c r="M398">
        <v>2005</v>
      </c>
      <c r="N398" t="s">
        <v>45</v>
      </c>
      <c r="O398">
        <v>0</v>
      </c>
    </row>
    <row r="399" spans="1:15" x14ac:dyDescent="0.25">
      <c r="A399">
        <v>234</v>
      </c>
      <c r="B399">
        <v>2021</v>
      </c>
      <c r="C399">
        <v>100</v>
      </c>
      <c r="D399">
        <v>108</v>
      </c>
      <c r="E399">
        <v>0</v>
      </c>
      <c r="F399" t="str" cm="1">
        <f t="array" ref="F399">_xlfn.XLOOKUP(A399&amp;B399,$L$2:$L$739&amp;$M$2:$M$739,$N$2:$N$739)</f>
        <v>High</v>
      </c>
      <c r="G399">
        <f t="shared" si="6"/>
        <v>208</v>
      </c>
      <c r="H399" t="str">
        <f>_xlfn.XLOOKUP(A399,VE!$A$2:$A$247,VE!$B$2:$B$247)</f>
        <v>Salem_4</v>
      </c>
      <c r="I399" t="str" cm="1">
        <f t="array" ref="I399">_xlfn.IFS(OR(H399=$S$2,H399=$S$13,H399=$S$5),"Other",OR(H399=$S$3,H399=$S$4,H399=$S$7,H399=$S$10,H399=$S$11),"Salem",OR(H399=$S$6),"Keizer",OR(H399=$S$8,H399=$S$9,H399=$S$12),"Marion")</f>
        <v>Salem</v>
      </c>
      <c r="L399">
        <v>234</v>
      </c>
      <c r="M399">
        <v>2021</v>
      </c>
      <c r="N399" t="s">
        <v>46</v>
      </c>
      <c r="O399">
        <v>1</v>
      </c>
    </row>
    <row r="400" spans="1:15" x14ac:dyDescent="0.25">
      <c r="A400">
        <v>234</v>
      </c>
      <c r="B400">
        <v>2050</v>
      </c>
      <c r="C400">
        <v>98</v>
      </c>
      <c r="D400">
        <v>107</v>
      </c>
      <c r="E400">
        <v>0</v>
      </c>
      <c r="F400" t="str" cm="1">
        <f t="array" ref="F400">_xlfn.XLOOKUP(A400&amp;B400,$L$2:$L$739&amp;$M$2:$M$739,$N$2:$N$739)</f>
        <v>High</v>
      </c>
      <c r="G400">
        <f t="shared" si="6"/>
        <v>205</v>
      </c>
      <c r="H400" t="str">
        <f>_xlfn.XLOOKUP(A400,VE!$A$2:$A$247,VE!$B$2:$B$247)</f>
        <v>Salem_4</v>
      </c>
      <c r="I400" t="str" cm="1">
        <f t="array" ref="I400">_xlfn.IFS(OR(H400=$S$2,H400=$S$13,H400=$S$5),"Other",OR(H400=$S$3,H400=$S$4,H400=$S$7,H400=$S$10,H400=$S$11),"Salem",OR(H400=$S$6),"Keizer",OR(H400=$S$8,H400=$S$9,H400=$S$12),"Marion")</f>
        <v>Salem</v>
      </c>
      <c r="L400">
        <v>234</v>
      </c>
      <c r="M400">
        <v>2050</v>
      </c>
      <c r="N400" t="s">
        <v>46</v>
      </c>
      <c r="O400">
        <v>1</v>
      </c>
    </row>
    <row r="401" spans="1:15" x14ac:dyDescent="0.25">
      <c r="A401">
        <v>235</v>
      </c>
      <c r="B401">
        <v>2005</v>
      </c>
      <c r="C401">
        <v>39</v>
      </c>
      <c r="D401">
        <v>42</v>
      </c>
      <c r="E401">
        <v>0</v>
      </c>
      <c r="F401" t="str" cm="1">
        <f t="array" ref="F401">_xlfn.XLOOKUP(A401&amp;B401,$L$2:$L$739&amp;$M$2:$M$739,$N$2:$N$739)</f>
        <v>Low</v>
      </c>
      <c r="G401">
        <f t="shared" si="6"/>
        <v>0</v>
      </c>
      <c r="H401" t="str">
        <f>_xlfn.XLOOKUP(A401,VE!$A$2:$A$247,VE!$B$2:$B$247)</f>
        <v>Salem_4</v>
      </c>
      <c r="I401" t="str" cm="1">
        <f t="array" ref="I401">_xlfn.IFS(OR(H401=$S$2,H401=$S$13,H401=$S$5),"Other",OR(H401=$S$3,H401=$S$4,H401=$S$7,H401=$S$10,H401=$S$11),"Salem",OR(H401=$S$6),"Keizer",OR(H401=$S$8,H401=$S$9,H401=$S$12),"Marion")</f>
        <v>Salem</v>
      </c>
      <c r="L401">
        <v>235</v>
      </c>
      <c r="M401">
        <v>2005</v>
      </c>
      <c r="N401" t="s">
        <v>45</v>
      </c>
      <c r="O401">
        <v>0</v>
      </c>
    </row>
    <row r="402" spans="1:15" x14ac:dyDescent="0.25">
      <c r="A402">
        <v>235</v>
      </c>
      <c r="B402">
        <v>2021</v>
      </c>
      <c r="C402">
        <v>47</v>
      </c>
      <c r="D402">
        <v>37</v>
      </c>
      <c r="E402">
        <v>0</v>
      </c>
      <c r="F402" t="str" cm="1">
        <f t="array" ref="F402">_xlfn.XLOOKUP(A402&amp;B402,$L$2:$L$739&amp;$M$2:$M$739,$N$2:$N$739)</f>
        <v>High</v>
      </c>
      <c r="G402">
        <f t="shared" si="6"/>
        <v>84</v>
      </c>
      <c r="H402" t="str">
        <f>_xlfn.XLOOKUP(A402,VE!$A$2:$A$247,VE!$B$2:$B$247)</f>
        <v>Salem_4</v>
      </c>
      <c r="I402" t="str" cm="1">
        <f t="array" ref="I402">_xlfn.IFS(OR(H402=$S$2,H402=$S$13,H402=$S$5),"Other",OR(H402=$S$3,H402=$S$4,H402=$S$7,H402=$S$10,H402=$S$11),"Salem",OR(H402=$S$6),"Keizer",OR(H402=$S$8,H402=$S$9,H402=$S$12),"Marion")</f>
        <v>Salem</v>
      </c>
      <c r="L402">
        <v>235</v>
      </c>
      <c r="M402">
        <v>2021</v>
      </c>
      <c r="N402" t="s">
        <v>46</v>
      </c>
      <c r="O402">
        <v>1</v>
      </c>
    </row>
    <row r="403" spans="1:15" x14ac:dyDescent="0.25">
      <c r="A403">
        <v>235</v>
      </c>
      <c r="B403">
        <v>2050</v>
      </c>
      <c r="C403">
        <v>45</v>
      </c>
      <c r="D403">
        <v>35</v>
      </c>
      <c r="E403">
        <v>0</v>
      </c>
      <c r="F403" t="str" cm="1">
        <f t="array" ref="F403">_xlfn.XLOOKUP(A403&amp;B403,$L$2:$L$739&amp;$M$2:$M$739,$N$2:$N$739)</f>
        <v>High</v>
      </c>
      <c r="G403">
        <f t="shared" si="6"/>
        <v>80</v>
      </c>
      <c r="H403" t="str">
        <f>_xlfn.XLOOKUP(A403,VE!$A$2:$A$247,VE!$B$2:$B$247)</f>
        <v>Salem_4</v>
      </c>
      <c r="I403" t="str" cm="1">
        <f t="array" ref="I403">_xlfn.IFS(OR(H403=$S$2,H403=$S$13,H403=$S$5),"Other",OR(H403=$S$3,H403=$S$4,H403=$S$7,H403=$S$10,H403=$S$11),"Salem",OR(H403=$S$6),"Keizer",OR(H403=$S$8,H403=$S$9,H403=$S$12),"Marion")</f>
        <v>Salem</v>
      </c>
      <c r="L403">
        <v>235</v>
      </c>
      <c r="M403">
        <v>2050</v>
      </c>
      <c r="N403" t="s">
        <v>46</v>
      </c>
      <c r="O403">
        <v>1</v>
      </c>
    </row>
    <row r="404" spans="1:15" x14ac:dyDescent="0.25">
      <c r="A404">
        <v>236</v>
      </c>
      <c r="B404">
        <v>2005</v>
      </c>
      <c r="C404">
        <v>16</v>
      </c>
      <c r="D404">
        <v>43</v>
      </c>
      <c r="E404">
        <v>0</v>
      </c>
      <c r="F404" t="str" cm="1">
        <f t="array" ref="F404">_xlfn.XLOOKUP(A404&amp;B404,$L$2:$L$739&amp;$M$2:$M$739,$N$2:$N$739)</f>
        <v>Low</v>
      </c>
      <c r="G404">
        <f t="shared" si="6"/>
        <v>0</v>
      </c>
      <c r="H404" t="str">
        <f>_xlfn.XLOOKUP(A404,VE!$A$2:$A$247,VE!$B$2:$B$247)</f>
        <v>Salem_4</v>
      </c>
      <c r="I404" t="str" cm="1">
        <f t="array" ref="I404">_xlfn.IFS(OR(H404=$S$2,H404=$S$13,H404=$S$5),"Other",OR(H404=$S$3,H404=$S$4,H404=$S$7,H404=$S$10,H404=$S$11),"Salem",OR(H404=$S$6),"Keizer",OR(H404=$S$8,H404=$S$9,H404=$S$12),"Marion")</f>
        <v>Salem</v>
      </c>
      <c r="L404">
        <v>236</v>
      </c>
      <c r="M404">
        <v>2005</v>
      </c>
      <c r="N404" t="s">
        <v>45</v>
      </c>
      <c r="O404">
        <v>0</v>
      </c>
    </row>
    <row r="405" spans="1:15" x14ac:dyDescent="0.25">
      <c r="A405">
        <v>236</v>
      </c>
      <c r="B405">
        <v>2021</v>
      </c>
      <c r="C405">
        <v>11</v>
      </c>
      <c r="D405">
        <v>52</v>
      </c>
      <c r="E405">
        <v>0</v>
      </c>
      <c r="F405" t="str" cm="1">
        <f t="array" ref="F405">_xlfn.XLOOKUP(A405&amp;B405,$L$2:$L$739&amp;$M$2:$M$739,$N$2:$N$739)</f>
        <v>High</v>
      </c>
      <c r="G405">
        <f t="shared" si="6"/>
        <v>63</v>
      </c>
      <c r="H405" t="str">
        <f>_xlfn.XLOOKUP(A405,VE!$A$2:$A$247,VE!$B$2:$B$247)</f>
        <v>Salem_4</v>
      </c>
      <c r="I405" t="str" cm="1">
        <f t="array" ref="I405">_xlfn.IFS(OR(H405=$S$2,H405=$S$13,H405=$S$5),"Other",OR(H405=$S$3,H405=$S$4,H405=$S$7,H405=$S$10,H405=$S$11),"Salem",OR(H405=$S$6),"Keizer",OR(H405=$S$8,H405=$S$9,H405=$S$12),"Marion")</f>
        <v>Salem</v>
      </c>
      <c r="L405">
        <v>236</v>
      </c>
      <c r="M405">
        <v>2021</v>
      </c>
      <c r="N405" t="s">
        <v>46</v>
      </c>
      <c r="O405">
        <v>1</v>
      </c>
    </row>
    <row r="406" spans="1:15" x14ac:dyDescent="0.25">
      <c r="A406">
        <v>236</v>
      </c>
      <c r="B406">
        <v>2050</v>
      </c>
      <c r="C406">
        <v>11</v>
      </c>
      <c r="D406">
        <v>49</v>
      </c>
      <c r="E406">
        <v>0</v>
      </c>
      <c r="F406" t="str" cm="1">
        <f t="array" ref="F406">_xlfn.XLOOKUP(A406&amp;B406,$L$2:$L$739&amp;$M$2:$M$739,$N$2:$N$739)</f>
        <v>High</v>
      </c>
      <c r="G406">
        <f t="shared" si="6"/>
        <v>60</v>
      </c>
      <c r="H406" t="str">
        <f>_xlfn.XLOOKUP(A406,VE!$A$2:$A$247,VE!$B$2:$B$247)</f>
        <v>Salem_4</v>
      </c>
      <c r="I406" t="str" cm="1">
        <f t="array" ref="I406">_xlfn.IFS(OR(H406=$S$2,H406=$S$13,H406=$S$5),"Other",OR(H406=$S$3,H406=$S$4,H406=$S$7,H406=$S$10,H406=$S$11),"Salem",OR(H406=$S$6),"Keizer",OR(H406=$S$8,H406=$S$9,H406=$S$12),"Marion")</f>
        <v>Salem</v>
      </c>
      <c r="L406">
        <v>236</v>
      </c>
      <c r="M406">
        <v>2050</v>
      </c>
      <c r="N406" t="s">
        <v>46</v>
      </c>
      <c r="O406">
        <v>1</v>
      </c>
    </row>
    <row r="407" spans="1:15" x14ac:dyDescent="0.25">
      <c r="A407">
        <v>237</v>
      </c>
      <c r="B407">
        <v>2005</v>
      </c>
      <c r="C407">
        <v>94</v>
      </c>
      <c r="D407">
        <v>162</v>
      </c>
      <c r="E407">
        <v>0</v>
      </c>
      <c r="F407" t="str" cm="1">
        <f t="array" ref="F407">_xlfn.XLOOKUP(A407&amp;B407,$L$2:$L$739&amp;$M$2:$M$739,$N$2:$N$739)</f>
        <v>Low</v>
      </c>
      <c r="G407">
        <f t="shared" si="6"/>
        <v>0</v>
      </c>
      <c r="H407" t="str">
        <f>_xlfn.XLOOKUP(A407,VE!$A$2:$A$247,VE!$B$2:$B$247)</f>
        <v>Salem_4</v>
      </c>
      <c r="I407" t="str" cm="1">
        <f t="array" ref="I407">_xlfn.IFS(OR(H407=$S$2,H407=$S$13,H407=$S$5),"Other",OR(H407=$S$3,H407=$S$4,H407=$S$7,H407=$S$10,H407=$S$11),"Salem",OR(H407=$S$6),"Keizer",OR(H407=$S$8,H407=$S$9,H407=$S$12),"Marion")</f>
        <v>Salem</v>
      </c>
      <c r="L407">
        <v>237</v>
      </c>
      <c r="M407">
        <v>2005</v>
      </c>
      <c r="N407" t="s">
        <v>45</v>
      </c>
      <c r="O407">
        <v>0</v>
      </c>
    </row>
    <row r="408" spans="1:15" x14ac:dyDescent="0.25">
      <c r="A408">
        <v>237</v>
      </c>
      <c r="B408">
        <v>2021</v>
      </c>
      <c r="C408">
        <v>99</v>
      </c>
      <c r="D408">
        <v>312</v>
      </c>
      <c r="E408">
        <v>0</v>
      </c>
      <c r="F408" t="str" cm="1">
        <f t="array" ref="F408">_xlfn.XLOOKUP(A408&amp;B408,$L$2:$L$739&amp;$M$2:$M$739,$N$2:$N$739)</f>
        <v>High</v>
      </c>
      <c r="G408">
        <f t="shared" si="6"/>
        <v>411</v>
      </c>
      <c r="H408" t="str">
        <f>_xlfn.XLOOKUP(A408,VE!$A$2:$A$247,VE!$B$2:$B$247)</f>
        <v>Salem_4</v>
      </c>
      <c r="I408" t="str" cm="1">
        <f t="array" ref="I408">_xlfn.IFS(OR(H408=$S$2,H408=$S$13,H408=$S$5),"Other",OR(H408=$S$3,H408=$S$4,H408=$S$7,H408=$S$10,H408=$S$11),"Salem",OR(H408=$S$6),"Keizer",OR(H408=$S$8,H408=$S$9,H408=$S$12),"Marion")</f>
        <v>Salem</v>
      </c>
      <c r="L408">
        <v>237</v>
      </c>
      <c r="M408">
        <v>2021</v>
      </c>
      <c r="N408" t="s">
        <v>46</v>
      </c>
      <c r="O408">
        <v>1</v>
      </c>
    </row>
    <row r="409" spans="1:15" x14ac:dyDescent="0.25">
      <c r="A409">
        <v>237</v>
      </c>
      <c r="B409">
        <v>2050</v>
      </c>
      <c r="C409">
        <v>99</v>
      </c>
      <c r="D409">
        <v>352</v>
      </c>
      <c r="E409">
        <v>0</v>
      </c>
      <c r="F409" t="str" cm="1">
        <f t="array" ref="F409">_xlfn.XLOOKUP(A409&amp;B409,$L$2:$L$739&amp;$M$2:$M$739,$N$2:$N$739)</f>
        <v>High</v>
      </c>
      <c r="G409">
        <f t="shared" si="6"/>
        <v>451</v>
      </c>
      <c r="H409" t="str">
        <f>_xlfn.XLOOKUP(A409,VE!$A$2:$A$247,VE!$B$2:$B$247)</f>
        <v>Salem_4</v>
      </c>
      <c r="I409" t="str" cm="1">
        <f t="array" ref="I409">_xlfn.IFS(OR(H409=$S$2,H409=$S$13,H409=$S$5),"Other",OR(H409=$S$3,H409=$S$4,H409=$S$7,H409=$S$10,H409=$S$11),"Salem",OR(H409=$S$6),"Keizer",OR(H409=$S$8,H409=$S$9,H409=$S$12),"Marion")</f>
        <v>Salem</v>
      </c>
      <c r="L409">
        <v>237</v>
      </c>
      <c r="M409">
        <v>2050</v>
      </c>
      <c r="N409" t="s">
        <v>46</v>
      </c>
      <c r="O409">
        <v>1</v>
      </c>
    </row>
    <row r="410" spans="1:15" x14ac:dyDescent="0.25">
      <c r="A410">
        <v>238</v>
      </c>
      <c r="B410">
        <v>2005</v>
      </c>
      <c r="C410">
        <v>133</v>
      </c>
      <c r="D410">
        <v>206</v>
      </c>
      <c r="E410">
        <v>0</v>
      </c>
      <c r="F410" t="str" cm="1">
        <f t="array" ref="F410">_xlfn.XLOOKUP(A410&amp;B410,$L$2:$L$739&amp;$M$2:$M$739,$N$2:$N$739)</f>
        <v>Low</v>
      </c>
      <c r="G410">
        <f t="shared" si="6"/>
        <v>0</v>
      </c>
      <c r="H410" t="str">
        <f>_xlfn.XLOOKUP(A410,VE!$A$2:$A$247,VE!$B$2:$B$247)</f>
        <v>Salem_3</v>
      </c>
      <c r="I410" t="str" cm="1">
        <f t="array" ref="I410">_xlfn.IFS(OR(H410=$S$2,H410=$S$13,H410=$S$5),"Other",OR(H410=$S$3,H410=$S$4,H410=$S$7,H410=$S$10,H410=$S$11),"Salem",OR(H410=$S$6),"Keizer",OR(H410=$S$8,H410=$S$9,H410=$S$12),"Marion")</f>
        <v>Salem</v>
      </c>
      <c r="L410">
        <v>238</v>
      </c>
      <c r="M410">
        <v>2005</v>
      </c>
      <c r="N410" t="s">
        <v>45</v>
      </c>
      <c r="O410">
        <v>0</v>
      </c>
    </row>
    <row r="411" spans="1:15" x14ac:dyDescent="0.25">
      <c r="A411">
        <v>238</v>
      </c>
      <c r="B411">
        <v>2021</v>
      </c>
      <c r="C411">
        <v>156</v>
      </c>
      <c r="D411">
        <v>188</v>
      </c>
      <c r="E411">
        <v>0</v>
      </c>
      <c r="F411" t="str" cm="1">
        <f t="array" ref="F411">_xlfn.XLOOKUP(A411&amp;B411,$L$2:$L$739&amp;$M$2:$M$739,$N$2:$N$739)</f>
        <v>High</v>
      </c>
      <c r="G411">
        <f t="shared" si="6"/>
        <v>344</v>
      </c>
      <c r="H411" t="str">
        <f>_xlfn.XLOOKUP(A411,VE!$A$2:$A$247,VE!$B$2:$B$247)</f>
        <v>Salem_3</v>
      </c>
      <c r="I411" t="str" cm="1">
        <f t="array" ref="I411">_xlfn.IFS(OR(H411=$S$2,H411=$S$13,H411=$S$5),"Other",OR(H411=$S$3,H411=$S$4,H411=$S$7,H411=$S$10,H411=$S$11),"Salem",OR(H411=$S$6),"Keizer",OR(H411=$S$8,H411=$S$9,H411=$S$12),"Marion")</f>
        <v>Salem</v>
      </c>
      <c r="L411">
        <v>238</v>
      </c>
      <c r="M411">
        <v>2021</v>
      </c>
      <c r="N411" t="s">
        <v>46</v>
      </c>
      <c r="O411">
        <v>1</v>
      </c>
    </row>
    <row r="412" spans="1:15" x14ac:dyDescent="0.25">
      <c r="A412">
        <v>238</v>
      </c>
      <c r="B412">
        <v>2050</v>
      </c>
      <c r="C412">
        <v>155</v>
      </c>
      <c r="D412">
        <v>355</v>
      </c>
      <c r="E412">
        <v>0</v>
      </c>
      <c r="F412" t="str" cm="1">
        <f t="array" ref="F412">_xlfn.XLOOKUP(A412&amp;B412,$L$2:$L$739&amp;$M$2:$M$739,$N$2:$N$739)</f>
        <v>High</v>
      </c>
      <c r="G412">
        <f t="shared" si="6"/>
        <v>510</v>
      </c>
      <c r="H412" t="str">
        <f>_xlfn.XLOOKUP(A412,VE!$A$2:$A$247,VE!$B$2:$B$247)</f>
        <v>Salem_3</v>
      </c>
      <c r="I412" t="str" cm="1">
        <f t="array" ref="I412">_xlfn.IFS(OR(H412=$S$2,H412=$S$13,H412=$S$5),"Other",OR(H412=$S$3,H412=$S$4,H412=$S$7,H412=$S$10,H412=$S$11),"Salem",OR(H412=$S$6),"Keizer",OR(H412=$S$8,H412=$S$9,H412=$S$12),"Marion")</f>
        <v>Salem</v>
      </c>
      <c r="L412">
        <v>238</v>
      </c>
      <c r="M412">
        <v>2050</v>
      </c>
      <c r="N412" t="s">
        <v>46</v>
      </c>
      <c r="O412">
        <v>1</v>
      </c>
    </row>
    <row r="413" spans="1:15" x14ac:dyDescent="0.25">
      <c r="A413">
        <v>242</v>
      </c>
      <c r="B413">
        <v>2005</v>
      </c>
      <c r="C413">
        <v>191</v>
      </c>
      <c r="D413">
        <v>98</v>
      </c>
      <c r="E413">
        <v>0</v>
      </c>
      <c r="F413" t="str" cm="1">
        <f t="array" ref="F413">_xlfn.XLOOKUP(A413&amp;B413,$L$2:$L$739&amp;$M$2:$M$739,$N$2:$N$739)</f>
        <v>Low</v>
      </c>
      <c r="G413">
        <f t="shared" si="6"/>
        <v>0</v>
      </c>
      <c r="H413" t="str">
        <f>_xlfn.XLOOKUP(A413,VE!$A$2:$A$247,VE!$B$2:$B$247)</f>
        <v>Salem_4</v>
      </c>
      <c r="I413" t="str" cm="1">
        <f t="array" ref="I413">_xlfn.IFS(OR(H413=$S$2,H413=$S$13,H413=$S$5),"Other",OR(H413=$S$3,H413=$S$4,H413=$S$7,H413=$S$10,H413=$S$11),"Salem",OR(H413=$S$6),"Keizer",OR(H413=$S$8,H413=$S$9,H413=$S$12),"Marion")</f>
        <v>Salem</v>
      </c>
      <c r="L413">
        <v>242</v>
      </c>
      <c r="M413">
        <v>2005</v>
      </c>
      <c r="N413" t="s">
        <v>45</v>
      </c>
      <c r="O413">
        <v>0</v>
      </c>
    </row>
    <row r="414" spans="1:15" x14ac:dyDescent="0.25">
      <c r="A414">
        <v>242</v>
      </c>
      <c r="B414">
        <v>2021</v>
      </c>
      <c r="C414">
        <v>195</v>
      </c>
      <c r="D414">
        <v>120</v>
      </c>
      <c r="E414">
        <v>0</v>
      </c>
      <c r="F414" t="str" cm="1">
        <f t="array" ref="F414">_xlfn.XLOOKUP(A414&amp;B414,$L$2:$L$739&amp;$M$2:$M$739,$N$2:$N$739)</f>
        <v>High</v>
      </c>
      <c r="G414">
        <f t="shared" si="6"/>
        <v>315</v>
      </c>
      <c r="H414" t="str">
        <f>_xlfn.XLOOKUP(A414,VE!$A$2:$A$247,VE!$B$2:$B$247)</f>
        <v>Salem_4</v>
      </c>
      <c r="I414" t="str" cm="1">
        <f t="array" ref="I414">_xlfn.IFS(OR(H414=$S$2,H414=$S$13,H414=$S$5),"Other",OR(H414=$S$3,H414=$S$4,H414=$S$7,H414=$S$10,H414=$S$11),"Salem",OR(H414=$S$6),"Keizer",OR(H414=$S$8,H414=$S$9,H414=$S$12),"Marion")</f>
        <v>Salem</v>
      </c>
      <c r="L414">
        <v>242</v>
      </c>
      <c r="M414">
        <v>2021</v>
      </c>
      <c r="N414" t="s">
        <v>46</v>
      </c>
      <c r="O414">
        <v>1</v>
      </c>
    </row>
    <row r="415" spans="1:15" x14ac:dyDescent="0.25">
      <c r="A415">
        <v>242</v>
      </c>
      <c r="B415">
        <v>2050</v>
      </c>
      <c r="C415">
        <v>197</v>
      </c>
      <c r="D415">
        <v>167</v>
      </c>
      <c r="E415">
        <v>0</v>
      </c>
      <c r="F415" t="str" cm="1">
        <f t="array" ref="F415">_xlfn.XLOOKUP(A415&amp;B415,$L$2:$L$739&amp;$M$2:$M$739,$N$2:$N$739)</f>
        <v>High</v>
      </c>
      <c r="G415">
        <f t="shared" si="6"/>
        <v>364</v>
      </c>
      <c r="H415" t="str">
        <f>_xlfn.XLOOKUP(A415,VE!$A$2:$A$247,VE!$B$2:$B$247)</f>
        <v>Salem_4</v>
      </c>
      <c r="I415" t="str" cm="1">
        <f t="array" ref="I415">_xlfn.IFS(OR(H415=$S$2,H415=$S$13,H415=$S$5),"Other",OR(H415=$S$3,H415=$S$4,H415=$S$7,H415=$S$10,H415=$S$11),"Salem",OR(H415=$S$6),"Keizer",OR(H415=$S$8,H415=$S$9,H415=$S$12),"Marion")</f>
        <v>Salem</v>
      </c>
      <c r="L415">
        <v>242</v>
      </c>
      <c r="M415">
        <v>2050</v>
      </c>
      <c r="N415" t="s">
        <v>46</v>
      </c>
      <c r="O415">
        <v>1</v>
      </c>
    </row>
    <row r="416" spans="1:15" x14ac:dyDescent="0.25">
      <c r="A416">
        <v>243</v>
      </c>
      <c r="B416">
        <v>2005</v>
      </c>
      <c r="C416">
        <v>0</v>
      </c>
      <c r="D416">
        <v>1</v>
      </c>
      <c r="E416">
        <v>0</v>
      </c>
      <c r="F416" t="str" cm="1">
        <f t="array" ref="F416">_xlfn.XLOOKUP(A416&amp;B416,$L$2:$L$739&amp;$M$2:$M$739,$N$2:$N$739)</f>
        <v>Low</v>
      </c>
      <c r="G416">
        <f t="shared" si="6"/>
        <v>0</v>
      </c>
      <c r="H416" t="str">
        <f>_xlfn.XLOOKUP(A416,VE!$A$2:$A$247,VE!$B$2:$B$247)</f>
        <v>Salem_4</v>
      </c>
      <c r="I416" t="str" cm="1">
        <f t="array" ref="I416">_xlfn.IFS(OR(H416=$S$2,H416=$S$13,H416=$S$5),"Other",OR(H416=$S$3,H416=$S$4,H416=$S$7,H416=$S$10,H416=$S$11),"Salem",OR(H416=$S$6),"Keizer",OR(H416=$S$8,H416=$S$9,H416=$S$12),"Marion")</f>
        <v>Salem</v>
      </c>
      <c r="L416">
        <v>243</v>
      </c>
      <c r="M416">
        <v>2005</v>
      </c>
      <c r="N416" t="s">
        <v>45</v>
      </c>
      <c r="O416">
        <v>0</v>
      </c>
    </row>
    <row r="417" spans="1:15" x14ac:dyDescent="0.25">
      <c r="A417">
        <v>243</v>
      </c>
      <c r="B417">
        <v>2021</v>
      </c>
      <c r="C417">
        <v>0</v>
      </c>
      <c r="D417">
        <v>1</v>
      </c>
      <c r="E417">
        <v>0</v>
      </c>
      <c r="F417" t="str" cm="1">
        <f t="array" ref="F417">_xlfn.XLOOKUP(A417&amp;B417,$L$2:$L$739&amp;$M$2:$M$739,$N$2:$N$739)</f>
        <v>High</v>
      </c>
      <c r="G417">
        <f t="shared" si="6"/>
        <v>1</v>
      </c>
      <c r="H417" t="str">
        <f>_xlfn.XLOOKUP(A417,VE!$A$2:$A$247,VE!$B$2:$B$247)</f>
        <v>Salem_4</v>
      </c>
      <c r="I417" t="str" cm="1">
        <f t="array" ref="I417">_xlfn.IFS(OR(H417=$S$2,H417=$S$13,H417=$S$5),"Other",OR(H417=$S$3,H417=$S$4,H417=$S$7,H417=$S$10,H417=$S$11),"Salem",OR(H417=$S$6),"Keizer",OR(H417=$S$8,H417=$S$9,H417=$S$12),"Marion")</f>
        <v>Salem</v>
      </c>
      <c r="L417">
        <v>243</v>
      </c>
      <c r="M417">
        <v>2021</v>
      </c>
      <c r="N417" t="s">
        <v>46</v>
      </c>
      <c r="O417">
        <v>1</v>
      </c>
    </row>
    <row r="418" spans="1:15" x14ac:dyDescent="0.25">
      <c r="A418">
        <v>243</v>
      </c>
      <c r="B418">
        <v>2050</v>
      </c>
      <c r="C418">
        <v>0</v>
      </c>
      <c r="D418">
        <v>1</v>
      </c>
      <c r="E418">
        <v>0</v>
      </c>
      <c r="F418" t="str" cm="1">
        <f t="array" ref="F418">_xlfn.XLOOKUP(A418&amp;B418,$L$2:$L$739&amp;$M$2:$M$739,$N$2:$N$739)</f>
        <v>High</v>
      </c>
      <c r="G418">
        <f t="shared" si="6"/>
        <v>1</v>
      </c>
      <c r="H418" t="str">
        <f>_xlfn.XLOOKUP(A418,VE!$A$2:$A$247,VE!$B$2:$B$247)</f>
        <v>Salem_4</v>
      </c>
      <c r="I418" t="str" cm="1">
        <f t="array" ref="I418">_xlfn.IFS(OR(H418=$S$2,H418=$S$13,H418=$S$5),"Other",OR(H418=$S$3,H418=$S$4,H418=$S$7,H418=$S$10,H418=$S$11),"Salem",OR(H418=$S$6),"Keizer",OR(H418=$S$8,H418=$S$9,H418=$S$12),"Marion")</f>
        <v>Salem</v>
      </c>
      <c r="L418">
        <v>243</v>
      </c>
      <c r="M418">
        <v>2050</v>
      </c>
      <c r="N418" t="s">
        <v>46</v>
      </c>
      <c r="O418">
        <v>1</v>
      </c>
    </row>
    <row r="419" spans="1:15" x14ac:dyDescent="0.25">
      <c r="A419">
        <v>244</v>
      </c>
      <c r="B419">
        <v>2005</v>
      </c>
      <c r="C419">
        <v>284</v>
      </c>
      <c r="D419">
        <v>33</v>
      </c>
      <c r="E419">
        <v>0</v>
      </c>
      <c r="F419" t="str" cm="1">
        <f t="array" ref="F419">_xlfn.XLOOKUP(A419&amp;B419,$L$2:$L$739&amp;$M$2:$M$739,$N$2:$N$739)</f>
        <v>Low</v>
      </c>
      <c r="G419">
        <f t="shared" si="6"/>
        <v>0</v>
      </c>
      <c r="H419" t="str">
        <f>_xlfn.XLOOKUP(A419,VE!$A$2:$A$247,VE!$B$2:$B$247)</f>
        <v>Salem_4</v>
      </c>
      <c r="I419" t="str" cm="1">
        <f t="array" ref="I419">_xlfn.IFS(OR(H419=$S$2,H419=$S$13,H419=$S$5),"Other",OR(H419=$S$3,H419=$S$4,H419=$S$7,H419=$S$10,H419=$S$11),"Salem",OR(H419=$S$6),"Keizer",OR(H419=$S$8,H419=$S$9,H419=$S$12),"Marion")</f>
        <v>Salem</v>
      </c>
      <c r="L419">
        <v>244</v>
      </c>
      <c r="M419">
        <v>2005</v>
      </c>
      <c r="N419" t="s">
        <v>45</v>
      </c>
      <c r="O419">
        <v>0</v>
      </c>
    </row>
    <row r="420" spans="1:15" x14ac:dyDescent="0.25">
      <c r="A420">
        <v>244</v>
      </c>
      <c r="B420">
        <v>2021</v>
      </c>
      <c r="C420">
        <v>289</v>
      </c>
      <c r="D420">
        <v>36</v>
      </c>
      <c r="E420">
        <v>0</v>
      </c>
      <c r="F420" t="str" cm="1">
        <f t="array" ref="F420">_xlfn.XLOOKUP(A420&amp;B420,$L$2:$L$739&amp;$M$2:$M$739,$N$2:$N$739)</f>
        <v>High</v>
      </c>
      <c r="G420">
        <f t="shared" si="6"/>
        <v>325</v>
      </c>
      <c r="H420" t="str">
        <f>_xlfn.XLOOKUP(A420,VE!$A$2:$A$247,VE!$B$2:$B$247)</f>
        <v>Salem_4</v>
      </c>
      <c r="I420" t="str" cm="1">
        <f t="array" ref="I420">_xlfn.IFS(OR(H420=$S$2,H420=$S$13,H420=$S$5),"Other",OR(H420=$S$3,H420=$S$4,H420=$S$7,H420=$S$10,H420=$S$11),"Salem",OR(H420=$S$6),"Keizer",OR(H420=$S$8,H420=$S$9,H420=$S$12),"Marion")</f>
        <v>Salem</v>
      </c>
      <c r="L420">
        <v>244</v>
      </c>
      <c r="M420">
        <v>2021</v>
      </c>
      <c r="N420" t="s">
        <v>46</v>
      </c>
      <c r="O420">
        <v>1</v>
      </c>
    </row>
    <row r="421" spans="1:15" x14ac:dyDescent="0.25">
      <c r="A421">
        <v>244</v>
      </c>
      <c r="B421">
        <v>2050</v>
      </c>
      <c r="C421">
        <v>292</v>
      </c>
      <c r="D421">
        <v>36</v>
      </c>
      <c r="E421">
        <v>0</v>
      </c>
      <c r="F421" t="str" cm="1">
        <f t="array" ref="F421">_xlfn.XLOOKUP(A421&amp;B421,$L$2:$L$739&amp;$M$2:$M$739,$N$2:$N$739)</f>
        <v>High</v>
      </c>
      <c r="G421">
        <f t="shared" si="6"/>
        <v>328</v>
      </c>
      <c r="H421" t="str">
        <f>_xlfn.XLOOKUP(A421,VE!$A$2:$A$247,VE!$B$2:$B$247)</f>
        <v>Salem_4</v>
      </c>
      <c r="I421" t="str" cm="1">
        <f t="array" ref="I421">_xlfn.IFS(OR(H421=$S$2,H421=$S$13,H421=$S$5),"Other",OR(H421=$S$3,H421=$S$4,H421=$S$7,H421=$S$10,H421=$S$11),"Salem",OR(H421=$S$6),"Keizer",OR(H421=$S$8,H421=$S$9,H421=$S$12),"Marion")</f>
        <v>Salem</v>
      </c>
      <c r="L421">
        <v>244</v>
      </c>
      <c r="M421">
        <v>2050</v>
      </c>
      <c r="N421" t="s">
        <v>46</v>
      </c>
      <c r="O421">
        <v>1</v>
      </c>
    </row>
    <row r="422" spans="1:15" x14ac:dyDescent="0.25">
      <c r="A422">
        <v>245</v>
      </c>
      <c r="B422">
        <v>2005</v>
      </c>
      <c r="C422">
        <v>234</v>
      </c>
      <c r="D422">
        <v>63</v>
      </c>
      <c r="E422">
        <v>0</v>
      </c>
      <c r="F422" t="str" cm="1">
        <f t="array" ref="F422">_xlfn.XLOOKUP(A422&amp;B422,$L$2:$L$739&amp;$M$2:$M$739,$N$2:$N$739)</f>
        <v>Low</v>
      </c>
      <c r="G422">
        <f t="shared" si="6"/>
        <v>0</v>
      </c>
      <c r="H422" t="str">
        <f>_xlfn.XLOOKUP(A422,VE!$A$2:$A$247,VE!$B$2:$B$247)</f>
        <v>Salem_4</v>
      </c>
      <c r="I422" t="str" cm="1">
        <f t="array" ref="I422">_xlfn.IFS(OR(H422=$S$2,H422=$S$13,H422=$S$5),"Other",OR(H422=$S$3,H422=$S$4,H422=$S$7,H422=$S$10,H422=$S$11),"Salem",OR(H422=$S$6),"Keizer",OR(H422=$S$8,H422=$S$9,H422=$S$12),"Marion")</f>
        <v>Salem</v>
      </c>
      <c r="L422">
        <v>245</v>
      </c>
      <c r="M422">
        <v>2005</v>
      </c>
      <c r="N422" t="s">
        <v>45</v>
      </c>
      <c r="O422">
        <v>0</v>
      </c>
    </row>
    <row r="423" spans="1:15" x14ac:dyDescent="0.25">
      <c r="A423">
        <v>245</v>
      </c>
      <c r="B423">
        <v>2021</v>
      </c>
      <c r="C423">
        <v>262</v>
      </c>
      <c r="D423">
        <v>43</v>
      </c>
      <c r="E423">
        <v>0</v>
      </c>
      <c r="F423" t="str" cm="1">
        <f t="array" ref="F423">_xlfn.XLOOKUP(A423&amp;B423,$L$2:$L$739&amp;$M$2:$M$739,$N$2:$N$739)</f>
        <v>High</v>
      </c>
      <c r="G423">
        <f t="shared" si="6"/>
        <v>305</v>
      </c>
      <c r="H423" t="str">
        <f>_xlfn.XLOOKUP(A423,VE!$A$2:$A$247,VE!$B$2:$B$247)</f>
        <v>Salem_4</v>
      </c>
      <c r="I423" t="str" cm="1">
        <f t="array" ref="I423">_xlfn.IFS(OR(H423=$S$2,H423=$S$13,H423=$S$5),"Other",OR(H423=$S$3,H423=$S$4,H423=$S$7,H423=$S$10,H423=$S$11),"Salem",OR(H423=$S$6),"Keizer",OR(H423=$S$8,H423=$S$9,H423=$S$12),"Marion")</f>
        <v>Salem</v>
      </c>
      <c r="L423">
        <v>245</v>
      </c>
      <c r="M423">
        <v>2021</v>
      </c>
      <c r="N423" t="s">
        <v>46</v>
      </c>
      <c r="O423">
        <v>1</v>
      </c>
    </row>
    <row r="424" spans="1:15" x14ac:dyDescent="0.25">
      <c r="A424">
        <v>245</v>
      </c>
      <c r="B424">
        <v>2050</v>
      </c>
      <c r="C424">
        <v>260</v>
      </c>
      <c r="D424">
        <v>49</v>
      </c>
      <c r="E424">
        <v>0</v>
      </c>
      <c r="F424" t="str" cm="1">
        <f t="array" ref="F424">_xlfn.XLOOKUP(A424&amp;B424,$L$2:$L$739&amp;$M$2:$M$739,$N$2:$N$739)</f>
        <v>High</v>
      </c>
      <c r="G424">
        <f t="shared" si="6"/>
        <v>309</v>
      </c>
      <c r="H424" t="str">
        <f>_xlfn.XLOOKUP(A424,VE!$A$2:$A$247,VE!$B$2:$B$247)</f>
        <v>Salem_4</v>
      </c>
      <c r="I424" t="str" cm="1">
        <f t="array" ref="I424">_xlfn.IFS(OR(H424=$S$2,H424=$S$13,H424=$S$5),"Other",OR(H424=$S$3,H424=$S$4,H424=$S$7,H424=$S$10,H424=$S$11),"Salem",OR(H424=$S$6),"Keizer",OR(H424=$S$8,H424=$S$9,H424=$S$12),"Marion")</f>
        <v>Salem</v>
      </c>
      <c r="L424">
        <v>245</v>
      </c>
      <c r="M424">
        <v>2050</v>
      </c>
      <c r="N424" t="s">
        <v>46</v>
      </c>
      <c r="O424">
        <v>1</v>
      </c>
    </row>
    <row r="425" spans="1:15" x14ac:dyDescent="0.25">
      <c r="A425">
        <v>246</v>
      </c>
      <c r="B425">
        <v>2005</v>
      </c>
      <c r="C425">
        <v>124</v>
      </c>
      <c r="D425">
        <v>69</v>
      </c>
      <c r="E425">
        <v>0</v>
      </c>
      <c r="F425" t="str" cm="1">
        <f t="array" ref="F425">_xlfn.XLOOKUP(A425&amp;B425,$L$2:$L$739&amp;$M$2:$M$739,$N$2:$N$739)</f>
        <v>Low</v>
      </c>
      <c r="G425">
        <f t="shared" si="6"/>
        <v>0</v>
      </c>
      <c r="H425" t="str">
        <f>_xlfn.XLOOKUP(A425,VE!$A$2:$A$247,VE!$B$2:$B$247)</f>
        <v>Salem_4</v>
      </c>
      <c r="I425" t="str" cm="1">
        <f t="array" ref="I425">_xlfn.IFS(OR(H425=$S$2,H425=$S$13,H425=$S$5),"Other",OR(H425=$S$3,H425=$S$4,H425=$S$7,H425=$S$10,H425=$S$11),"Salem",OR(H425=$S$6),"Keizer",OR(H425=$S$8,H425=$S$9,H425=$S$12),"Marion")</f>
        <v>Salem</v>
      </c>
      <c r="L425">
        <v>246</v>
      </c>
      <c r="M425">
        <v>2005</v>
      </c>
      <c r="N425" t="s">
        <v>45</v>
      </c>
      <c r="O425">
        <v>0</v>
      </c>
    </row>
    <row r="426" spans="1:15" x14ac:dyDescent="0.25">
      <c r="A426">
        <v>246</v>
      </c>
      <c r="B426">
        <v>2021</v>
      </c>
      <c r="C426">
        <v>139</v>
      </c>
      <c r="D426">
        <v>71</v>
      </c>
      <c r="E426">
        <v>0</v>
      </c>
      <c r="F426" t="str" cm="1">
        <f t="array" ref="F426">_xlfn.XLOOKUP(A426&amp;B426,$L$2:$L$739&amp;$M$2:$M$739,$N$2:$N$739)</f>
        <v>High</v>
      </c>
      <c r="G426">
        <f t="shared" si="6"/>
        <v>210</v>
      </c>
      <c r="H426" t="str">
        <f>_xlfn.XLOOKUP(A426,VE!$A$2:$A$247,VE!$B$2:$B$247)</f>
        <v>Salem_4</v>
      </c>
      <c r="I426" t="str" cm="1">
        <f t="array" ref="I426">_xlfn.IFS(OR(H426=$S$2,H426=$S$13,H426=$S$5),"Other",OR(H426=$S$3,H426=$S$4,H426=$S$7,H426=$S$10,H426=$S$11),"Salem",OR(H426=$S$6),"Keizer",OR(H426=$S$8,H426=$S$9,H426=$S$12),"Marion")</f>
        <v>Salem</v>
      </c>
      <c r="L426">
        <v>246</v>
      </c>
      <c r="M426">
        <v>2021</v>
      </c>
      <c r="N426" t="s">
        <v>46</v>
      </c>
      <c r="O426">
        <v>1</v>
      </c>
    </row>
    <row r="427" spans="1:15" x14ac:dyDescent="0.25">
      <c r="A427">
        <v>246</v>
      </c>
      <c r="B427">
        <v>2050</v>
      </c>
      <c r="C427">
        <v>133</v>
      </c>
      <c r="D427">
        <v>75</v>
      </c>
      <c r="E427">
        <v>0</v>
      </c>
      <c r="F427" t="str" cm="1">
        <f t="array" ref="F427">_xlfn.XLOOKUP(A427&amp;B427,$L$2:$L$739&amp;$M$2:$M$739,$N$2:$N$739)</f>
        <v>High</v>
      </c>
      <c r="G427">
        <f t="shared" si="6"/>
        <v>208</v>
      </c>
      <c r="H427" t="str">
        <f>_xlfn.XLOOKUP(A427,VE!$A$2:$A$247,VE!$B$2:$B$247)</f>
        <v>Salem_4</v>
      </c>
      <c r="I427" t="str" cm="1">
        <f t="array" ref="I427">_xlfn.IFS(OR(H427=$S$2,H427=$S$13,H427=$S$5),"Other",OR(H427=$S$3,H427=$S$4,H427=$S$7,H427=$S$10,H427=$S$11),"Salem",OR(H427=$S$6),"Keizer",OR(H427=$S$8,H427=$S$9,H427=$S$12),"Marion")</f>
        <v>Salem</v>
      </c>
      <c r="L427">
        <v>246</v>
      </c>
      <c r="M427">
        <v>2050</v>
      </c>
      <c r="N427" t="s">
        <v>46</v>
      </c>
      <c r="O427">
        <v>1</v>
      </c>
    </row>
    <row r="428" spans="1:15" x14ac:dyDescent="0.25">
      <c r="A428">
        <v>249</v>
      </c>
      <c r="B428">
        <v>2005</v>
      </c>
      <c r="C428">
        <v>28</v>
      </c>
      <c r="D428">
        <v>240</v>
      </c>
      <c r="E428">
        <v>0</v>
      </c>
      <c r="F428" t="str" cm="1">
        <f t="array" ref="F428">_xlfn.XLOOKUP(A428&amp;B428,$L$2:$L$739&amp;$M$2:$M$739,$N$2:$N$739)</f>
        <v>Low</v>
      </c>
      <c r="G428">
        <f t="shared" si="6"/>
        <v>0</v>
      </c>
      <c r="H428" t="str">
        <f>_xlfn.XLOOKUP(A428,VE!$A$2:$A$247,VE!$B$2:$B$247)</f>
        <v>Salem_3</v>
      </c>
      <c r="I428" t="str" cm="1">
        <f t="array" ref="I428">_xlfn.IFS(OR(H428=$S$2,H428=$S$13,H428=$S$5),"Other",OR(H428=$S$3,H428=$S$4,H428=$S$7,H428=$S$10,H428=$S$11),"Salem",OR(H428=$S$6),"Keizer",OR(H428=$S$8,H428=$S$9,H428=$S$12),"Marion")</f>
        <v>Salem</v>
      </c>
      <c r="L428">
        <v>249</v>
      </c>
      <c r="M428">
        <v>2005</v>
      </c>
      <c r="N428" t="s">
        <v>45</v>
      </c>
      <c r="O428">
        <v>0</v>
      </c>
    </row>
    <row r="429" spans="1:15" x14ac:dyDescent="0.25">
      <c r="A429">
        <v>249</v>
      </c>
      <c r="B429">
        <v>2021</v>
      </c>
      <c r="C429">
        <v>39</v>
      </c>
      <c r="D429">
        <v>713</v>
      </c>
      <c r="E429">
        <v>0</v>
      </c>
      <c r="F429" t="str" cm="1">
        <f t="array" ref="F429">_xlfn.XLOOKUP(A429&amp;B429,$L$2:$L$739&amp;$M$2:$M$739,$N$2:$N$739)</f>
        <v>High</v>
      </c>
      <c r="G429">
        <f t="shared" si="6"/>
        <v>752</v>
      </c>
      <c r="H429" t="str">
        <f>_xlfn.XLOOKUP(A429,VE!$A$2:$A$247,VE!$B$2:$B$247)</f>
        <v>Salem_3</v>
      </c>
      <c r="I429" t="str" cm="1">
        <f t="array" ref="I429">_xlfn.IFS(OR(H429=$S$2,H429=$S$13,H429=$S$5),"Other",OR(H429=$S$3,H429=$S$4,H429=$S$7,H429=$S$10,H429=$S$11),"Salem",OR(H429=$S$6),"Keizer",OR(H429=$S$8,H429=$S$9,H429=$S$12),"Marion")</f>
        <v>Salem</v>
      </c>
      <c r="L429">
        <v>249</v>
      </c>
      <c r="M429">
        <v>2021</v>
      </c>
      <c r="N429" t="s">
        <v>46</v>
      </c>
      <c r="O429">
        <v>1</v>
      </c>
    </row>
    <row r="430" spans="1:15" x14ac:dyDescent="0.25">
      <c r="A430">
        <v>249</v>
      </c>
      <c r="B430">
        <v>2050</v>
      </c>
      <c r="C430">
        <v>38</v>
      </c>
      <c r="D430">
        <v>1534</v>
      </c>
      <c r="E430">
        <v>0</v>
      </c>
      <c r="F430" t="str" cm="1">
        <f t="array" ref="F430">_xlfn.XLOOKUP(A430&amp;B430,$L$2:$L$739&amp;$M$2:$M$739,$N$2:$N$739)</f>
        <v>High</v>
      </c>
      <c r="G430">
        <f t="shared" si="6"/>
        <v>1572</v>
      </c>
      <c r="H430" t="str">
        <f>_xlfn.XLOOKUP(A430,VE!$A$2:$A$247,VE!$B$2:$B$247)</f>
        <v>Salem_3</v>
      </c>
      <c r="I430" t="str" cm="1">
        <f t="array" ref="I430">_xlfn.IFS(OR(H430=$S$2,H430=$S$13,H430=$S$5),"Other",OR(H430=$S$3,H430=$S$4,H430=$S$7,H430=$S$10,H430=$S$11),"Salem",OR(H430=$S$6),"Keizer",OR(H430=$S$8,H430=$S$9,H430=$S$12),"Marion")</f>
        <v>Salem</v>
      </c>
      <c r="L430">
        <v>249</v>
      </c>
      <c r="M430">
        <v>2050</v>
      </c>
      <c r="N430" t="s">
        <v>46</v>
      </c>
      <c r="O430">
        <v>1</v>
      </c>
    </row>
    <row r="431" spans="1:15" x14ac:dyDescent="0.25">
      <c r="A431">
        <v>254</v>
      </c>
      <c r="B431">
        <v>2005</v>
      </c>
      <c r="C431">
        <v>393</v>
      </c>
      <c r="D431">
        <v>223</v>
      </c>
      <c r="E431">
        <v>0</v>
      </c>
      <c r="F431" t="str" cm="1">
        <f t="array" ref="F431">_xlfn.XLOOKUP(A431&amp;B431,$L$2:$L$739&amp;$M$2:$M$739,$N$2:$N$739)</f>
        <v>Low</v>
      </c>
      <c r="G431">
        <f t="shared" si="6"/>
        <v>0</v>
      </c>
      <c r="H431" t="str">
        <f>_xlfn.XLOOKUP(A431,VE!$A$2:$A$247,VE!$B$2:$B$247)</f>
        <v>Salem_4</v>
      </c>
      <c r="I431" t="str" cm="1">
        <f t="array" ref="I431">_xlfn.IFS(OR(H431=$S$2,H431=$S$13,H431=$S$5),"Other",OR(H431=$S$3,H431=$S$4,H431=$S$7,H431=$S$10,H431=$S$11),"Salem",OR(H431=$S$6),"Keizer",OR(H431=$S$8,H431=$S$9,H431=$S$12),"Marion")</f>
        <v>Salem</v>
      </c>
      <c r="L431">
        <v>254</v>
      </c>
      <c r="M431">
        <v>2005</v>
      </c>
      <c r="N431" t="s">
        <v>45</v>
      </c>
      <c r="O431">
        <v>0</v>
      </c>
    </row>
    <row r="432" spans="1:15" x14ac:dyDescent="0.25">
      <c r="A432">
        <v>254</v>
      </c>
      <c r="B432">
        <v>2021</v>
      </c>
      <c r="C432">
        <v>437</v>
      </c>
      <c r="D432">
        <v>219</v>
      </c>
      <c r="E432">
        <v>0</v>
      </c>
      <c r="F432" t="str" cm="1">
        <f t="array" ref="F432">_xlfn.XLOOKUP(A432&amp;B432,$L$2:$L$739&amp;$M$2:$M$739,$N$2:$N$739)</f>
        <v>High</v>
      </c>
      <c r="G432">
        <f t="shared" si="6"/>
        <v>656</v>
      </c>
      <c r="H432" t="str">
        <f>_xlfn.XLOOKUP(A432,VE!$A$2:$A$247,VE!$B$2:$B$247)</f>
        <v>Salem_4</v>
      </c>
      <c r="I432" t="str" cm="1">
        <f t="array" ref="I432">_xlfn.IFS(OR(H432=$S$2,H432=$S$13,H432=$S$5),"Other",OR(H432=$S$3,H432=$S$4,H432=$S$7,H432=$S$10,H432=$S$11),"Salem",OR(H432=$S$6),"Keizer",OR(H432=$S$8,H432=$S$9,H432=$S$12),"Marion")</f>
        <v>Salem</v>
      </c>
      <c r="L432">
        <v>254</v>
      </c>
      <c r="M432">
        <v>2021</v>
      </c>
      <c r="N432" t="s">
        <v>46</v>
      </c>
      <c r="O432">
        <v>1</v>
      </c>
    </row>
    <row r="433" spans="1:15" x14ac:dyDescent="0.25">
      <c r="A433">
        <v>254</v>
      </c>
      <c r="B433">
        <v>2050</v>
      </c>
      <c r="C433">
        <v>430</v>
      </c>
      <c r="D433">
        <v>222</v>
      </c>
      <c r="E433">
        <v>0</v>
      </c>
      <c r="F433" t="str" cm="1">
        <f t="array" ref="F433">_xlfn.XLOOKUP(A433&amp;B433,$L$2:$L$739&amp;$M$2:$M$739,$N$2:$N$739)</f>
        <v>High</v>
      </c>
      <c r="G433">
        <f t="shared" si="6"/>
        <v>652</v>
      </c>
      <c r="H433" t="str">
        <f>_xlfn.XLOOKUP(A433,VE!$A$2:$A$247,VE!$B$2:$B$247)</f>
        <v>Salem_4</v>
      </c>
      <c r="I433" t="str" cm="1">
        <f t="array" ref="I433">_xlfn.IFS(OR(H433=$S$2,H433=$S$13,H433=$S$5),"Other",OR(H433=$S$3,H433=$S$4,H433=$S$7,H433=$S$10,H433=$S$11),"Salem",OR(H433=$S$6),"Keizer",OR(H433=$S$8,H433=$S$9,H433=$S$12),"Marion")</f>
        <v>Salem</v>
      </c>
      <c r="L433">
        <v>254</v>
      </c>
      <c r="M433">
        <v>2050</v>
      </c>
      <c r="N433" t="s">
        <v>46</v>
      </c>
      <c r="O433">
        <v>1</v>
      </c>
    </row>
    <row r="434" spans="1:15" x14ac:dyDescent="0.25">
      <c r="A434">
        <v>256</v>
      </c>
      <c r="B434">
        <v>2005</v>
      </c>
      <c r="C434">
        <v>272</v>
      </c>
      <c r="D434">
        <v>282</v>
      </c>
      <c r="E434">
        <v>0</v>
      </c>
      <c r="F434" t="str" cm="1">
        <f t="array" ref="F434">_xlfn.XLOOKUP(A434&amp;B434,$L$2:$L$739&amp;$M$2:$M$739,$N$2:$N$739)</f>
        <v>Low</v>
      </c>
      <c r="G434">
        <f t="shared" si="6"/>
        <v>0</v>
      </c>
      <c r="H434" t="str">
        <f>_xlfn.XLOOKUP(A434,VE!$A$2:$A$247,VE!$B$2:$B$247)</f>
        <v>Salem_4</v>
      </c>
      <c r="I434" t="str" cm="1">
        <f t="array" ref="I434">_xlfn.IFS(OR(H434=$S$2,H434=$S$13,H434=$S$5),"Other",OR(H434=$S$3,H434=$S$4,H434=$S$7,H434=$S$10,H434=$S$11),"Salem",OR(H434=$S$6),"Keizer",OR(H434=$S$8,H434=$S$9,H434=$S$12),"Marion")</f>
        <v>Salem</v>
      </c>
      <c r="L434">
        <v>256</v>
      </c>
      <c r="M434">
        <v>2005</v>
      </c>
      <c r="N434" t="s">
        <v>45</v>
      </c>
      <c r="O434">
        <v>0</v>
      </c>
    </row>
    <row r="435" spans="1:15" x14ac:dyDescent="0.25">
      <c r="A435">
        <v>256</v>
      </c>
      <c r="B435">
        <v>2021</v>
      </c>
      <c r="C435">
        <v>291</v>
      </c>
      <c r="D435">
        <v>275</v>
      </c>
      <c r="E435">
        <v>0</v>
      </c>
      <c r="F435" t="str" cm="1">
        <f t="array" ref="F435">_xlfn.XLOOKUP(A435&amp;B435,$L$2:$L$739&amp;$M$2:$M$739,$N$2:$N$739)</f>
        <v>High</v>
      </c>
      <c r="G435">
        <f t="shared" si="6"/>
        <v>566</v>
      </c>
      <c r="H435" t="str">
        <f>_xlfn.XLOOKUP(A435,VE!$A$2:$A$247,VE!$B$2:$B$247)</f>
        <v>Salem_4</v>
      </c>
      <c r="I435" t="str" cm="1">
        <f t="array" ref="I435">_xlfn.IFS(OR(H435=$S$2,H435=$S$13,H435=$S$5),"Other",OR(H435=$S$3,H435=$S$4,H435=$S$7,H435=$S$10,H435=$S$11),"Salem",OR(H435=$S$6),"Keizer",OR(H435=$S$8,H435=$S$9,H435=$S$12),"Marion")</f>
        <v>Salem</v>
      </c>
      <c r="L435">
        <v>256</v>
      </c>
      <c r="M435">
        <v>2021</v>
      </c>
      <c r="N435" t="s">
        <v>46</v>
      </c>
      <c r="O435">
        <v>1</v>
      </c>
    </row>
    <row r="436" spans="1:15" x14ac:dyDescent="0.25">
      <c r="A436">
        <v>256</v>
      </c>
      <c r="B436">
        <v>2050</v>
      </c>
      <c r="C436">
        <v>291</v>
      </c>
      <c r="D436">
        <v>336</v>
      </c>
      <c r="E436">
        <v>0</v>
      </c>
      <c r="F436" t="str" cm="1">
        <f t="array" ref="F436">_xlfn.XLOOKUP(A436&amp;B436,$L$2:$L$739&amp;$M$2:$M$739,$N$2:$N$739)</f>
        <v>High</v>
      </c>
      <c r="G436">
        <f t="shared" si="6"/>
        <v>627</v>
      </c>
      <c r="H436" t="str">
        <f>_xlfn.XLOOKUP(A436,VE!$A$2:$A$247,VE!$B$2:$B$247)</f>
        <v>Salem_4</v>
      </c>
      <c r="I436" t="str" cm="1">
        <f t="array" ref="I436">_xlfn.IFS(OR(H436=$S$2,H436=$S$13,H436=$S$5),"Other",OR(H436=$S$3,H436=$S$4,H436=$S$7,H436=$S$10,H436=$S$11),"Salem",OR(H436=$S$6),"Keizer",OR(H436=$S$8,H436=$S$9,H436=$S$12),"Marion")</f>
        <v>Salem</v>
      </c>
      <c r="L436">
        <v>256</v>
      </c>
      <c r="M436">
        <v>2050</v>
      </c>
      <c r="N436" t="s">
        <v>46</v>
      </c>
      <c r="O436">
        <v>1</v>
      </c>
    </row>
    <row r="437" spans="1:15" x14ac:dyDescent="0.25">
      <c r="A437">
        <v>257</v>
      </c>
      <c r="B437">
        <v>2005</v>
      </c>
      <c r="C437">
        <v>130</v>
      </c>
      <c r="D437">
        <v>136</v>
      </c>
      <c r="E437">
        <v>0</v>
      </c>
      <c r="F437" t="str" cm="1">
        <f t="array" ref="F437">_xlfn.XLOOKUP(A437&amp;B437,$L$2:$L$739&amp;$M$2:$M$739,$N$2:$N$739)</f>
        <v>Low</v>
      </c>
      <c r="G437">
        <f t="shared" si="6"/>
        <v>0</v>
      </c>
      <c r="H437" t="str">
        <f>_xlfn.XLOOKUP(A437,VE!$A$2:$A$247,VE!$B$2:$B$247)</f>
        <v>Salem_4</v>
      </c>
      <c r="I437" t="str" cm="1">
        <f t="array" ref="I437">_xlfn.IFS(OR(H437=$S$2,H437=$S$13,H437=$S$5),"Other",OR(H437=$S$3,H437=$S$4,H437=$S$7,H437=$S$10,H437=$S$11),"Salem",OR(H437=$S$6),"Keizer",OR(H437=$S$8,H437=$S$9,H437=$S$12),"Marion")</f>
        <v>Salem</v>
      </c>
      <c r="L437">
        <v>257</v>
      </c>
      <c r="M437">
        <v>2005</v>
      </c>
      <c r="N437" t="s">
        <v>45</v>
      </c>
      <c r="O437">
        <v>0</v>
      </c>
    </row>
    <row r="438" spans="1:15" x14ac:dyDescent="0.25">
      <c r="A438">
        <v>257</v>
      </c>
      <c r="B438">
        <v>2021</v>
      </c>
      <c r="C438">
        <v>130</v>
      </c>
      <c r="D438">
        <v>136</v>
      </c>
      <c r="E438">
        <v>0</v>
      </c>
      <c r="F438" t="str" cm="1">
        <f t="array" ref="F438">_xlfn.XLOOKUP(A438&amp;B438,$L$2:$L$739&amp;$M$2:$M$739,$N$2:$N$739)</f>
        <v>High</v>
      </c>
      <c r="G438">
        <f t="shared" si="6"/>
        <v>266</v>
      </c>
      <c r="H438" t="str">
        <f>_xlfn.XLOOKUP(A438,VE!$A$2:$A$247,VE!$B$2:$B$247)</f>
        <v>Salem_4</v>
      </c>
      <c r="I438" t="str" cm="1">
        <f t="array" ref="I438">_xlfn.IFS(OR(H438=$S$2,H438=$S$13,H438=$S$5),"Other",OR(H438=$S$3,H438=$S$4,H438=$S$7,H438=$S$10,H438=$S$11),"Salem",OR(H438=$S$6),"Keizer",OR(H438=$S$8,H438=$S$9,H438=$S$12),"Marion")</f>
        <v>Salem</v>
      </c>
      <c r="L438">
        <v>257</v>
      </c>
      <c r="M438">
        <v>2021</v>
      </c>
      <c r="N438" t="s">
        <v>46</v>
      </c>
      <c r="O438">
        <v>1</v>
      </c>
    </row>
    <row r="439" spans="1:15" x14ac:dyDescent="0.25">
      <c r="A439">
        <v>257</v>
      </c>
      <c r="B439">
        <v>2050</v>
      </c>
      <c r="C439">
        <v>128</v>
      </c>
      <c r="D439">
        <v>139</v>
      </c>
      <c r="E439">
        <v>0</v>
      </c>
      <c r="F439" t="str" cm="1">
        <f t="array" ref="F439">_xlfn.XLOOKUP(A439&amp;B439,$L$2:$L$739&amp;$M$2:$M$739,$N$2:$N$739)</f>
        <v>High</v>
      </c>
      <c r="G439">
        <f t="shared" si="6"/>
        <v>267</v>
      </c>
      <c r="H439" t="str">
        <f>_xlfn.XLOOKUP(A439,VE!$A$2:$A$247,VE!$B$2:$B$247)</f>
        <v>Salem_4</v>
      </c>
      <c r="I439" t="str" cm="1">
        <f t="array" ref="I439">_xlfn.IFS(OR(H439=$S$2,H439=$S$13,H439=$S$5),"Other",OR(H439=$S$3,H439=$S$4,H439=$S$7,H439=$S$10,H439=$S$11),"Salem",OR(H439=$S$6),"Keizer",OR(H439=$S$8,H439=$S$9,H439=$S$12),"Marion")</f>
        <v>Salem</v>
      </c>
      <c r="L439">
        <v>257</v>
      </c>
      <c r="M439">
        <v>2050</v>
      </c>
      <c r="N439" t="s">
        <v>46</v>
      </c>
      <c r="O439">
        <v>1</v>
      </c>
    </row>
    <row r="440" spans="1:15" x14ac:dyDescent="0.25">
      <c r="A440">
        <v>258</v>
      </c>
      <c r="B440">
        <v>2005</v>
      </c>
      <c r="C440">
        <v>21</v>
      </c>
      <c r="D440">
        <v>10</v>
      </c>
      <c r="E440">
        <v>0</v>
      </c>
      <c r="F440" t="str" cm="1">
        <f t="array" ref="F440">_xlfn.XLOOKUP(A440&amp;B440,$L$2:$L$739&amp;$M$2:$M$739,$N$2:$N$739)</f>
        <v>Low</v>
      </c>
      <c r="G440">
        <f t="shared" si="6"/>
        <v>0</v>
      </c>
      <c r="H440" t="str">
        <f>_xlfn.XLOOKUP(A440,VE!$A$2:$A$247,VE!$B$2:$B$247)</f>
        <v>Salem_4</v>
      </c>
      <c r="I440" t="str" cm="1">
        <f t="array" ref="I440">_xlfn.IFS(OR(H440=$S$2,H440=$S$13,H440=$S$5),"Other",OR(H440=$S$3,H440=$S$4,H440=$S$7,H440=$S$10,H440=$S$11),"Salem",OR(H440=$S$6),"Keizer",OR(H440=$S$8,H440=$S$9,H440=$S$12),"Marion")</f>
        <v>Salem</v>
      </c>
      <c r="L440">
        <v>258</v>
      </c>
      <c r="M440">
        <v>2005</v>
      </c>
      <c r="N440" t="s">
        <v>45</v>
      </c>
      <c r="O440">
        <v>0</v>
      </c>
    </row>
    <row r="441" spans="1:15" x14ac:dyDescent="0.25">
      <c r="A441">
        <v>258</v>
      </c>
      <c r="B441">
        <v>2021</v>
      </c>
      <c r="C441">
        <v>26</v>
      </c>
      <c r="D441">
        <v>5</v>
      </c>
      <c r="E441">
        <v>0</v>
      </c>
      <c r="F441" t="str" cm="1">
        <f t="array" ref="F441">_xlfn.XLOOKUP(A441&amp;B441,$L$2:$L$739&amp;$M$2:$M$739,$N$2:$N$739)</f>
        <v>High</v>
      </c>
      <c r="G441">
        <f t="shared" si="6"/>
        <v>31</v>
      </c>
      <c r="H441" t="str">
        <f>_xlfn.XLOOKUP(A441,VE!$A$2:$A$247,VE!$B$2:$B$247)</f>
        <v>Salem_4</v>
      </c>
      <c r="I441" t="str" cm="1">
        <f t="array" ref="I441">_xlfn.IFS(OR(H441=$S$2,H441=$S$13,H441=$S$5),"Other",OR(H441=$S$3,H441=$S$4,H441=$S$7,H441=$S$10,H441=$S$11),"Salem",OR(H441=$S$6),"Keizer",OR(H441=$S$8,H441=$S$9,H441=$S$12),"Marion")</f>
        <v>Salem</v>
      </c>
      <c r="L441">
        <v>258</v>
      </c>
      <c r="M441">
        <v>2021</v>
      </c>
      <c r="N441" t="s">
        <v>46</v>
      </c>
      <c r="O441">
        <v>1</v>
      </c>
    </row>
    <row r="442" spans="1:15" x14ac:dyDescent="0.25">
      <c r="A442">
        <v>258</v>
      </c>
      <c r="B442">
        <v>2050</v>
      </c>
      <c r="C442">
        <v>26</v>
      </c>
      <c r="D442">
        <v>5</v>
      </c>
      <c r="E442">
        <v>0</v>
      </c>
      <c r="F442" t="str" cm="1">
        <f t="array" ref="F442">_xlfn.XLOOKUP(A442&amp;B442,$L$2:$L$739&amp;$M$2:$M$739,$N$2:$N$739)</f>
        <v>High</v>
      </c>
      <c r="G442">
        <f t="shared" si="6"/>
        <v>31</v>
      </c>
      <c r="H442" t="str">
        <f>_xlfn.XLOOKUP(A442,VE!$A$2:$A$247,VE!$B$2:$B$247)</f>
        <v>Salem_4</v>
      </c>
      <c r="I442" t="str" cm="1">
        <f t="array" ref="I442">_xlfn.IFS(OR(H442=$S$2,H442=$S$13,H442=$S$5),"Other",OR(H442=$S$3,H442=$S$4,H442=$S$7,H442=$S$10,H442=$S$11),"Salem",OR(H442=$S$6),"Keizer",OR(H442=$S$8,H442=$S$9,H442=$S$12),"Marion")</f>
        <v>Salem</v>
      </c>
      <c r="L442">
        <v>258</v>
      </c>
      <c r="M442">
        <v>2050</v>
      </c>
      <c r="N442" t="s">
        <v>46</v>
      </c>
      <c r="O442">
        <v>1</v>
      </c>
    </row>
    <row r="443" spans="1:15" x14ac:dyDescent="0.25">
      <c r="A443">
        <v>259</v>
      </c>
      <c r="B443">
        <v>2005</v>
      </c>
      <c r="C443">
        <v>5</v>
      </c>
      <c r="D443">
        <v>12</v>
      </c>
      <c r="E443">
        <v>0</v>
      </c>
      <c r="F443" t="str" cm="1">
        <f t="array" ref="F443">_xlfn.XLOOKUP(A443&amp;B443,$L$2:$L$739&amp;$M$2:$M$739,$N$2:$N$739)</f>
        <v>Low</v>
      </c>
      <c r="G443">
        <f t="shared" si="6"/>
        <v>0</v>
      </c>
      <c r="H443" t="str">
        <f>_xlfn.XLOOKUP(A443,VE!$A$2:$A$247,VE!$B$2:$B$247)</f>
        <v>Salem_4</v>
      </c>
      <c r="I443" t="str" cm="1">
        <f t="array" ref="I443">_xlfn.IFS(OR(H443=$S$2,H443=$S$13,H443=$S$5),"Other",OR(H443=$S$3,H443=$S$4,H443=$S$7,H443=$S$10,H443=$S$11),"Salem",OR(H443=$S$6),"Keizer",OR(H443=$S$8,H443=$S$9,H443=$S$12),"Marion")</f>
        <v>Salem</v>
      </c>
      <c r="L443">
        <v>259</v>
      </c>
      <c r="M443">
        <v>2005</v>
      </c>
      <c r="N443" t="s">
        <v>45</v>
      </c>
      <c r="O443">
        <v>0</v>
      </c>
    </row>
    <row r="444" spans="1:15" x14ac:dyDescent="0.25">
      <c r="A444">
        <v>259</v>
      </c>
      <c r="B444">
        <v>2021</v>
      </c>
      <c r="C444">
        <v>5</v>
      </c>
      <c r="D444">
        <v>12</v>
      </c>
      <c r="E444">
        <v>0</v>
      </c>
      <c r="F444" t="str" cm="1">
        <f t="array" ref="F444">_xlfn.XLOOKUP(A444&amp;B444,$L$2:$L$739&amp;$M$2:$M$739,$N$2:$N$739)</f>
        <v>High</v>
      </c>
      <c r="G444">
        <f t="shared" si="6"/>
        <v>17</v>
      </c>
      <c r="H444" t="str">
        <f>_xlfn.XLOOKUP(A444,VE!$A$2:$A$247,VE!$B$2:$B$247)</f>
        <v>Salem_4</v>
      </c>
      <c r="I444" t="str" cm="1">
        <f t="array" ref="I444">_xlfn.IFS(OR(H444=$S$2,H444=$S$13,H444=$S$5),"Other",OR(H444=$S$3,H444=$S$4,H444=$S$7,H444=$S$10,H444=$S$11),"Salem",OR(H444=$S$6),"Keizer",OR(H444=$S$8,H444=$S$9,H444=$S$12),"Marion")</f>
        <v>Salem</v>
      </c>
      <c r="L444">
        <v>259</v>
      </c>
      <c r="M444">
        <v>2021</v>
      </c>
      <c r="N444" t="s">
        <v>46</v>
      </c>
      <c r="O444">
        <v>1</v>
      </c>
    </row>
    <row r="445" spans="1:15" x14ac:dyDescent="0.25">
      <c r="A445">
        <v>259</v>
      </c>
      <c r="B445">
        <v>2050</v>
      </c>
      <c r="C445">
        <v>6</v>
      </c>
      <c r="D445">
        <v>43</v>
      </c>
      <c r="E445">
        <v>0</v>
      </c>
      <c r="F445" t="str" cm="1">
        <f t="array" ref="F445">_xlfn.XLOOKUP(A445&amp;B445,$L$2:$L$739&amp;$M$2:$M$739,$N$2:$N$739)</f>
        <v>High</v>
      </c>
      <c r="G445">
        <f t="shared" si="6"/>
        <v>49</v>
      </c>
      <c r="H445" t="str">
        <f>_xlfn.XLOOKUP(A445,VE!$A$2:$A$247,VE!$B$2:$B$247)</f>
        <v>Salem_4</v>
      </c>
      <c r="I445" t="str" cm="1">
        <f t="array" ref="I445">_xlfn.IFS(OR(H445=$S$2,H445=$S$13,H445=$S$5),"Other",OR(H445=$S$3,H445=$S$4,H445=$S$7,H445=$S$10,H445=$S$11),"Salem",OR(H445=$S$6),"Keizer",OR(H445=$S$8,H445=$S$9,H445=$S$12),"Marion")</f>
        <v>Salem</v>
      </c>
      <c r="L445">
        <v>259</v>
      </c>
      <c r="M445">
        <v>2050</v>
      </c>
      <c r="N445" t="s">
        <v>46</v>
      </c>
      <c r="O445">
        <v>1</v>
      </c>
    </row>
    <row r="446" spans="1:15" x14ac:dyDescent="0.25">
      <c r="A446">
        <v>260</v>
      </c>
      <c r="B446">
        <v>2005</v>
      </c>
      <c r="C446">
        <v>0</v>
      </c>
      <c r="D446">
        <v>93</v>
      </c>
      <c r="E446">
        <v>2008</v>
      </c>
      <c r="F446" t="str" cm="1">
        <f t="array" ref="F446">_xlfn.XLOOKUP(A446&amp;B446,$L$2:$L$739&amp;$M$2:$M$739,$N$2:$N$739)</f>
        <v>Low</v>
      </c>
      <c r="G446">
        <f t="shared" si="6"/>
        <v>0</v>
      </c>
      <c r="H446" t="str">
        <f>_xlfn.XLOOKUP(A446,VE!$A$2:$A$247,VE!$B$2:$B$247)</f>
        <v>Salem_4</v>
      </c>
      <c r="I446" t="str" cm="1">
        <f t="array" ref="I446">_xlfn.IFS(OR(H446=$S$2,H446=$S$13,H446=$S$5),"Other",OR(H446=$S$3,H446=$S$4,H446=$S$7,H446=$S$10,H446=$S$11),"Salem",OR(H446=$S$6),"Keizer",OR(H446=$S$8,H446=$S$9,H446=$S$12),"Marion")</f>
        <v>Salem</v>
      </c>
      <c r="L446">
        <v>260</v>
      </c>
      <c r="M446">
        <v>2005</v>
      </c>
      <c r="N446" t="s">
        <v>45</v>
      </c>
      <c r="O446">
        <v>0</v>
      </c>
    </row>
    <row r="447" spans="1:15" x14ac:dyDescent="0.25">
      <c r="A447">
        <v>260</v>
      </c>
      <c r="B447">
        <v>2021</v>
      </c>
      <c r="C447">
        <v>1</v>
      </c>
      <c r="D447">
        <v>96</v>
      </c>
      <c r="E447">
        <v>1721</v>
      </c>
      <c r="F447" t="str" cm="1">
        <f t="array" ref="F447">_xlfn.XLOOKUP(A447&amp;B447,$L$2:$L$739&amp;$M$2:$M$739,$N$2:$N$739)</f>
        <v>High</v>
      </c>
      <c r="G447">
        <f t="shared" si="6"/>
        <v>97</v>
      </c>
      <c r="H447" t="str">
        <f>_xlfn.XLOOKUP(A447,VE!$A$2:$A$247,VE!$B$2:$B$247)</f>
        <v>Salem_4</v>
      </c>
      <c r="I447" t="str" cm="1">
        <f t="array" ref="I447">_xlfn.IFS(OR(H447=$S$2,H447=$S$13,H447=$S$5),"Other",OR(H447=$S$3,H447=$S$4,H447=$S$7,H447=$S$10,H447=$S$11),"Salem",OR(H447=$S$6),"Keizer",OR(H447=$S$8,H447=$S$9,H447=$S$12),"Marion")</f>
        <v>Salem</v>
      </c>
      <c r="L447">
        <v>260</v>
      </c>
      <c r="M447">
        <v>2021</v>
      </c>
      <c r="N447" t="s">
        <v>46</v>
      </c>
      <c r="O447">
        <v>1</v>
      </c>
    </row>
    <row r="448" spans="1:15" x14ac:dyDescent="0.25">
      <c r="A448">
        <v>260</v>
      </c>
      <c r="B448">
        <v>2050</v>
      </c>
      <c r="C448">
        <v>0</v>
      </c>
      <c r="D448">
        <v>100</v>
      </c>
      <c r="E448">
        <v>1983</v>
      </c>
      <c r="F448" t="str" cm="1">
        <f t="array" ref="F448">_xlfn.XLOOKUP(A448&amp;B448,$L$2:$L$739&amp;$M$2:$M$739,$N$2:$N$739)</f>
        <v>High</v>
      </c>
      <c r="G448">
        <f t="shared" si="6"/>
        <v>100</v>
      </c>
      <c r="H448" t="str">
        <f>_xlfn.XLOOKUP(A448,VE!$A$2:$A$247,VE!$B$2:$B$247)</f>
        <v>Salem_4</v>
      </c>
      <c r="I448" t="str" cm="1">
        <f t="array" ref="I448">_xlfn.IFS(OR(H448=$S$2,H448=$S$13,H448=$S$5),"Other",OR(H448=$S$3,H448=$S$4,H448=$S$7,H448=$S$10,H448=$S$11),"Salem",OR(H448=$S$6),"Keizer",OR(H448=$S$8,H448=$S$9,H448=$S$12),"Marion")</f>
        <v>Salem</v>
      </c>
      <c r="L448">
        <v>260</v>
      </c>
      <c r="M448">
        <v>2050</v>
      </c>
      <c r="N448" t="s">
        <v>46</v>
      </c>
      <c r="O448">
        <v>1</v>
      </c>
    </row>
    <row r="449" spans="1:15" x14ac:dyDescent="0.25">
      <c r="A449">
        <v>261</v>
      </c>
      <c r="B449">
        <v>2005</v>
      </c>
      <c r="C449">
        <v>63</v>
      </c>
      <c r="D449">
        <v>82</v>
      </c>
      <c r="E449">
        <v>0</v>
      </c>
      <c r="F449" t="str" cm="1">
        <f t="array" ref="F449">_xlfn.XLOOKUP(A449&amp;B449,$L$2:$L$739&amp;$M$2:$M$739,$N$2:$N$739)</f>
        <v>Low</v>
      </c>
      <c r="G449">
        <f t="shared" si="6"/>
        <v>0</v>
      </c>
      <c r="H449" t="str">
        <f>_xlfn.XLOOKUP(A449,VE!$A$2:$A$247,VE!$B$2:$B$247)</f>
        <v>Salem_3</v>
      </c>
      <c r="I449" t="str" cm="1">
        <f t="array" ref="I449">_xlfn.IFS(OR(H449=$S$2,H449=$S$13,H449=$S$5),"Other",OR(H449=$S$3,H449=$S$4,H449=$S$7,H449=$S$10,H449=$S$11),"Salem",OR(H449=$S$6),"Keizer",OR(H449=$S$8,H449=$S$9,H449=$S$12),"Marion")</f>
        <v>Salem</v>
      </c>
      <c r="L449">
        <v>261</v>
      </c>
      <c r="M449">
        <v>2005</v>
      </c>
      <c r="N449" t="s">
        <v>45</v>
      </c>
      <c r="O449">
        <v>0</v>
      </c>
    </row>
    <row r="450" spans="1:15" x14ac:dyDescent="0.25">
      <c r="A450">
        <v>261</v>
      </c>
      <c r="B450">
        <v>2021</v>
      </c>
      <c r="C450">
        <v>63</v>
      </c>
      <c r="D450">
        <v>82</v>
      </c>
      <c r="E450">
        <v>0</v>
      </c>
      <c r="F450" t="str" cm="1">
        <f t="array" ref="F450">_xlfn.XLOOKUP(A450&amp;B450,$L$2:$L$739&amp;$M$2:$M$739,$N$2:$N$739)</f>
        <v>High</v>
      </c>
      <c r="G450">
        <f t="shared" si="6"/>
        <v>145</v>
      </c>
      <c r="H450" t="str">
        <f>_xlfn.XLOOKUP(A450,VE!$A$2:$A$247,VE!$B$2:$B$247)</f>
        <v>Salem_3</v>
      </c>
      <c r="I450" t="str" cm="1">
        <f t="array" ref="I450">_xlfn.IFS(OR(H450=$S$2,H450=$S$13,H450=$S$5),"Other",OR(H450=$S$3,H450=$S$4,H450=$S$7,H450=$S$10,H450=$S$11),"Salem",OR(H450=$S$6),"Keizer",OR(H450=$S$8,H450=$S$9,H450=$S$12),"Marion")</f>
        <v>Salem</v>
      </c>
      <c r="L450">
        <v>261</v>
      </c>
      <c r="M450">
        <v>2021</v>
      </c>
      <c r="N450" t="s">
        <v>46</v>
      </c>
      <c r="O450">
        <v>1</v>
      </c>
    </row>
    <row r="451" spans="1:15" x14ac:dyDescent="0.25">
      <c r="A451">
        <v>261</v>
      </c>
      <c r="B451">
        <v>2050</v>
      </c>
      <c r="C451">
        <v>55</v>
      </c>
      <c r="D451">
        <v>75</v>
      </c>
      <c r="E451">
        <v>0</v>
      </c>
      <c r="F451" t="str" cm="1">
        <f t="array" ref="F451">_xlfn.XLOOKUP(A451&amp;B451,$L$2:$L$739&amp;$M$2:$M$739,$N$2:$N$739)</f>
        <v>High</v>
      </c>
      <c r="G451">
        <f t="shared" ref="G451:G514" si="7">IF(F451="High",SUM(C451:D451),0)</f>
        <v>130</v>
      </c>
      <c r="H451" t="str">
        <f>_xlfn.XLOOKUP(A451,VE!$A$2:$A$247,VE!$B$2:$B$247)</f>
        <v>Salem_3</v>
      </c>
      <c r="I451" t="str" cm="1">
        <f t="array" ref="I451">_xlfn.IFS(OR(H451=$S$2,H451=$S$13,H451=$S$5),"Other",OR(H451=$S$3,H451=$S$4,H451=$S$7,H451=$S$10,H451=$S$11),"Salem",OR(H451=$S$6),"Keizer",OR(H451=$S$8,H451=$S$9,H451=$S$12),"Marion")</f>
        <v>Salem</v>
      </c>
      <c r="L451">
        <v>261</v>
      </c>
      <c r="M451">
        <v>2050</v>
      </c>
      <c r="N451" t="s">
        <v>46</v>
      </c>
      <c r="O451">
        <v>1</v>
      </c>
    </row>
    <row r="452" spans="1:15" x14ac:dyDescent="0.25">
      <c r="A452">
        <v>279</v>
      </c>
      <c r="B452">
        <v>2005</v>
      </c>
      <c r="C452">
        <v>0</v>
      </c>
      <c r="D452">
        <v>1</v>
      </c>
      <c r="E452">
        <v>0</v>
      </c>
      <c r="F452" t="str" cm="1">
        <f t="array" ref="F452">_xlfn.XLOOKUP(A452&amp;B452,$L$2:$L$739&amp;$M$2:$M$739,$N$2:$N$739)</f>
        <v>Low</v>
      </c>
      <c r="G452">
        <f t="shared" si="7"/>
        <v>0</v>
      </c>
      <c r="H452" t="str">
        <f>_xlfn.XLOOKUP(A452,VE!$A$2:$A$247,VE!$B$2:$B$247)</f>
        <v>Salem_5</v>
      </c>
      <c r="I452" t="str" cm="1">
        <f t="array" ref="I452">_xlfn.IFS(OR(H452=$S$2,H452=$S$13,H452=$S$5),"Other",OR(H452=$S$3,H452=$S$4,H452=$S$7,H452=$S$10,H452=$S$11),"Salem",OR(H452=$S$6),"Keizer",OR(H452=$S$8,H452=$S$9,H452=$S$12),"Marion")</f>
        <v>Salem</v>
      </c>
      <c r="L452">
        <v>279</v>
      </c>
      <c r="M452">
        <v>2005</v>
      </c>
      <c r="N452" t="s">
        <v>45</v>
      </c>
      <c r="O452">
        <v>0</v>
      </c>
    </row>
    <row r="453" spans="1:15" x14ac:dyDescent="0.25">
      <c r="A453">
        <v>279</v>
      </c>
      <c r="B453">
        <v>2021</v>
      </c>
      <c r="C453">
        <v>0</v>
      </c>
      <c r="D453">
        <v>1</v>
      </c>
      <c r="E453">
        <v>0</v>
      </c>
      <c r="F453" t="str" cm="1">
        <f t="array" ref="F453">_xlfn.XLOOKUP(A453&amp;B453,$L$2:$L$739&amp;$M$2:$M$739,$N$2:$N$739)</f>
        <v>Low</v>
      </c>
      <c r="G453">
        <f t="shared" si="7"/>
        <v>0</v>
      </c>
      <c r="H453" t="str">
        <f>_xlfn.XLOOKUP(A453,VE!$A$2:$A$247,VE!$B$2:$B$247)</f>
        <v>Salem_5</v>
      </c>
      <c r="I453" t="str" cm="1">
        <f t="array" ref="I453">_xlfn.IFS(OR(H453=$S$2,H453=$S$13,H453=$S$5),"Other",OR(H453=$S$3,H453=$S$4,H453=$S$7,H453=$S$10,H453=$S$11),"Salem",OR(H453=$S$6),"Keizer",OR(H453=$S$8,H453=$S$9,H453=$S$12),"Marion")</f>
        <v>Salem</v>
      </c>
      <c r="L453">
        <v>279</v>
      </c>
      <c r="M453">
        <v>2021</v>
      </c>
      <c r="N453" t="s">
        <v>45</v>
      </c>
      <c r="O453">
        <v>0</v>
      </c>
    </row>
    <row r="454" spans="1:15" x14ac:dyDescent="0.25">
      <c r="A454">
        <v>279</v>
      </c>
      <c r="B454">
        <v>2050</v>
      </c>
      <c r="C454">
        <v>0</v>
      </c>
      <c r="D454">
        <v>1</v>
      </c>
      <c r="E454">
        <v>0</v>
      </c>
      <c r="F454" t="str" cm="1">
        <f t="array" ref="F454">_xlfn.XLOOKUP(A454&amp;B454,$L$2:$L$739&amp;$M$2:$M$739,$N$2:$N$739)</f>
        <v>Low</v>
      </c>
      <c r="G454">
        <f t="shared" si="7"/>
        <v>0</v>
      </c>
      <c r="H454" t="str">
        <f>_xlfn.XLOOKUP(A454,VE!$A$2:$A$247,VE!$B$2:$B$247)</f>
        <v>Salem_5</v>
      </c>
      <c r="I454" t="str" cm="1">
        <f t="array" ref="I454">_xlfn.IFS(OR(H454=$S$2,H454=$S$13,H454=$S$5),"Other",OR(H454=$S$3,H454=$S$4,H454=$S$7,H454=$S$10,H454=$S$11),"Salem",OR(H454=$S$6),"Keizer",OR(H454=$S$8,H454=$S$9,H454=$S$12),"Marion")</f>
        <v>Salem</v>
      </c>
      <c r="L454">
        <v>279</v>
      </c>
      <c r="M454">
        <v>2050</v>
      </c>
      <c r="N454" t="s">
        <v>45</v>
      </c>
      <c r="O454">
        <v>0</v>
      </c>
    </row>
    <row r="455" spans="1:15" x14ac:dyDescent="0.25">
      <c r="A455">
        <v>280</v>
      </c>
      <c r="B455">
        <v>2005</v>
      </c>
      <c r="C455">
        <v>2</v>
      </c>
      <c r="D455">
        <v>4</v>
      </c>
      <c r="E455">
        <v>0</v>
      </c>
      <c r="F455" t="str" cm="1">
        <f t="array" ref="F455">_xlfn.XLOOKUP(A455&amp;B455,$L$2:$L$739&amp;$M$2:$M$739,$N$2:$N$739)</f>
        <v>Low</v>
      </c>
      <c r="G455">
        <f t="shared" si="7"/>
        <v>0</v>
      </c>
      <c r="H455" t="str">
        <f>_xlfn.XLOOKUP(A455,VE!$A$2:$A$247,VE!$B$2:$B$247)</f>
        <v>Salem_5</v>
      </c>
      <c r="I455" t="str" cm="1">
        <f t="array" ref="I455">_xlfn.IFS(OR(H455=$S$2,H455=$S$13,H455=$S$5),"Other",OR(H455=$S$3,H455=$S$4,H455=$S$7,H455=$S$10,H455=$S$11),"Salem",OR(H455=$S$6),"Keizer",OR(H455=$S$8,H455=$S$9,H455=$S$12),"Marion")</f>
        <v>Salem</v>
      </c>
      <c r="L455">
        <v>280</v>
      </c>
      <c r="M455">
        <v>2005</v>
      </c>
      <c r="N455" t="s">
        <v>45</v>
      </c>
      <c r="O455">
        <v>0</v>
      </c>
    </row>
    <row r="456" spans="1:15" x14ac:dyDescent="0.25">
      <c r="A456">
        <v>280</v>
      </c>
      <c r="B456">
        <v>2021</v>
      </c>
      <c r="C456">
        <v>3</v>
      </c>
      <c r="D456">
        <v>6</v>
      </c>
      <c r="E456">
        <v>0</v>
      </c>
      <c r="F456" t="str" cm="1">
        <f t="array" ref="F456">_xlfn.XLOOKUP(A456&amp;B456,$L$2:$L$739&amp;$M$2:$M$739,$N$2:$N$739)</f>
        <v>High</v>
      </c>
      <c r="G456">
        <f t="shared" si="7"/>
        <v>9</v>
      </c>
      <c r="H456" t="str">
        <f>_xlfn.XLOOKUP(A456,VE!$A$2:$A$247,VE!$B$2:$B$247)</f>
        <v>Salem_5</v>
      </c>
      <c r="I456" t="str" cm="1">
        <f t="array" ref="I456">_xlfn.IFS(OR(H456=$S$2,H456=$S$13,H456=$S$5),"Other",OR(H456=$S$3,H456=$S$4,H456=$S$7,H456=$S$10,H456=$S$11),"Salem",OR(H456=$S$6),"Keizer",OR(H456=$S$8,H456=$S$9,H456=$S$12),"Marion")</f>
        <v>Salem</v>
      </c>
      <c r="L456">
        <v>280</v>
      </c>
      <c r="M456">
        <v>2021</v>
      </c>
      <c r="N456" t="s">
        <v>46</v>
      </c>
      <c r="O456">
        <v>1</v>
      </c>
    </row>
    <row r="457" spans="1:15" x14ac:dyDescent="0.25">
      <c r="A457">
        <v>280</v>
      </c>
      <c r="B457">
        <v>2050</v>
      </c>
      <c r="C457">
        <v>1</v>
      </c>
      <c r="D457">
        <v>1</v>
      </c>
      <c r="E457">
        <v>0</v>
      </c>
      <c r="F457" t="str" cm="1">
        <f t="array" ref="F457">_xlfn.XLOOKUP(A457&amp;B457,$L$2:$L$739&amp;$M$2:$M$739,$N$2:$N$739)</f>
        <v>High</v>
      </c>
      <c r="G457">
        <f t="shared" si="7"/>
        <v>2</v>
      </c>
      <c r="H457" t="str">
        <f>_xlfn.XLOOKUP(A457,VE!$A$2:$A$247,VE!$B$2:$B$247)</f>
        <v>Salem_5</v>
      </c>
      <c r="I457" t="str" cm="1">
        <f t="array" ref="I457">_xlfn.IFS(OR(H457=$S$2,H457=$S$13,H457=$S$5),"Other",OR(H457=$S$3,H457=$S$4,H457=$S$7,H457=$S$10,H457=$S$11),"Salem",OR(H457=$S$6),"Keizer",OR(H457=$S$8,H457=$S$9,H457=$S$12),"Marion")</f>
        <v>Salem</v>
      </c>
      <c r="L457">
        <v>280</v>
      </c>
      <c r="M457">
        <v>2050</v>
      </c>
      <c r="N457" t="s">
        <v>46</v>
      </c>
      <c r="O457">
        <v>1</v>
      </c>
    </row>
    <row r="458" spans="1:15" x14ac:dyDescent="0.25">
      <c r="A458">
        <v>281</v>
      </c>
      <c r="B458">
        <v>2005</v>
      </c>
      <c r="C458">
        <v>0</v>
      </c>
      <c r="D458">
        <v>1</v>
      </c>
      <c r="E458">
        <v>0</v>
      </c>
      <c r="F458" t="str" cm="1">
        <f t="array" ref="F458">_xlfn.XLOOKUP(A458&amp;B458,$L$2:$L$739&amp;$M$2:$M$739,$N$2:$N$739)</f>
        <v>Low</v>
      </c>
      <c r="G458">
        <f t="shared" si="7"/>
        <v>0</v>
      </c>
      <c r="H458" t="str">
        <f>_xlfn.XLOOKUP(A458,VE!$A$2:$A$247,VE!$B$2:$B$247)</f>
        <v>Salem_5</v>
      </c>
      <c r="I458" t="str" cm="1">
        <f t="array" ref="I458">_xlfn.IFS(OR(H458=$S$2,H458=$S$13,H458=$S$5),"Other",OR(H458=$S$3,H458=$S$4,H458=$S$7,H458=$S$10,H458=$S$11),"Salem",OR(H458=$S$6),"Keizer",OR(H458=$S$8,H458=$S$9,H458=$S$12),"Marion")</f>
        <v>Salem</v>
      </c>
      <c r="L458">
        <v>281</v>
      </c>
      <c r="M458">
        <v>2005</v>
      </c>
      <c r="N458" t="s">
        <v>45</v>
      </c>
      <c r="O458">
        <v>0</v>
      </c>
    </row>
    <row r="459" spans="1:15" x14ac:dyDescent="0.25">
      <c r="A459">
        <v>281</v>
      </c>
      <c r="B459">
        <v>2021</v>
      </c>
      <c r="C459">
        <v>0</v>
      </c>
      <c r="D459">
        <v>82</v>
      </c>
      <c r="E459">
        <v>0</v>
      </c>
      <c r="F459" t="str" cm="1">
        <f t="array" ref="F459">_xlfn.XLOOKUP(A459&amp;B459,$L$2:$L$739&amp;$M$2:$M$739,$N$2:$N$739)</f>
        <v>High</v>
      </c>
      <c r="G459">
        <f t="shared" si="7"/>
        <v>82</v>
      </c>
      <c r="H459" t="str">
        <f>_xlfn.XLOOKUP(A459,VE!$A$2:$A$247,VE!$B$2:$B$247)</f>
        <v>Salem_5</v>
      </c>
      <c r="I459" t="str" cm="1">
        <f t="array" ref="I459">_xlfn.IFS(OR(H459=$S$2,H459=$S$13,H459=$S$5),"Other",OR(H459=$S$3,H459=$S$4,H459=$S$7,H459=$S$10,H459=$S$11),"Salem",OR(H459=$S$6),"Keizer",OR(H459=$S$8,H459=$S$9,H459=$S$12),"Marion")</f>
        <v>Salem</v>
      </c>
      <c r="L459">
        <v>281</v>
      </c>
      <c r="M459">
        <v>2021</v>
      </c>
      <c r="N459" t="s">
        <v>46</v>
      </c>
      <c r="O459">
        <v>1</v>
      </c>
    </row>
    <row r="460" spans="1:15" x14ac:dyDescent="0.25">
      <c r="A460">
        <v>281</v>
      </c>
      <c r="B460">
        <v>2050</v>
      </c>
      <c r="C460">
        <v>0</v>
      </c>
      <c r="D460">
        <v>125</v>
      </c>
      <c r="E460">
        <v>0</v>
      </c>
      <c r="F460" t="str" cm="1">
        <f t="array" ref="F460">_xlfn.XLOOKUP(A460&amp;B460,$L$2:$L$739&amp;$M$2:$M$739,$N$2:$N$739)</f>
        <v>High</v>
      </c>
      <c r="G460">
        <f t="shared" si="7"/>
        <v>125</v>
      </c>
      <c r="H460" t="str">
        <f>_xlfn.XLOOKUP(A460,VE!$A$2:$A$247,VE!$B$2:$B$247)</f>
        <v>Salem_5</v>
      </c>
      <c r="I460" t="str" cm="1">
        <f t="array" ref="I460">_xlfn.IFS(OR(H460=$S$2,H460=$S$13,H460=$S$5),"Other",OR(H460=$S$3,H460=$S$4,H460=$S$7,H460=$S$10,H460=$S$11),"Salem",OR(H460=$S$6),"Keizer",OR(H460=$S$8,H460=$S$9,H460=$S$12),"Marion")</f>
        <v>Salem</v>
      </c>
      <c r="L460">
        <v>281</v>
      </c>
      <c r="M460">
        <v>2050</v>
      </c>
      <c r="N460" t="s">
        <v>46</v>
      </c>
      <c r="O460">
        <v>1</v>
      </c>
    </row>
    <row r="461" spans="1:15" x14ac:dyDescent="0.25">
      <c r="A461">
        <v>282</v>
      </c>
      <c r="B461">
        <v>2005</v>
      </c>
      <c r="C461">
        <v>59</v>
      </c>
      <c r="D461">
        <v>11</v>
      </c>
      <c r="E461">
        <v>0</v>
      </c>
      <c r="F461" t="str" cm="1">
        <f t="array" ref="F461">_xlfn.XLOOKUP(A461&amp;B461,$L$2:$L$739&amp;$M$2:$M$739,$N$2:$N$739)</f>
        <v>Low</v>
      </c>
      <c r="G461">
        <f t="shared" si="7"/>
        <v>0</v>
      </c>
      <c r="H461" t="str">
        <f>_xlfn.XLOOKUP(A461,VE!$A$2:$A$247,VE!$B$2:$B$247)</f>
        <v>Salem_4</v>
      </c>
      <c r="I461" t="str" cm="1">
        <f t="array" ref="I461">_xlfn.IFS(OR(H461=$S$2,H461=$S$13,H461=$S$5),"Other",OR(H461=$S$3,H461=$S$4,H461=$S$7,H461=$S$10,H461=$S$11),"Salem",OR(H461=$S$6),"Keizer",OR(H461=$S$8,H461=$S$9,H461=$S$12),"Marion")</f>
        <v>Salem</v>
      </c>
      <c r="L461">
        <v>282</v>
      </c>
      <c r="M461">
        <v>2005</v>
      </c>
      <c r="N461" t="s">
        <v>45</v>
      </c>
      <c r="O461">
        <v>0</v>
      </c>
    </row>
    <row r="462" spans="1:15" x14ac:dyDescent="0.25">
      <c r="A462">
        <v>282</v>
      </c>
      <c r="B462">
        <v>2021</v>
      </c>
      <c r="C462">
        <v>74</v>
      </c>
      <c r="D462">
        <v>3</v>
      </c>
      <c r="E462">
        <v>0</v>
      </c>
      <c r="F462" t="str" cm="1">
        <f t="array" ref="F462">_xlfn.XLOOKUP(A462&amp;B462,$L$2:$L$739&amp;$M$2:$M$739,$N$2:$N$739)</f>
        <v>Low</v>
      </c>
      <c r="G462">
        <f t="shared" si="7"/>
        <v>0</v>
      </c>
      <c r="H462" t="str">
        <f>_xlfn.XLOOKUP(A462,VE!$A$2:$A$247,VE!$B$2:$B$247)</f>
        <v>Salem_4</v>
      </c>
      <c r="I462" t="str" cm="1">
        <f t="array" ref="I462">_xlfn.IFS(OR(H462=$S$2,H462=$S$13,H462=$S$5),"Other",OR(H462=$S$3,H462=$S$4,H462=$S$7,H462=$S$10,H462=$S$11),"Salem",OR(H462=$S$6),"Keizer",OR(H462=$S$8,H462=$S$9,H462=$S$12),"Marion")</f>
        <v>Salem</v>
      </c>
      <c r="L462">
        <v>282</v>
      </c>
      <c r="M462">
        <v>2021</v>
      </c>
      <c r="N462" t="s">
        <v>45</v>
      </c>
      <c r="O462">
        <v>0</v>
      </c>
    </row>
    <row r="463" spans="1:15" x14ac:dyDescent="0.25">
      <c r="A463">
        <v>282</v>
      </c>
      <c r="B463">
        <v>2050</v>
      </c>
      <c r="C463">
        <v>73</v>
      </c>
      <c r="D463">
        <v>3</v>
      </c>
      <c r="E463">
        <v>0</v>
      </c>
      <c r="F463" t="str" cm="1">
        <f t="array" ref="F463">_xlfn.XLOOKUP(A463&amp;B463,$L$2:$L$739&amp;$M$2:$M$739,$N$2:$N$739)</f>
        <v>Low</v>
      </c>
      <c r="G463">
        <f t="shared" si="7"/>
        <v>0</v>
      </c>
      <c r="H463" t="str">
        <f>_xlfn.XLOOKUP(A463,VE!$A$2:$A$247,VE!$B$2:$B$247)</f>
        <v>Salem_4</v>
      </c>
      <c r="I463" t="str" cm="1">
        <f t="array" ref="I463">_xlfn.IFS(OR(H463=$S$2,H463=$S$13,H463=$S$5),"Other",OR(H463=$S$3,H463=$S$4,H463=$S$7,H463=$S$10,H463=$S$11),"Salem",OR(H463=$S$6),"Keizer",OR(H463=$S$8,H463=$S$9,H463=$S$12),"Marion")</f>
        <v>Salem</v>
      </c>
      <c r="L463">
        <v>282</v>
      </c>
      <c r="M463">
        <v>2050</v>
      </c>
      <c r="N463" t="s">
        <v>45</v>
      </c>
      <c r="O463">
        <v>0</v>
      </c>
    </row>
    <row r="464" spans="1:15" x14ac:dyDescent="0.25">
      <c r="A464">
        <v>283</v>
      </c>
      <c r="B464">
        <v>2005</v>
      </c>
      <c r="C464">
        <v>356</v>
      </c>
      <c r="D464">
        <v>23</v>
      </c>
      <c r="E464">
        <v>0</v>
      </c>
      <c r="F464" t="str" cm="1">
        <f t="array" ref="F464">_xlfn.XLOOKUP(A464&amp;B464,$L$2:$L$739&amp;$M$2:$M$739,$N$2:$N$739)</f>
        <v>Low</v>
      </c>
      <c r="G464">
        <f t="shared" si="7"/>
        <v>0</v>
      </c>
      <c r="H464" t="str">
        <f>_xlfn.XLOOKUP(A464,VE!$A$2:$A$247,VE!$B$2:$B$247)</f>
        <v>Salem_4</v>
      </c>
      <c r="I464" t="str" cm="1">
        <f t="array" ref="I464">_xlfn.IFS(OR(H464=$S$2,H464=$S$13,H464=$S$5),"Other",OR(H464=$S$3,H464=$S$4,H464=$S$7,H464=$S$10,H464=$S$11),"Salem",OR(H464=$S$6),"Keizer",OR(H464=$S$8,H464=$S$9,H464=$S$12),"Marion")</f>
        <v>Salem</v>
      </c>
      <c r="L464">
        <v>283</v>
      </c>
      <c r="M464">
        <v>2005</v>
      </c>
      <c r="N464" t="s">
        <v>45</v>
      </c>
      <c r="O464">
        <v>0</v>
      </c>
    </row>
    <row r="465" spans="1:15" x14ac:dyDescent="0.25">
      <c r="A465">
        <v>283</v>
      </c>
      <c r="B465">
        <v>2021</v>
      </c>
      <c r="C465">
        <v>369</v>
      </c>
      <c r="D465">
        <v>36</v>
      </c>
      <c r="E465">
        <v>0</v>
      </c>
      <c r="F465" t="str" cm="1">
        <f t="array" ref="F465">_xlfn.XLOOKUP(A465&amp;B465,$L$2:$L$739&amp;$M$2:$M$739,$N$2:$N$739)</f>
        <v>Low</v>
      </c>
      <c r="G465">
        <f t="shared" si="7"/>
        <v>0</v>
      </c>
      <c r="H465" t="str">
        <f>_xlfn.XLOOKUP(A465,VE!$A$2:$A$247,VE!$B$2:$B$247)</f>
        <v>Salem_4</v>
      </c>
      <c r="I465" t="str" cm="1">
        <f t="array" ref="I465">_xlfn.IFS(OR(H465=$S$2,H465=$S$13,H465=$S$5),"Other",OR(H465=$S$3,H465=$S$4,H465=$S$7,H465=$S$10,H465=$S$11),"Salem",OR(H465=$S$6),"Keizer",OR(H465=$S$8,H465=$S$9,H465=$S$12),"Marion")</f>
        <v>Salem</v>
      </c>
      <c r="L465">
        <v>283</v>
      </c>
      <c r="M465">
        <v>2021</v>
      </c>
      <c r="N465" t="s">
        <v>45</v>
      </c>
      <c r="O465">
        <v>0</v>
      </c>
    </row>
    <row r="466" spans="1:15" x14ac:dyDescent="0.25">
      <c r="A466">
        <v>283</v>
      </c>
      <c r="B466">
        <v>2050</v>
      </c>
      <c r="C466">
        <v>365</v>
      </c>
      <c r="D466">
        <v>36</v>
      </c>
      <c r="E466">
        <v>0</v>
      </c>
      <c r="F466" t="str" cm="1">
        <f t="array" ref="F466">_xlfn.XLOOKUP(A466&amp;B466,$L$2:$L$739&amp;$M$2:$M$739,$N$2:$N$739)</f>
        <v>Low</v>
      </c>
      <c r="G466">
        <f t="shared" si="7"/>
        <v>0</v>
      </c>
      <c r="H466" t="str">
        <f>_xlfn.XLOOKUP(A466,VE!$A$2:$A$247,VE!$B$2:$B$247)</f>
        <v>Salem_4</v>
      </c>
      <c r="I466" t="str" cm="1">
        <f t="array" ref="I466">_xlfn.IFS(OR(H466=$S$2,H466=$S$13,H466=$S$5),"Other",OR(H466=$S$3,H466=$S$4,H466=$S$7,H466=$S$10,H466=$S$11),"Salem",OR(H466=$S$6),"Keizer",OR(H466=$S$8,H466=$S$9,H466=$S$12),"Marion")</f>
        <v>Salem</v>
      </c>
      <c r="L466">
        <v>283</v>
      </c>
      <c r="M466">
        <v>2050</v>
      </c>
      <c r="N466" t="s">
        <v>45</v>
      </c>
      <c r="O466">
        <v>0</v>
      </c>
    </row>
    <row r="467" spans="1:15" x14ac:dyDescent="0.25">
      <c r="A467">
        <v>284</v>
      </c>
      <c r="B467">
        <v>2005</v>
      </c>
      <c r="C467">
        <v>503</v>
      </c>
      <c r="D467">
        <v>109</v>
      </c>
      <c r="E467">
        <v>0</v>
      </c>
      <c r="F467" t="str" cm="1">
        <f t="array" ref="F467">_xlfn.XLOOKUP(A467&amp;B467,$L$2:$L$739&amp;$M$2:$M$739,$N$2:$N$739)</f>
        <v>Low</v>
      </c>
      <c r="G467">
        <f t="shared" si="7"/>
        <v>0</v>
      </c>
      <c r="H467" t="str">
        <f>_xlfn.XLOOKUP(A467,VE!$A$2:$A$247,VE!$B$2:$B$247)</f>
        <v>Salem_4</v>
      </c>
      <c r="I467" t="str" cm="1">
        <f t="array" ref="I467">_xlfn.IFS(OR(H467=$S$2,H467=$S$13,H467=$S$5),"Other",OR(H467=$S$3,H467=$S$4,H467=$S$7,H467=$S$10,H467=$S$11),"Salem",OR(H467=$S$6),"Keizer",OR(H467=$S$8,H467=$S$9,H467=$S$12),"Marion")</f>
        <v>Salem</v>
      </c>
      <c r="L467">
        <v>284</v>
      </c>
      <c r="M467">
        <v>2005</v>
      </c>
      <c r="N467" t="s">
        <v>45</v>
      </c>
      <c r="O467">
        <v>0</v>
      </c>
    </row>
    <row r="468" spans="1:15" x14ac:dyDescent="0.25">
      <c r="A468">
        <v>284</v>
      </c>
      <c r="B468">
        <v>2021</v>
      </c>
      <c r="C468">
        <v>555</v>
      </c>
      <c r="D468">
        <v>216</v>
      </c>
      <c r="E468">
        <v>0</v>
      </c>
      <c r="F468" t="str" cm="1">
        <f t="array" ref="F468">_xlfn.XLOOKUP(A468&amp;B468,$L$2:$L$739&amp;$M$2:$M$739,$N$2:$N$739)</f>
        <v>Low</v>
      </c>
      <c r="G468">
        <f t="shared" si="7"/>
        <v>0</v>
      </c>
      <c r="H468" t="str">
        <f>_xlfn.XLOOKUP(A468,VE!$A$2:$A$247,VE!$B$2:$B$247)</f>
        <v>Salem_4</v>
      </c>
      <c r="I468" t="str" cm="1">
        <f t="array" ref="I468">_xlfn.IFS(OR(H468=$S$2,H468=$S$13,H468=$S$5),"Other",OR(H468=$S$3,H468=$S$4,H468=$S$7,H468=$S$10,H468=$S$11),"Salem",OR(H468=$S$6),"Keizer",OR(H468=$S$8,H468=$S$9,H468=$S$12),"Marion")</f>
        <v>Salem</v>
      </c>
      <c r="L468">
        <v>284</v>
      </c>
      <c r="M468">
        <v>2021</v>
      </c>
      <c r="N468" t="s">
        <v>45</v>
      </c>
      <c r="O468">
        <v>0</v>
      </c>
    </row>
    <row r="469" spans="1:15" x14ac:dyDescent="0.25">
      <c r="A469">
        <v>284</v>
      </c>
      <c r="B469">
        <v>2050</v>
      </c>
      <c r="C469">
        <v>557</v>
      </c>
      <c r="D469">
        <v>371</v>
      </c>
      <c r="E469">
        <v>0</v>
      </c>
      <c r="F469" t="str" cm="1">
        <f t="array" ref="F469">_xlfn.XLOOKUP(A469&amp;B469,$L$2:$L$739&amp;$M$2:$M$739,$N$2:$N$739)</f>
        <v>Low</v>
      </c>
      <c r="G469">
        <f t="shared" si="7"/>
        <v>0</v>
      </c>
      <c r="H469" t="str">
        <f>_xlfn.XLOOKUP(A469,VE!$A$2:$A$247,VE!$B$2:$B$247)</f>
        <v>Salem_4</v>
      </c>
      <c r="I469" t="str" cm="1">
        <f t="array" ref="I469">_xlfn.IFS(OR(H469=$S$2,H469=$S$13,H469=$S$5),"Other",OR(H469=$S$3,H469=$S$4,H469=$S$7,H469=$S$10,H469=$S$11),"Salem",OR(H469=$S$6),"Keizer",OR(H469=$S$8,H469=$S$9,H469=$S$12),"Marion")</f>
        <v>Salem</v>
      </c>
      <c r="L469">
        <v>284</v>
      </c>
      <c r="M469">
        <v>2050</v>
      </c>
      <c r="N469" t="s">
        <v>45</v>
      </c>
      <c r="O469">
        <v>0</v>
      </c>
    </row>
    <row r="470" spans="1:15" x14ac:dyDescent="0.25">
      <c r="A470">
        <v>285</v>
      </c>
      <c r="B470">
        <v>2005</v>
      </c>
      <c r="C470">
        <v>281</v>
      </c>
      <c r="D470">
        <v>24</v>
      </c>
      <c r="E470">
        <v>0</v>
      </c>
      <c r="F470" t="str" cm="1">
        <f t="array" ref="F470">_xlfn.XLOOKUP(A470&amp;B470,$L$2:$L$739&amp;$M$2:$M$739,$N$2:$N$739)</f>
        <v>Low</v>
      </c>
      <c r="G470">
        <f t="shared" si="7"/>
        <v>0</v>
      </c>
      <c r="H470" t="str">
        <f>_xlfn.XLOOKUP(A470,VE!$A$2:$A$247,VE!$B$2:$B$247)</f>
        <v>Salem_4</v>
      </c>
      <c r="I470" t="str" cm="1">
        <f t="array" ref="I470">_xlfn.IFS(OR(H470=$S$2,H470=$S$13,H470=$S$5),"Other",OR(H470=$S$3,H470=$S$4,H470=$S$7,H470=$S$10,H470=$S$11),"Salem",OR(H470=$S$6),"Keizer",OR(H470=$S$8,H470=$S$9,H470=$S$12),"Marion")</f>
        <v>Salem</v>
      </c>
      <c r="L470">
        <v>285</v>
      </c>
      <c r="M470">
        <v>2005</v>
      </c>
      <c r="N470" t="s">
        <v>45</v>
      </c>
      <c r="O470">
        <v>0</v>
      </c>
    </row>
    <row r="471" spans="1:15" x14ac:dyDescent="0.25">
      <c r="A471">
        <v>285</v>
      </c>
      <c r="B471">
        <v>2021</v>
      </c>
      <c r="C471">
        <v>299</v>
      </c>
      <c r="D471">
        <v>12</v>
      </c>
      <c r="E471">
        <v>0</v>
      </c>
      <c r="F471" t="str" cm="1">
        <f t="array" ref="F471">_xlfn.XLOOKUP(A471&amp;B471,$L$2:$L$739&amp;$M$2:$M$739,$N$2:$N$739)</f>
        <v>Low</v>
      </c>
      <c r="G471">
        <f t="shared" si="7"/>
        <v>0</v>
      </c>
      <c r="H471" t="str">
        <f>_xlfn.XLOOKUP(A471,VE!$A$2:$A$247,VE!$B$2:$B$247)</f>
        <v>Salem_4</v>
      </c>
      <c r="I471" t="str" cm="1">
        <f t="array" ref="I471">_xlfn.IFS(OR(H471=$S$2,H471=$S$13,H471=$S$5),"Other",OR(H471=$S$3,H471=$S$4,H471=$S$7,H471=$S$10,H471=$S$11),"Salem",OR(H471=$S$6),"Keizer",OR(H471=$S$8,H471=$S$9,H471=$S$12),"Marion")</f>
        <v>Salem</v>
      </c>
      <c r="L471">
        <v>285</v>
      </c>
      <c r="M471">
        <v>2021</v>
      </c>
      <c r="N471" t="s">
        <v>45</v>
      </c>
      <c r="O471">
        <v>0</v>
      </c>
    </row>
    <row r="472" spans="1:15" x14ac:dyDescent="0.25">
      <c r="A472">
        <v>285</v>
      </c>
      <c r="B472">
        <v>2050</v>
      </c>
      <c r="C472">
        <v>303</v>
      </c>
      <c r="D472">
        <v>23</v>
      </c>
      <c r="E472">
        <v>0</v>
      </c>
      <c r="F472" t="str" cm="1">
        <f t="array" ref="F472">_xlfn.XLOOKUP(A472&amp;B472,$L$2:$L$739&amp;$M$2:$M$739,$N$2:$N$739)</f>
        <v>Low</v>
      </c>
      <c r="G472">
        <f t="shared" si="7"/>
        <v>0</v>
      </c>
      <c r="H472" t="str">
        <f>_xlfn.XLOOKUP(A472,VE!$A$2:$A$247,VE!$B$2:$B$247)</f>
        <v>Salem_4</v>
      </c>
      <c r="I472" t="str" cm="1">
        <f t="array" ref="I472">_xlfn.IFS(OR(H472=$S$2,H472=$S$13,H472=$S$5),"Other",OR(H472=$S$3,H472=$S$4,H472=$S$7,H472=$S$10,H472=$S$11),"Salem",OR(H472=$S$6),"Keizer",OR(H472=$S$8,H472=$S$9,H472=$S$12),"Marion")</f>
        <v>Salem</v>
      </c>
      <c r="L472">
        <v>285</v>
      </c>
      <c r="M472">
        <v>2050</v>
      </c>
      <c r="N472" t="s">
        <v>45</v>
      </c>
      <c r="O472">
        <v>0</v>
      </c>
    </row>
    <row r="473" spans="1:15" x14ac:dyDescent="0.25">
      <c r="A473">
        <v>286</v>
      </c>
      <c r="B473">
        <v>2005</v>
      </c>
      <c r="C473">
        <v>351</v>
      </c>
      <c r="D473">
        <v>780</v>
      </c>
      <c r="E473">
        <v>0</v>
      </c>
      <c r="F473" t="str" cm="1">
        <f t="array" ref="F473">_xlfn.XLOOKUP(A473&amp;B473,$L$2:$L$739&amp;$M$2:$M$739,$N$2:$N$739)</f>
        <v>Low</v>
      </c>
      <c r="G473">
        <f t="shared" si="7"/>
        <v>0</v>
      </c>
      <c r="H473" t="str">
        <f>_xlfn.XLOOKUP(A473,VE!$A$2:$A$247,VE!$B$2:$B$247)</f>
        <v>Salem_4</v>
      </c>
      <c r="I473" t="str" cm="1">
        <f t="array" ref="I473">_xlfn.IFS(OR(H473=$S$2,H473=$S$13,H473=$S$5),"Other",OR(H473=$S$3,H473=$S$4,H473=$S$7,H473=$S$10,H473=$S$11),"Salem",OR(H473=$S$6),"Keizer",OR(H473=$S$8,H473=$S$9,H473=$S$12),"Marion")</f>
        <v>Salem</v>
      </c>
      <c r="L473">
        <v>286</v>
      </c>
      <c r="M473">
        <v>2005</v>
      </c>
      <c r="N473" t="s">
        <v>45</v>
      </c>
      <c r="O473">
        <v>0</v>
      </c>
    </row>
    <row r="474" spans="1:15" x14ac:dyDescent="0.25">
      <c r="A474">
        <v>286</v>
      </c>
      <c r="B474">
        <v>2021</v>
      </c>
      <c r="C474">
        <v>355</v>
      </c>
      <c r="D474">
        <v>835</v>
      </c>
      <c r="E474">
        <v>0</v>
      </c>
      <c r="F474" t="str" cm="1">
        <f t="array" ref="F474">_xlfn.XLOOKUP(A474&amp;B474,$L$2:$L$739&amp;$M$2:$M$739,$N$2:$N$739)</f>
        <v>High</v>
      </c>
      <c r="G474">
        <f t="shared" si="7"/>
        <v>1190</v>
      </c>
      <c r="H474" t="str">
        <f>_xlfn.XLOOKUP(A474,VE!$A$2:$A$247,VE!$B$2:$B$247)</f>
        <v>Salem_4</v>
      </c>
      <c r="I474" t="str" cm="1">
        <f t="array" ref="I474">_xlfn.IFS(OR(H474=$S$2,H474=$S$13,H474=$S$5),"Other",OR(H474=$S$3,H474=$S$4,H474=$S$7,H474=$S$10,H474=$S$11),"Salem",OR(H474=$S$6),"Keizer",OR(H474=$S$8,H474=$S$9,H474=$S$12),"Marion")</f>
        <v>Salem</v>
      </c>
      <c r="L474">
        <v>286</v>
      </c>
      <c r="M474">
        <v>2021</v>
      </c>
      <c r="N474" t="s">
        <v>46</v>
      </c>
      <c r="O474">
        <v>1</v>
      </c>
    </row>
    <row r="475" spans="1:15" x14ac:dyDescent="0.25">
      <c r="A475">
        <v>286</v>
      </c>
      <c r="B475">
        <v>2050</v>
      </c>
      <c r="C475">
        <v>352</v>
      </c>
      <c r="D475">
        <v>925</v>
      </c>
      <c r="E475">
        <v>0</v>
      </c>
      <c r="F475" t="str" cm="1">
        <f t="array" ref="F475">_xlfn.XLOOKUP(A475&amp;B475,$L$2:$L$739&amp;$M$2:$M$739,$N$2:$N$739)</f>
        <v>High</v>
      </c>
      <c r="G475">
        <f t="shared" si="7"/>
        <v>1277</v>
      </c>
      <c r="H475" t="str">
        <f>_xlfn.XLOOKUP(A475,VE!$A$2:$A$247,VE!$B$2:$B$247)</f>
        <v>Salem_4</v>
      </c>
      <c r="I475" t="str" cm="1">
        <f t="array" ref="I475">_xlfn.IFS(OR(H475=$S$2,H475=$S$13,H475=$S$5),"Other",OR(H475=$S$3,H475=$S$4,H475=$S$7,H475=$S$10,H475=$S$11),"Salem",OR(H475=$S$6),"Keizer",OR(H475=$S$8,H475=$S$9,H475=$S$12),"Marion")</f>
        <v>Salem</v>
      </c>
      <c r="L475">
        <v>286</v>
      </c>
      <c r="M475">
        <v>2050</v>
      </c>
      <c r="N475" t="s">
        <v>46</v>
      </c>
      <c r="O475">
        <v>1</v>
      </c>
    </row>
    <row r="476" spans="1:15" x14ac:dyDescent="0.25">
      <c r="A476">
        <v>289</v>
      </c>
      <c r="B476">
        <v>2005</v>
      </c>
      <c r="C476">
        <v>343</v>
      </c>
      <c r="D476">
        <v>14</v>
      </c>
      <c r="E476">
        <v>0</v>
      </c>
      <c r="F476" t="str" cm="1">
        <f t="array" ref="F476">_xlfn.XLOOKUP(A476&amp;B476,$L$2:$L$739&amp;$M$2:$M$739,$N$2:$N$739)</f>
        <v>Low</v>
      </c>
      <c r="G476">
        <f t="shared" si="7"/>
        <v>0</v>
      </c>
      <c r="H476" t="str">
        <f>_xlfn.XLOOKUP(A476,VE!$A$2:$A$247,VE!$B$2:$B$247)</f>
        <v>Salem_4</v>
      </c>
      <c r="I476" t="str" cm="1">
        <f t="array" ref="I476">_xlfn.IFS(OR(H476=$S$2,H476=$S$13,H476=$S$5),"Other",OR(H476=$S$3,H476=$S$4,H476=$S$7,H476=$S$10,H476=$S$11),"Salem",OR(H476=$S$6),"Keizer",OR(H476=$S$8,H476=$S$9,H476=$S$12),"Marion")</f>
        <v>Salem</v>
      </c>
      <c r="L476">
        <v>289</v>
      </c>
      <c r="M476">
        <v>2005</v>
      </c>
      <c r="N476" t="s">
        <v>45</v>
      </c>
      <c r="O476">
        <v>0</v>
      </c>
    </row>
    <row r="477" spans="1:15" x14ac:dyDescent="0.25">
      <c r="A477">
        <v>289</v>
      </c>
      <c r="B477">
        <v>2021</v>
      </c>
      <c r="C477">
        <v>343</v>
      </c>
      <c r="D477">
        <v>14</v>
      </c>
      <c r="E477">
        <v>0</v>
      </c>
      <c r="F477" t="str" cm="1">
        <f t="array" ref="F477">_xlfn.XLOOKUP(A477&amp;B477,$L$2:$L$739&amp;$M$2:$M$739,$N$2:$N$739)</f>
        <v>Low</v>
      </c>
      <c r="G477">
        <f t="shared" si="7"/>
        <v>0</v>
      </c>
      <c r="H477" t="str">
        <f>_xlfn.XLOOKUP(A477,VE!$A$2:$A$247,VE!$B$2:$B$247)</f>
        <v>Salem_4</v>
      </c>
      <c r="I477" t="str" cm="1">
        <f t="array" ref="I477">_xlfn.IFS(OR(H477=$S$2,H477=$S$13,H477=$S$5),"Other",OR(H477=$S$3,H477=$S$4,H477=$S$7,H477=$S$10,H477=$S$11),"Salem",OR(H477=$S$6),"Keizer",OR(H477=$S$8,H477=$S$9,H477=$S$12),"Marion")</f>
        <v>Salem</v>
      </c>
      <c r="L477">
        <v>289</v>
      </c>
      <c r="M477">
        <v>2021</v>
      </c>
      <c r="N477" t="s">
        <v>45</v>
      </c>
      <c r="O477">
        <v>0</v>
      </c>
    </row>
    <row r="478" spans="1:15" x14ac:dyDescent="0.25">
      <c r="A478">
        <v>289</v>
      </c>
      <c r="B478">
        <v>2050</v>
      </c>
      <c r="C478">
        <v>344</v>
      </c>
      <c r="D478">
        <v>38</v>
      </c>
      <c r="E478">
        <v>0</v>
      </c>
      <c r="F478" t="str" cm="1">
        <f t="array" ref="F478">_xlfn.XLOOKUP(A478&amp;B478,$L$2:$L$739&amp;$M$2:$M$739,$N$2:$N$739)</f>
        <v>Low</v>
      </c>
      <c r="G478">
        <f t="shared" si="7"/>
        <v>0</v>
      </c>
      <c r="H478" t="str">
        <f>_xlfn.XLOOKUP(A478,VE!$A$2:$A$247,VE!$B$2:$B$247)</f>
        <v>Salem_4</v>
      </c>
      <c r="I478" t="str" cm="1">
        <f t="array" ref="I478">_xlfn.IFS(OR(H478=$S$2,H478=$S$13,H478=$S$5),"Other",OR(H478=$S$3,H478=$S$4,H478=$S$7,H478=$S$10,H478=$S$11),"Salem",OR(H478=$S$6),"Keizer",OR(H478=$S$8,H478=$S$9,H478=$S$12),"Marion")</f>
        <v>Salem</v>
      </c>
      <c r="L478">
        <v>289</v>
      </c>
      <c r="M478">
        <v>2050</v>
      </c>
      <c r="N478" t="s">
        <v>45</v>
      </c>
      <c r="O478">
        <v>0</v>
      </c>
    </row>
    <row r="479" spans="1:15" x14ac:dyDescent="0.25">
      <c r="A479">
        <v>290</v>
      </c>
      <c r="B479">
        <v>2005</v>
      </c>
      <c r="C479">
        <v>269</v>
      </c>
      <c r="D479">
        <v>20</v>
      </c>
      <c r="E479">
        <v>0</v>
      </c>
      <c r="F479" t="str" cm="1">
        <f t="array" ref="F479">_xlfn.XLOOKUP(A479&amp;B479,$L$2:$L$739&amp;$M$2:$M$739,$N$2:$N$739)</f>
        <v>Low</v>
      </c>
      <c r="G479">
        <f t="shared" si="7"/>
        <v>0</v>
      </c>
      <c r="H479" t="str">
        <f>_xlfn.XLOOKUP(A479,VE!$A$2:$A$247,VE!$B$2:$B$247)</f>
        <v>Salem_4</v>
      </c>
      <c r="I479" t="str" cm="1">
        <f t="array" ref="I479">_xlfn.IFS(OR(H479=$S$2,H479=$S$13,H479=$S$5),"Other",OR(H479=$S$3,H479=$S$4,H479=$S$7,H479=$S$10,H479=$S$11),"Salem",OR(H479=$S$6),"Keizer",OR(H479=$S$8,H479=$S$9,H479=$S$12),"Marion")</f>
        <v>Salem</v>
      </c>
      <c r="L479">
        <v>290</v>
      </c>
      <c r="M479">
        <v>2005</v>
      </c>
      <c r="N479" t="s">
        <v>45</v>
      </c>
      <c r="O479">
        <v>0</v>
      </c>
    </row>
    <row r="480" spans="1:15" x14ac:dyDescent="0.25">
      <c r="A480">
        <v>290</v>
      </c>
      <c r="B480">
        <v>2021</v>
      </c>
      <c r="C480">
        <v>269</v>
      </c>
      <c r="D480">
        <v>20</v>
      </c>
      <c r="E480">
        <v>0</v>
      </c>
      <c r="F480" t="str" cm="1">
        <f t="array" ref="F480">_xlfn.XLOOKUP(A480&amp;B480,$L$2:$L$739&amp;$M$2:$M$739,$N$2:$N$739)</f>
        <v>Low</v>
      </c>
      <c r="G480">
        <f t="shared" si="7"/>
        <v>0</v>
      </c>
      <c r="H480" t="str">
        <f>_xlfn.XLOOKUP(A480,VE!$A$2:$A$247,VE!$B$2:$B$247)</f>
        <v>Salem_4</v>
      </c>
      <c r="I480" t="str" cm="1">
        <f t="array" ref="I480">_xlfn.IFS(OR(H480=$S$2,H480=$S$13,H480=$S$5),"Other",OR(H480=$S$3,H480=$S$4,H480=$S$7,H480=$S$10,H480=$S$11),"Salem",OR(H480=$S$6),"Keizer",OR(H480=$S$8,H480=$S$9,H480=$S$12),"Marion")</f>
        <v>Salem</v>
      </c>
      <c r="L480">
        <v>290</v>
      </c>
      <c r="M480">
        <v>2021</v>
      </c>
      <c r="N480" t="s">
        <v>45</v>
      </c>
      <c r="O480">
        <v>0</v>
      </c>
    </row>
    <row r="481" spans="1:15" x14ac:dyDescent="0.25">
      <c r="A481">
        <v>290</v>
      </c>
      <c r="B481">
        <v>2050</v>
      </c>
      <c r="C481">
        <v>273</v>
      </c>
      <c r="D481">
        <v>27</v>
      </c>
      <c r="E481">
        <v>0</v>
      </c>
      <c r="F481" t="str" cm="1">
        <f t="array" ref="F481">_xlfn.XLOOKUP(A481&amp;B481,$L$2:$L$739&amp;$M$2:$M$739,$N$2:$N$739)</f>
        <v>High</v>
      </c>
      <c r="G481">
        <f t="shared" si="7"/>
        <v>300</v>
      </c>
      <c r="H481" t="str">
        <f>_xlfn.XLOOKUP(A481,VE!$A$2:$A$247,VE!$B$2:$B$247)</f>
        <v>Salem_4</v>
      </c>
      <c r="I481" t="str" cm="1">
        <f t="array" ref="I481">_xlfn.IFS(OR(H481=$S$2,H481=$S$13,H481=$S$5),"Other",OR(H481=$S$3,H481=$S$4,H481=$S$7,H481=$S$10,H481=$S$11),"Salem",OR(H481=$S$6),"Keizer",OR(H481=$S$8,H481=$S$9,H481=$S$12),"Marion")</f>
        <v>Salem</v>
      </c>
      <c r="L481">
        <v>290</v>
      </c>
      <c r="M481">
        <v>2050</v>
      </c>
      <c r="N481" t="s">
        <v>46</v>
      </c>
      <c r="O481">
        <v>1</v>
      </c>
    </row>
    <row r="482" spans="1:15" x14ac:dyDescent="0.25">
      <c r="A482">
        <v>294</v>
      </c>
      <c r="B482">
        <v>2005</v>
      </c>
      <c r="C482">
        <v>0</v>
      </c>
      <c r="D482">
        <v>1</v>
      </c>
      <c r="E482">
        <v>0</v>
      </c>
      <c r="F482" t="str" cm="1">
        <f t="array" ref="F482">_xlfn.XLOOKUP(A482&amp;B482,$L$2:$L$739&amp;$M$2:$M$739,$N$2:$N$739)</f>
        <v>Low</v>
      </c>
      <c r="G482">
        <f t="shared" si="7"/>
        <v>0</v>
      </c>
      <c r="H482" t="str">
        <f>_xlfn.XLOOKUP(A482,VE!$A$2:$A$247,VE!$B$2:$B$247)</f>
        <v>Salem_4</v>
      </c>
      <c r="I482" t="str" cm="1">
        <f t="array" ref="I482">_xlfn.IFS(OR(H482=$S$2,H482=$S$13,H482=$S$5),"Other",OR(H482=$S$3,H482=$S$4,H482=$S$7,H482=$S$10,H482=$S$11),"Salem",OR(H482=$S$6),"Keizer",OR(H482=$S$8,H482=$S$9,H482=$S$12),"Marion")</f>
        <v>Salem</v>
      </c>
      <c r="L482">
        <v>294</v>
      </c>
      <c r="M482">
        <v>2005</v>
      </c>
      <c r="N482" t="s">
        <v>45</v>
      </c>
      <c r="O482">
        <v>0</v>
      </c>
    </row>
    <row r="483" spans="1:15" x14ac:dyDescent="0.25">
      <c r="A483">
        <v>294</v>
      </c>
      <c r="B483">
        <v>2021</v>
      </c>
      <c r="C483">
        <v>0</v>
      </c>
      <c r="D483">
        <v>1</v>
      </c>
      <c r="E483">
        <v>0</v>
      </c>
      <c r="F483" t="str" cm="1">
        <f t="array" ref="F483">_xlfn.XLOOKUP(A483&amp;B483,$L$2:$L$739&amp;$M$2:$M$739,$N$2:$N$739)</f>
        <v>High</v>
      </c>
      <c r="G483">
        <f t="shared" si="7"/>
        <v>1</v>
      </c>
      <c r="H483" t="str">
        <f>_xlfn.XLOOKUP(A483,VE!$A$2:$A$247,VE!$B$2:$B$247)</f>
        <v>Salem_4</v>
      </c>
      <c r="I483" t="str" cm="1">
        <f t="array" ref="I483">_xlfn.IFS(OR(H483=$S$2,H483=$S$13,H483=$S$5),"Other",OR(H483=$S$3,H483=$S$4,H483=$S$7,H483=$S$10,H483=$S$11),"Salem",OR(H483=$S$6),"Keizer",OR(H483=$S$8,H483=$S$9,H483=$S$12),"Marion")</f>
        <v>Salem</v>
      </c>
      <c r="L483">
        <v>294</v>
      </c>
      <c r="M483">
        <v>2021</v>
      </c>
      <c r="N483" t="s">
        <v>46</v>
      </c>
      <c r="O483">
        <v>1</v>
      </c>
    </row>
    <row r="484" spans="1:15" x14ac:dyDescent="0.25">
      <c r="A484">
        <v>294</v>
      </c>
      <c r="B484">
        <v>2050</v>
      </c>
      <c r="C484">
        <v>44</v>
      </c>
      <c r="D484">
        <v>189</v>
      </c>
      <c r="E484">
        <v>0</v>
      </c>
      <c r="F484" t="str" cm="1">
        <f t="array" ref="F484">_xlfn.XLOOKUP(A484&amp;B484,$L$2:$L$739&amp;$M$2:$M$739,$N$2:$N$739)</f>
        <v>High</v>
      </c>
      <c r="G484">
        <f t="shared" si="7"/>
        <v>233</v>
      </c>
      <c r="H484" t="str">
        <f>_xlfn.XLOOKUP(A484,VE!$A$2:$A$247,VE!$B$2:$B$247)</f>
        <v>Salem_4</v>
      </c>
      <c r="I484" t="str" cm="1">
        <f t="array" ref="I484">_xlfn.IFS(OR(H484=$S$2,H484=$S$13,H484=$S$5),"Other",OR(H484=$S$3,H484=$S$4,H484=$S$7,H484=$S$10,H484=$S$11),"Salem",OR(H484=$S$6),"Keizer",OR(H484=$S$8,H484=$S$9,H484=$S$12),"Marion")</f>
        <v>Salem</v>
      </c>
      <c r="L484">
        <v>294</v>
      </c>
      <c r="M484">
        <v>2050</v>
      </c>
      <c r="N484" t="s">
        <v>46</v>
      </c>
      <c r="O484">
        <v>1</v>
      </c>
    </row>
    <row r="485" spans="1:15" x14ac:dyDescent="0.25">
      <c r="A485">
        <v>295</v>
      </c>
      <c r="B485">
        <v>2005</v>
      </c>
      <c r="C485">
        <v>192</v>
      </c>
      <c r="D485">
        <v>99</v>
      </c>
      <c r="E485">
        <v>0</v>
      </c>
      <c r="F485" t="str" cm="1">
        <f t="array" ref="F485">_xlfn.XLOOKUP(A485&amp;B485,$L$2:$L$739&amp;$M$2:$M$739,$N$2:$N$739)</f>
        <v>Low</v>
      </c>
      <c r="G485">
        <f t="shared" si="7"/>
        <v>0</v>
      </c>
      <c r="H485" t="str">
        <f>_xlfn.XLOOKUP(A485,VE!$A$2:$A$247,VE!$B$2:$B$247)</f>
        <v>Salem_4</v>
      </c>
      <c r="I485" t="str" cm="1">
        <f t="array" ref="I485">_xlfn.IFS(OR(H485=$S$2,H485=$S$13,H485=$S$5),"Other",OR(H485=$S$3,H485=$S$4,H485=$S$7,H485=$S$10,H485=$S$11),"Salem",OR(H485=$S$6),"Keizer",OR(H485=$S$8,H485=$S$9,H485=$S$12),"Marion")</f>
        <v>Salem</v>
      </c>
      <c r="L485">
        <v>295</v>
      </c>
      <c r="M485">
        <v>2005</v>
      </c>
      <c r="N485" t="s">
        <v>45</v>
      </c>
      <c r="O485">
        <v>0</v>
      </c>
    </row>
    <row r="486" spans="1:15" x14ac:dyDescent="0.25">
      <c r="A486">
        <v>295</v>
      </c>
      <c r="B486">
        <v>2021</v>
      </c>
      <c r="C486">
        <v>184</v>
      </c>
      <c r="D486">
        <v>128</v>
      </c>
      <c r="E486">
        <v>0</v>
      </c>
      <c r="F486" t="str" cm="1">
        <f t="array" ref="F486">_xlfn.XLOOKUP(A486&amp;B486,$L$2:$L$739&amp;$M$2:$M$739,$N$2:$N$739)</f>
        <v>Low</v>
      </c>
      <c r="G486">
        <f t="shared" si="7"/>
        <v>0</v>
      </c>
      <c r="H486" t="str">
        <f>_xlfn.XLOOKUP(A486,VE!$A$2:$A$247,VE!$B$2:$B$247)</f>
        <v>Salem_4</v>
      </c>
      <c r="I486" t="str" cm="1">
        <f t="array" ref="I486">_xlfn.IFS(OR(H486=$S$2,H486=$S$13,H486=$S$5),"Other",OR(H486=$S$3,H486=$S$4,H486=$S$7,H486=$S$10,H486=$S$11),"Salem",OR(H486=$S$6),"Keizer",OR(H486=$S$8,H486=$S$9,H486=$S$12),"Marion")</f>
        <v>Salem</v>
      </c>
      <c r="L486">
        <v>295</v>
      </c>
      <c r="M486">
        <v>2021</v>
      </c>
      <c r="N486" t="s">
        <v>45</v>
      </c>
      <c r="O486">
        <v>0</v>
      </c>
    </row>
    <row r="487" spans="1:15" x14ac:dyDescent="0.25">
      <c r="A487">
        <v>295</v>
      </c>
      <c r="B487">
        <v>2050</v>
      </c>
      <c r="C487">
        <v>190</v>
      </c>
      <c r="D487">
        <v>155</v>
      </c>
      <c r="E487">
        <v>0</v>
      </c>
      <c r="F487" t="str" cm="1">
        <f t="array" ref="F487">_xlfn.XLOOKUP(A487&amp;B487,$L$2:$L$739&amp;$M$2:$M$739,$N$2:$N$739)</f>
        <v>High</v>
      </c>
      <c r="G487">
        <f t="shared" si="7"/>
        <v>345</v>
      </c>
      <c r="H487" t="str">
        <f>_xlfn.XLOOKUP(A487,VE!$A$2:$A$247,VE!$B$2:$B$247)</f>
        <v>Salem_4</v>
      </c>
      <c r="I487" t="str" cm="1">
        <f t="array" ref="I487">_xlfn.IFS(OR(H487=$S$2,H487=$S$13,H487=$S$5),"Other",OR(H487=$S$3,H487=$S$4,H487=$S$7,H487=$S$10,H487=$S$11),"Salem",OR(H487=$S$6),"Keizer",OR(H487=$S$8,H487=$S$9,H487=$S$12),"Marion")</f>
        <v>Salem</v>
      </c>
      <c r="L487">
        <v>295</v>
      </c>
      <c r="M487">
        <v>2050</v>
      </c>
      <c r="N487" t="s">
        <v>46</v>
      </c>
      <c r="O487">
        <v>1</v>
      </c>
    </row>
    <row r="488" spans="1:15" x14ac:dyDescent="0.25">
      <c r="A488">
        <v>296</v>
      </c>
      <c r="B488">
        <v>2005</v>
      </c>
      <c r="C488">
        <v>0</v>
      </c>
      <c r="D488">
        <v>1</v>
      </c>
      <c r="E488">
        <v>0</v>
      </c>
      <c r="F488" t="str" cm="1">
        <f t="array" ref="F488">_xlfn.XLOOKUP(A488&amp;B488,$L$2:$L$739&amp;$M$2:$M$739,$N$2:$N$739)</f>
        <v>Low</v>
      </c>
      <c r="G488">
        <f t="shared" si="7"/>
        <v>0</v>
      </c>
      <c r="H488" t="str">
        <f>_xlfn.XLOOKUP(A488,VE!$A$2:$A$247,VE!$B$2:$B$247)</f>
        <v>Salem_4</v>
      </c>
      <c r="I488" t="str" cm="1">
        <f t="array" ref="I488">_xlfn.IFS(OR(H488=$S$2,H488=$S$13,H488=$S$5),"Other",OR(H488=$S$3,H488=$S$4,H488=$S$7,H488=$S$10,H488=$S$11),"Salem",OR(H488=$S$6),"Keizer",OR(H488=$S$8,H488=$S$9,H488=$S$12),"Marion")</f>
        <v>Salem</v>
      </c>
      <c r="L488">
        <v>296</v>
      </c>
      <c r="M488">
        <v>2005</v>
      </c>
      <c r="N488" t="s">
        <v>45</v>
      </c>
      <c r="O488">
        <v>0</v>
      </c>
    </row>
    <row r="489" spans="1:15" x14ac:dyDescent="0.25">
      <c r="A489">
        <v>296</v>
      </c>
      <c r="B489">
        <v>2021</v>
      </c>
      <c r="C489">
        <v>0</v>
      </c>
      <c r="D489">
        <v>1</v>
      </c>
      <c r="E489">
        <v>0</v>
      </c>
      <c r="F489" t="str" cm="1">
        <f t="array" ref="F489">_xlfn.XLOOKUP(A489&amp;B489,$L$2:$L$739&amp;$M$2:$M$739,$N$2:$N$739)</f>
        <v>High</v>
      </c>
      <c r="G489">
        <f t="shared" si="7"/>
        <v>1</v>
      </c>
      <c r="H489" t="str">
        <f>_xlfn.XLOOKUP(A489,VE!$A$2:$A$247,VE!$B$2:$B$247)</f>
        <v>Salem_4</v>
      </c>
      <c r="I489" t="str" cm="1">
        <f t="array" ref="I489">_xlfn.IFS(OR(H489=$S$2,H489=$S$13,H489=$S$5),"Other",OR(H489=$S$3,H489=$S$4,H489=$S$7,H489=$S$10,H489=$S$11),"Salem",OR(H489=$S$6),"Keizer",OR(H489=$S$8,H489=$S$9,H489=$S$12),"Marion")</f>
        <v>Salem</v>
      </c>
      <c r="L489">
        <v>296</v>
      </c>
      <c r="M489">
        <v>2021</v>
      </c>
      <c r="N489" t="s">
        <v>46</v>
      </c>
      <c r="O489">
        <v>1</v>
      </c>
    </row>
    <row r="490" spans="1:15" x14ac:dyDescent="0.25">
      <c r="A490">
        <v>296</v>
      </c>
      <c r="B490">
        <v>2050</v>
      </c>
      <c r="C490">
        <v>0</v>
      </c>
      <c r="D490">
        <v>1</v>
      </c>
      <c r="E490">
        <v>0</v>
      </c>
      <c r="F490" t="str" cm="1">
        <f t="array" ref="F490">_xlfn.XLOOKUP(A490&amp;B490,$L$2:$L$739&amp;$M$2:$M$739,$N$2:$N$739)</f>
        <v>High</v>
      </c>
      <c r="G490">
        <f t="shared" si="7"/>
        <v>1</v>
      </c>
      <c r="H490" t="str">
        <f>_xlfn.XLOOKUP(A490,VE!$A$2:$A$247,VE!$B$2:$B$247)</f>
        <v>Salem_4</v>
      </c>
      <c r="I490" t="str" cm="1">
        <f t="array" ref="I490">_xlfn.IFS(OR(H490=$S$2,H490=$S$13,H490=$S$5),"Other",OR(H490=$S$3,H490=$S$4,H490=$S$7,H490=$S$10,H490=$S$11),"Salem",OR(H490=$S$6),"Keizer",OR(H490=$S$8,H490=$S$9,H490=$S$12),"Marion")</f>
        <v>Salem</v>
      </c>
      <c r="L490">
        <v>296</v>
      </c>
      <c r="M490">
        <v>2050</v>
      </c>
      <c r="N490" t="s">
        <v>46</v>
      </c>
      <c r="O490">
        <v>1</v>
      </c>
    </row>
    <row r="491" spans="1:15" x14ac:dyDescent="0.25">
      <c r="A491">
        <v>298</v>
      </c>
      <c r="B491">
        <v>2005</v>
      </c>
      <c r="C491">
        <v>289</v>
      </c>
      <c r="D491">
        <v>149</v>
      </c>
      <c r="E491">
        <v>0</v>
      </c>
      <c r="F491" t="str" cm="1">
        <f t="array" ref="F491">_xlfn.XLOOKUP(A491&amp;B491,$L$2:$L$739&amp;$M$2:$M$739,$N$2:$N$739)</f>
        <v>Low</v>
      </c>
      <c r="G491">
        <f t="shared" si="7"/>
        <v>0</v>
      </c>
      <c r="H491" t="str">
        <f>_xlfn.XLOOKUP(A491,VE!$A$2:$A$247,VE!$B$2:$B$247)</f>
        <v>Salem_4</v>
      </c>
      <c r="I491" t="str" cm="1">
        <f t="array" ref="I491">_xlfn.IFS(OR(H491=$S$2,H491=$S$13,H491=$S$5),"Other",OR(H491=$S$3,H491=$S$4,H491=$S$7,H491=$S$10,H491=$S$11),"Salem",OR(H491=$S$6),"Keizer",OR(H491=$S$8,H491=$S$9,H491=$S$12),"Marion")</f>
        <v>Salem</v>
      </c>
      <c r="L491">
        <v>298</v>
      </c>
      <c r="M491">
        <v>2005</v>
      </c>
      <c r="N491" t="s">
        <v>45</v>
      </c>
      <c r="O491">
        <v>0</v>
      </c>
    </row>
    <row r="492" spans="1:15" x14ac:dyDescent="0.25">
      <c r="A492">
        <v>298</v>
      </c>
      <c r="B492">
        <v>2021</v>
      </c>
      <c r="C492">
        <v>308</v>
      </c>
      <c r="D492">
        <v>152</v>
      </c>
      <c r="E492">
        <v>0</v>
      </c>
      <c r="F492" t="str" cm="1">
        <f t="array" ref="F492">_xlfn.XLOOKUP(A492&amp;B492,$L$2:$L$739&amp;$M$2:$M$739,$N$2:$N$739)</f>
        <v>High</v>
      </c>
      <c r="G492">
        <f t="shared" si="7"/>
        <v>460</v>
      </c>
      <c r="H492" t="str">
        <f>_xlfn.XLOOKUP(A492,VE!$A$2:$A$247,VE!$B$2:$B$247)</f>
        <v>Salem_4</v>
      </c>
      <c r="I492" t="str" cm="1">
        <f t="array" ref="I492">_xlfn.IFS(OR(H492=$S$2,H492=$S$13,H492=$S$5),"Other",OR(H492=$S$3,H492=$S$4,H492=$S$7,H492=$S$10,H492=$S$11),"Salem",OR(H492=$S$6),"Keizer",OR(H492=$S$8,H492=$S$9,H492=$S$12),"Marion")</f>
        <v>Salem</v>
      </c>
      <c r="L492">
        <v>298</v>
      </c>
      <c r="M492">
        <v>2021</v>
      </c>
      <c r="N492" t="s">
        <v>46</v>
      </c>
      <c r="O492">
        <v>1</v>
      </c>
    </row>
    <row r="493" spans="1:15" x14ac:dyDescent="0.25">
      <c r="A493">
        <v>298</v>
      </c>
      <c r="B493">
        <v>2050</v>
      </c>
      <c r="C493">
        <v>308</v>
      </c>
      <c r="D493">
        <v>174</v>
      </c>
      <c r="E493">
        <v>0</v>
      </c>
      <c r="F493" t="str" cm="1">
        <f t="array" ref="F493">_xlfn.XLOOKUP(A493&amp;B493,$L$2:$L$739&amp;$M$2:$M$739,$N$2:$N$739)</f>
        <v>High</v>
      </c>
      <c r="G493">
        <f t="shared" si="7"/>
        <v>482</v>
      </c>
      <c r="H493" t="str">
        <f>_xlfn.XLOOKUP(A493,VE!$A$2:$A$247,VE!$B$2:$B$247)</f>
        <v>Salem_4</v>
      </c>
      <c r="I493" t="str" cm="1">
        <f t="array" ref="I493">_xlfn.IFS(OR(H493=$S$2,H493=$S$13,H493=$S$5),"Other",OR(H493=$S$3,H493=$S$4,H493=$S$7,H493=$S$10,H493=$S$11),"Salem",OR(H493=$S$6),"Keizer",OR(H493=$S$8,H493=$S$9,H493=$S$12),"Marion")</f>
        <v>Salem</v>
      </c>
      <c r="L493">
        <v>298</v>
      </c>
      <c r="M493">
        <v>2050</v>
      </c>
      <c r="N493" t="s">
        <v>46</v>
      </c>
      <c r="O493">
        <v>1</v>
      </c>
    </row>
    <row r="494" spans="1:15" x14ac:dyDescent="0.25">
      <c r="A494">
        <v>299</v>
      </c>
      <c r="B494">
        <v>2005</v>
      </c>
      <c r="C494">
        <v>0</v>
      </c>
      <c r="D494">
        <v>1</v>
      </c>
      <c r="E494">
        <v>0</v>
      </c>
      <c r="F494" t="str" cm="1">
        <f t="array" ref="F494">_xlfn.XLOOKUP(A494&amp;B494,$L$2:$L$739&amp;$M$2:$M$739,$N$2:$N$739)</f>
        <v>Low</v>
      </c>
      <c r="G494">
        <f t="shared" si="7"/>
        <v>0</v>
      </c>
      <c r="H494" t="str">
        <f>_xlfn.XLOOKUP(A494,VE!$A$2:$A$247,VE!$B$2:$B$247)</f>
        <v>Salem_4</v>
      </c>
      <c r="I494" t="str" cm="1">
        <f t="array" ref="I494">_xlfn.IFS(OR(H494=$S$2,H494=$S$13,H494=$S$5),"Other",OR(H494=$S$3,H494=$S$4,H494=$S$7,H494=$S$10,H494=$S$11),"Salem",OR(H494=$S$6),"Keizer",OR(H494=$S$8,H494=$S$9,H494=$S$12),"Marion")</f>
        <v>Salem</v>
      </c>
      <c r="L494">
        <v>299</v>
      </c>
      <c r="M494">
        <v>2005</v>
      </c>
      <c r="N494" t="s">
        <v>45</v>
      </c>
      <c r="O494">
        <v>0</v>
      </c>
    </row>
    <row r="495" spans="1:15" x14ac:dyDescent="0.25">
      <c r="A495">
        <v>299</v>
      </c>
      <c r="B495">
        <v>2021</v>
      </c>
      <c r="C495">
        <v>0</v>
      </c>
      <c r="D495">
        <v>1</v>
      </c>
      <c r="E495">
        <v>0</v>
      </c>
      <c r="F495" t="str" cm="1">
        <f t="array" ref="F495">_xlfn.XLOOKUP(A495&amp;B495,$L$2:$L$739&amp;$M$2:$M$739,$N$2:$N$739)</f>
        <v>Low</v>
      </c>
      <c r="G495">
        <f t="shared" si="7"/>
        <v>0</v>
      </c>
      <c r="H495" t="str">
        <f>_xlfn.XLOOKUP(A495,VE!$A$2:$A$247,VE!$B$2:$B$247)</f>
        <v>Salem_4</v>
      </c>
      <c r="I495" t="str" cm="1">
        <f t="array" ref="I495">_xlfn.IFS(OR(H495=$S$2,H495=$S$13,H495=$S$5),"Other",OR(H495=$S$3,H495=$S$4,H495=$S$7,H495=$S$10,H495=$S$11),"Salem",OR(H495=$S$6),"Keizer",OR(H495=$S$8,H495=$S$9,H495=$S$12),"Marion")</f>
        <v>Salem</v>
      </c>
      <c r="L495">
        <v>299</v>
      </c>
      <c r="M495">
        <v>2021</v>
      </c>
      <c r="N495" t="s">
        <v>45</v>
      </c>
      <c r="O495">
        <v>0</v>
      </c>
    </row>
    <row r="496" spans="1:15" x14ac:dyDescent="0.25">
      <c r="A496">
        <v>299</v>
      </c>
      <c r="B496">
        <v>2050</v>
      </c>
      <c r="C496">
        <v>0</v>
      </c>
      <c r="D496">
        <v>1</v>
      </c>
      <c r="E496">
        <v>0</v>
      </c>
      <c r="F496" t="str" cm="1">
        <f t="array" ref="F496">_xlfn.XLOOKUP(A496&amp;B496,$L$2:$L$739&amp;$M$2:$M$739,$N$2:$N$739)</f>
        <v>Low</v>
      </c>
      <c r="G496">
        <f t="shared" si="7"/>
        <v>0</v>
      </c>
      <c r="H496" t="str">
        <f>_xlfn.XLOOKUP(A496,VE!$A$2:$A$247,VE!$B$2:$B$247)</f>
        <v>Salem_4</v>
      </c>
      <c r="I496" t="str" cm="1">
        <f t="array" ref="I496">_xlfn.IFS(OR(H496=$S$2,H496=$S$13,H496=$S$5),"Other",OR(H496=$S$3,H496=$S$4,H496=$S$7,H496=$S$10,H496=$S$11),"Salem",OR(H496=$S$6),"Keizer",OR(H496=$S$8,H496=$S$9,H496=$S$12),"Marion")</f>
        <v>Salem</v>
      </c>
      <c r="L496">
        <v>299</v>
      </c>
      <c r="M496">
        <v>2050</v>
      </c>
      <c r="N496" t="s">
        <v>45</v>
      </c>
      <c r="O496">
        <v>0</v>
      </c>
    </row>
    <row r="497" spans="1:15" x14ac:dyDescent="0.25">
      <c r="A497">
        <v>300</v>
      </c>
      <c r="B497">
        <v>2005</v>
      </c>
      <c r="C497">
        <v>171</v>
      </c>
      <c r="D497">
        <v>21</v>
      </c>
      <c r="E497">
        <v>0</v>
      </c>
      <c r="F497" t="str" cm="1">
        <f t="array" ref="F497">_xlfn.XLOOKUP(A497&amp;B497,$L$2:$L$739&amp;$M$2:$M$739,$N$2:$N$739)</f>
        <v>Low</v>
      </c>
      <c r="G497">
        <f t="shared" si="7"/>
        <v>0</v>
      </c>
      <c r="H497" t="str">
        <f>_xlfn.XLOOKUP(A497,VE!$A$2:$A$247,VE!$B$2:$B$247)</f>
        <v>Salem_4</v>
      </c>
      <c r="I497" t="str" cm="1">
        <f t="array" ref="I497">_xlfn.IFS(OR(H497=$S$2,H497=$S$13,H497=$S$5),"Other",OR(H497=$S$3,H497=$S$4,H497=$S$7,H497=$S$10,H497=$S$11),"Salem",OR(H497=$S$6),"Keizer",OR(H497=$S$8,H497=$S$9,H497=$S$12),"Marion")</f>
        <v>Salem</v>
      </c>
      <c r="L497">
        <v>300</v>
      </c>
      <c r="M497">
        <v>2005</v>
      </c>
      <c r="N497" t="s">
        <v>45</v>
      </c>
      <c r="O497">
        <v>0</v>
      </c>
    </row>
    <row r="498" spans="1:15" x14ac:dyDescent="0.25">
      <c r="A498">
        <v>300</v>
      </c>
      <c r="B498">
        <v>2021</v>
      </c>
      <c r="C498">
        <v>180</v>
      </c>
      <c r="D498">
        <v>22</v>
      </c>
      <c r="E498">
        <v>0</v>
      </c>
      <c r="F498" t="str" cm="1">
        <f t="array" ref="F498">_xlfn.XLOOKUP(A498&amp;B498,$L$2:$L$739&amp;$M$2:$M$739,$N$2:$N$739)</f>
        <v>Low</v>
      </c>
      <c r="G498">
        <f t="shared" si="7"/>
        <v>0</v>
      </c>
      <c r="H498" t="str">
        <f>_xlfn.XLOOKUP(A498,VE!$A$2:$A$247,VE!$B$2:$B$247)</f>
        <v>Salem_4</v>
      </c>
      <c r="I498" t="str" cm="1">
        <f t="array" ref="I498">_xlfn.IFS(OR(H498=$S$2,H498=$S$13,H498=$S$5),"Other",OR(H498=$S$3,H498=$S$4,H498=$S$7,H498=$S$10,H498=$S$11),"Salem",OR(H498=$S$6),"Keizer",OR(H498=$S$8,H498=$S$9,H498=$S$12),"Marion")</f>
        <v>Salem</v>
      </c>
      <c r="L498">
        <v>300</v>
      </c>
      <c r="M498">
        <v>2021</v>
      </c>
      <c r="N498" t="s">
        <v>45</v>
      </c>
      <c r="O498">
        <v>0</v>
      </c>
    </row>
    <row r="499" spans="1:15" x14ac:dyDescent="0.25">
      <c r="A499">
        <v>300</v>
      </c>
      <c r="B499">
        <v>2050</v>
      </c>
      <c r="C499">
        <v>181</v>
      </c>
      <c r="D499">
        <v>22</v>
      </c>
      <c r="E499">
        <v>0</v>
      </c>
      <c r="F499" t="str" cm="1">
        <f t="array" ref="F499">_xlfn.XLOOKUP(A499&amp;B499,$L$2:$L$739&amp;$M$2:$M$739,$N$2:$N$739)</f>
        <v>Low</v>
      </c>
      <c r="G499">
        <f t="shared" si="7"/>
        <v>0</v>
      </c>
      <c r="H499" t="str">
        <f>_xlfn.XLOOKUP(A499,VE!$A$2:$A$247,VE!$B$2:$B$247)</f>
        <v>Salem_4</v>
      </c>
      <c r="I499" t="str" cm="1">
        <f t="array" ref="I499">_xlfn.IFS(OR(H499=$S$2,H499=$S$13,H499=$S$5),"Other",OR(H499=$S$3,H499=$S$4,H499=$S$7,H499=$S$10,H499=$S$11),"Salem",OR(H499=$S$6),"Keizer",OR(H499=$S$8,H499=$S$9,H499=$S$12),"Marion")</f>
        <v>Salem</v>
      </c>
      <c r="L499">
        <v>300</v>
      </c>
      <c r="M499">
        <v>2050</v>
      </c>
      <c r="N499" t="s">
        <v>45</v>
      </c>
      <c r="O499">
        <v>0</v>
      </c>
    </row>
    <row r="500" spans="1:15" x14ac:dyDescent="0.25">
      <c r="A500">
        <v>301</v>
      </c>
      <c r="B500">
        <v>2005</v>
      </c>
      <c r="C500">
        <v>328</v>
      </c>
      <c r="D500">
        <v>148</v>
      </c>
      <c r="E500">
        <v>0</v>
      </c>
      <c r="F500" t="str" cm="1">
        <f t="array" ref="F500">_xlfn.XLOOKUP(A500&amp;B500,$L$2:$L$739&amp;$M$2:$M$739,$N$2:$N$739)</f>
        <v>Low</v>
      </c>
      <c r="G500">
        <f t="shared" si="7"/>
        <v>0</v>
      </c>
      <c r="H500" t="str">
        <f>_xlfn.XLOOKUP(A500,VE!$A$2:$A$247,VE!$B$2:$B$247)</f>
        <v>Salem_4</v>
      </c>
      <c r="I500" t="str" cm="1">
        <f t="array" ref="I500">_xlfn.IFS(OR(H500=$S$2,H500=$S$13,H500=$S$5),"Other",OR(H500=$S$3,H500=$S$4,H500=$S$7,H500=$S$10,H500=$S$11),"Salem",OR(H500=$S$6),"Keizer",OR(H500=$S$8,H500=$S$9,H500=$S$12),"Marion")</f>
        <v>Salem</v>
      </c>
      <c r="L500">
        <v>301</v>
      </c>
      <c r="M500">
        <v>2005</v>
      </c>
      <c r="N500" t="s">
        <v>45</v>
      </c>
      <c r="O500">
        <v>0</v>
      </c>
    </row>
    <row r="501" spans="1:15" x14ac:dyDescent="0.25">
      <c r="A501">
        <v>301</v>
      </c>
      <c r="B501">
        <v>2021</v>
      </c>
      <c r="C501">
        <v>328</v>
      </c>
      <c r="D501">
        <v>148</v>
      </c>
      <c r="E501">
        <v>0</v>
      </c>
      <c r="F501" t="str" cm="1">
        <f t="array" ref="F501">_xlfn.XLOOKUP(A501&amp;B501,$L$2:$L$739&amp;$M$2:$M$739,$N$2:$N$739)</f>
        <v>High</v>
      </c>
      <c r="G501">
        <f t="shared" si="7"/>
        <v>476</v>
      </c>
      <c r="H501" t="str">
        <f>_xlfn.XLOOKUP(A501,VE!$A$2:$A$247,VE!$B$2:$B$247)</f>
        <v>Salem_4</v>
      </c>
      <c r="I501" t="str" cm="1">
        <f t="array" ref="I501">_xlfn.IFS(OR(H501=$S$2,H501=$S$13,H501=$S$5),"Other",OR(H501=$S$3,H501=$S$4,H501=$S$7,H501=$S$10,H501=$S$11),"Salem",OR(H501=$S$6),"Keizer",OR(H501=$S$8,H501=$S$9,H501=$S$12),"Marion")</f>
        <v>Salem</v>
      </c>
      <c r="L501">
        <v>301</v>
      </c>
      <c r="M501">
        <v>2021</v>
      </c>
      <c r="N501" t="s">
        <v>46</v>
      </c>
      <c r="O501">
        <v>1</v>
      </c>
    </row>
    <row r="502" spans="1:15" x14ac:dyDescent="0.25">
      <c r="A502">
        <v>301</v>
      </c>
      <c r="B502">
        <v>2050</v>
      </c>
      <c r="C502">
        <v>328</v>
      </c>
      <c r="D502">
        <v>155</v>
      </c>
      <c r="E502">
        <v>0</v>
      </c>
      <c r="F502" t="str" cm="1">
        <f t="array" ref="F502">_xlfn.XLOOKUP(A502&amp;B502,$L$2:$L$739&amp;$M$2:$M$739,$N$2:$N$739)</f>
        <v>High</v>
      </c>
      <c r="G502">
        <f t="shared" si="7"/>
        <v>483</v>
      </c>
      <c r="H502" t="str">
        <f>_xlfn.XLOOKUP(A502,VE!$A$2:$A$247,VE!$B$2:$B$247)</f>
        <v>Salem_4</v>
      </c>
      <c r="I502" t="str" cm="1">
        <f t="array" ref="I502">_xlfn.IFS(OR(H502=$S$2,H502=$S$13,H502=$S$5),"Other",OR(H502=$S$3,H502=$S$4,H502=$S$7,H502=$S$10,H502=$S$11),"Salem",OR(H502=$S$6),"Keizer",OR(H502=$S$8,H502=$S$9,H502=$S$12),"Marion")</f>
        <v>Salem</v>
      </c>
      <c r="L502">
        <v>301</v>
      </c>
      <c r="M502">
        <v>2050</v>
      </c>
      <c r="N502" t="s">
        <v>46</v>
      </c>
      <c r="O502">
        <v>1</v>
      </c>
    </row>
    <row r="503" spans="1:15" x14ac:dyDescent="0.25">
      <c r="A503">
        <v>302</v>
      </c>
      <c r="B503">
        <v>2005</v>
      </c>
      <c r="C503">
        <v>136</v>
      </c>
      <c r="D503">
        <v>56</v>
      </c>
      <c r="E503">
        <v>0</v>
      </c>
      <c r="F503" t="str" cm="1">
        <f t="array" ref="F503">_xlfn.XLOOKUP(A503&amp;B503,$L$2:$L$739&amp;$M$2:$M$739,$N$2:$N$739)</f>
        <v>Low</v>
      </c>
      <c r="G503">
        <f t="shared" si="7"/>
        <v>0</v>
      </c>
      <c r="H503" t="str">
        <f>_xlfn.XLOOKUP(A503,VE!$A$2:$A$247,VE!$B$2:$B$247)</f>
        <v>Salem_4</v>
      </c>
      <c r="I503" t="str" cm="1">
        <f t="array" ref="I503">_xlfn.IFS(OR(H503=$S$2,H503=$S$13,H503=$S$5),"Other",OR(H503=$S$3,H503=$S$4,H503=$S$7,H503=$S$10,H503=$S$11),"Salem",OR(H503=$S$6),"Keizer",OR(H503=$S$8,H503=$S$9,H503=$S$12),"Marion")</f>
        <v>Salem</v>
      </c>
      <c r="L503">
        <v>302</v>
      </c>
      <c r="M503">
        <v>2005</v>
      </c>
      <c r="N503" t="s">
        <v>45</v>
      </c>
      <c r="O503">
        <v>0</v>
      </c>
    </row>
    <row r="504" spans="1:15" x14ac:dyDescent="0.25">
      <c r="A504">
        <v>302</v>
      </c>
      <c r="B504">
        <v>2021</v>
      </c>
      <c r="C504">
        <v>136</v>
      </c>
      <c r="D504">
        <v>56</v>
      </c>
      <c r="E504">
        <v>0</v>
      </c>
      <c r="F504" t="str" cm="1">
        <f t="array" ref="F504">_xlfn.XLOOKUP(A504&amp;B504,$L$2:$L$739&amp;$M$2:$M$739,$N$2:$N$739)</f>
        <v>High</v>
      </c>
      <c r="G504">
        <f t="shared" si="7"/>
        <v>192</v>
      </c>
      <c r="H504" t="str">
        <f>_xlfn.XLOOKUP(A504,VE!$A$2:$A$247,VE!$B$2:$B$247)</f>
        <v>Salem_4</v>
      </c>
      <c r="I504" t="str" cm="1">
        <f t="array" ref="I504">_xlfn.IFS(OR(H504=$S$2,H504=$S$13,H504=$S$5),"Other",OR(H504=$S$3,H504=$S$4,H504=$S$7,H504=$S$10,H504=$S$11),"Salem",OR(H504=$S$6),"Keizer",OR(H504=$S$8,H504=$S$9,H504=$S$12),"Marion")</f>
        <v>Salem</v>
      </c>
      <c r="L504">
        <v>302</v>
      </c>
      <c r="M504">
        <v>2021</v>
      </c>
      <c r="N504" t="s">
        <v>46</v>
      </c>
      <c r="O504">
        <v>1</v>
      </c>
    </row>
    <row r="505" spans="1:15" x14ac:dyDescent="0.25">
      <c r="A505">
        <v>302</v>
      </c>
      <c r="B505">
        <v>2050</v>
      </c>
      <c r="C505">
        <v>135</v>
      </c>
      <c r="D505">
        <v>70</v>
      </c>
      <c r="E505">
        <v>0</v>
      </c>
      <c r="F505" t="str" cm="1">
        <f t="array" ref="F505">_xlfn.XLOOKUP(A505&amp;B505,$L$2:$L$739&amp;$M$2:$M$739,$N$2:$N$739)</f>
        <v>High</v>
      </c>
      <c r="G505">
        <f t="shared" si="7"/>
        <v>205</v>
      </c>
      <c r="H505" t="str">
        <f>_xlfn.XLOOKUP(A505,VE!$A$2:$A$247,VE!$B$2:$B$247)</f>
        <v>Salem_4</v>
      </c>
      <c r="I505" t="str" cm="1">
        <f t="array" ref="I505">_xlfn.IFS(OR(H505=$S$2,H505=$S$13,H505=$S$5),"Other",OR(H505=$S$3,H505=$S$4,H505=$S$7,H505=$S$10,H505=$S$11),"Salem",OR(H505=$S$6),"Keizer",OR(H505=$S$8,H505=$S$9,H505=$S$12),"Marion")</f>
        <v>Salem</v>
      </c>
      <c r="L505">
        <v>302</v>
      </c>
      <c r="M505">
        <v>2050</v>
      </c>
      <c r="N505" t="s">
        <v>46</v>
      </c>
      <c r="O505">
        <v>1</v>
      </c>
    </row>
    <row r="506" spans="1:15" x14ac:dyDescent="0.25">
      <c r="A506">
        <v>303</v>
      </c>
      <c r="B506">
        <v>2005</v>
      </c>
      <c r="C506">
        <v>216</v>
      </c>
      <c r="D506">
        <v>275</v>
      </c>
      <c r="E506">
        <v>0</v>
      </c>
      <c r="F506" t="str" cm="1">
        <f t="array" ref="F506">_xlfn.XLOOKUP(A506&amp;B506,$L$2:$L$739&amp;$M$2:$M$739,$N$2:$N$739)</f>
        <v>Low</v>
      </c>
      <c r="G506">
        <f t="shared" si="7"/>
        <v>0</v>
      </c>
      <c r="H506" t="str">
        <f>_xlfn.XLOOKUP(A506,VE!$A$2:$A$247,VE!$B$2:$B$247)</f>
        <v>Salem_4</v>
      </c>
      <c r="I506" t="str" cm="1">
        <f t="array" ref="I506">_xlfn.IFS(OR(H506=$S$2,H506=$S$13,H506=$S$5),"Other",OR(H506=$S$3,H506=$S$4,H506=$S$7,H506=$S$10,H506=$S$11),"Salem",OR(H506=$S$6),"Keizer",OR(H506=$S$8,H506=$S$9,H506=$S$12),"Marion")</f>
        <v>Salem</v>
      </c>
      <c r="L506">
        <v>303</v>
      </c>
      <c r="M506">
        <v>2005</v>
      </c>
      <c r="N506" t="s">
        <v>45</v>
      </c>
      <c r="O506">
        <v>0</v>
      </c>
    </row>
    <row r="507" spans="1:15" x14ac:dyDescent="0.25">
      <c r="A507">
        <v>303</v>
      </c>
      <c r="B507">
        <v>2021</v>
      </c>
      <c r="C507">
        <v>216</v>
      </c>
      <c r="D507">
        <v>275</v>
      </c>
      <c r="E507">
        <v>0</v>
      </c>
      <c r="F507" t="str" cm="1">
        <f t="array" ref="F507">_xlfn.XLOOKUP(A507&amp;B507,$L$2:$L$739&amp;$M$2:$M$739,$N$2:$N$739)</f>
        <v>High</v>
      </c>
      <c r="G507">
        <f t="shared" si="7"/>
        <v>491</v>
      </c>
      <c r="H507" t="str">
        <f>_xlfn.XLOOKUP(A507,VE!$A$2:$A$247,VE!$B$2:$B$247)</f>
        <v>Salem_4</v>
      </c>
      <c r="I507" t="str" cm="1">
        <f t="array" ref="I507">_xlfn.IFS(OR(H507=$S$2,H507=$S$13,H507=$S$5),"Other",OR(H507=$S$3,H507=$S$4,H507=$S$7,H507=$S$10,H507=$S$11),"Salem",OR(H507=$S$6),"Keizer",OR(H507=$S$8,H507=$S$9,H507=$S$12),"Marion")</f>
        <v>Salem</v>
      </c>
      <c r="L507">
        <v>303</v>
      </c>
      <c r="M507">
        <v>2021</v>
      </c>
      <c r="N507" t="s">
        <v>46</v>
      </c>
      <c r="O507">
        <v>1</v>
      </c>
    </row>
    <row r="508" spans="1:15" x14ac:dyDescent="0.25">
      <c r="A508">
        <v>303</v>
      </c>
      <c r="B508">
        <v>2050</v>
      </c>
      <c r="C508">
        <v>216</v>
      </c>
      <c r="D508">
        <v>276</v>
      </c>
      <c r="E508">
        <v>0</v>
      </c>
      <c r="F508" t="str" cm="1">
        <f t="array" ref="F508">_xlfn.XLOOKUP(A508&amp;B508,$L$2:$L$739&amp;$M$2:$M$739,$N$2:$N$739)</f>
        <v>High</v>
      </c>
      <c r="G508">
        <f t="shared" si="7"/>
        <v>492</v>
      </c>
      <c r="H508" t="str">
        <f>_xlfn.XLOOKUP(A508,VE!$A$2:$A$247,VE!$B$2:$B$247)</f>
        <v>Salem_4</v>
      </c>
      <c r="I508" t="str" cm="1">
        <f t="array" ref="I508">_xlfn.IFS(OR(H508=$S$2,H508=$S$13,H508=$S$5),"Other",OR(H508=$S$3,H508=$S$4,H508=$S$7,H508=$S$10,H508=$S$11),"Salem",OR(H508=$S$6),"Keizer",OR(H508=$S$8,H508=$S$9,H508=$S$12),"Marion")</f>
        <v>Salem</v>
      </c>
      <c r="L508">
        <v>303</v>
      </c>
      <c r="M508">
        <v>2050</v>
      </c>
      <c r="N508" t="s">
        <v>46</v>
      </c>
      <c r="O508">
        <v>1</v>
      </c>
    </row>
    <row r="509" spans="1:15" x14ac:dyDescent="0.25">
      <c r="A509">
        <v>304</v>
      </c>
      <c r="B509">
        <v>2005</v>
      </c>
      <c r="C509">
        <v>0</v>
      </c>
      <c r="D509">
        <v>33</v>
      </c>
      <c r="E509">
        <v>0</v>
      </c>
      <c r="F509" t="str" cm="1">
        <f t="array" ref="F509">_xlfn.XLOOKUP(A509&amp;B509,$L$2:$L$739&amp;$M$2:$M$739,$N$2:$N$739)</f>
        <v>Low</v>
      </c>
      <c r="G509">
        <f t="shared" si="7"/>
        <v>0</v>
      </c>
      <c r="H509" t="str">
        <f>_xlfn.XLOOKUP(A509,VE!$A$2:$A$247,VE!$B$2:$B$247)</f>
        <v>Salem_4</v>
      </c>
      <c r="I509" t="str" cm="1">
        <f t="array" ref="I509">_xlfn.IFS(OR(H509=$S$2,H509=$S$13,H509=$S$5),"Other",OR(H509=$S$3,H509=$S$4,H509=$S$7,H509=$S$10,H509=$S$11),"Salem",OR(H509=$S$6),"Keizer",OR(H509=$S$8,H509=$S$9,H509=$S$12),"Marion")</f>
        <v>Salem</v>
      </c>
      <c r="L509">
        <v>304</v>
      </c>
      <c r="M509">
        <v>2005</v>
      </c>
      <c r="N509" t="s">
        <v>45</v>
      </c>
      <c r="O509">
        <v>0</v>
      </c>
    </row>
    <row r="510" spans="1:15" x14ac:dyDescent="0.25">
      <c r="A510">
        <v>304</v>
      </c>
      <c r="B510">
        <v>2021</v>
      </c>
      <c r="C510">
        <v>0</v>
      </c>
      <c r="D510">
        <v>33</v>
      </c>
      <c r="E510">
        <v>0</v>
      </c>
      <c r="F510" t="str" cm="1">
        <f t="array" ref="F510">_xlfn.XLOOKUP(A510&amp;B510,$L$2:$L$739&amp;$M$2:$M$739,$N$2:$N$739)</f>
        <v>High</v>
      </c>
      <c r="G510">
        <f t="shared" si="7"/>
        <v>33</v>
      </c>
      <c r="H510" t="str">
        <f>_xlfn.XLOOKUP(A510,VE!$A$2:$A$247,VE!$B$2:$B$247)</f>
        <v>Salem_4</v>
      </c>
      <c r="I510" t="str" cm="1">
        <f t="array" ref="I510">_xlfn.IFS(OR(H510=$S$2,H510=$S$13,H510=$S$5),"Other",OR(H510=$S$3,H510=$S$4,H510=$S$7,H510=$S$10,H510=$S$11),"Salem",OR(H510=$S$6),"Keizer",OR(H510=$S$8,H510=$S$9,H510=$S$12),"Marion")</f>
        <v>Salem</v>
      </c>
      <c r="L510">
        <v>304</v>
      </c>
      <c r="M510">
        <v>2021</v>
      </c>
      <c r="N510" t="s">
        <v>46</v>
      </c>
      <c r="O510">
        <v>1</v>
      </c>
    </row>
    <row r="511" spans="1:15" x14ac:dyDescent="0.25">
      <c r="A511">
        <v>304</v>
      </c>
      <c r="B511">
        <v>2050</v>
      </c>
      <c r="C511">
        <v>0</v>
      </c>
      <c r="D511">
        <v>36</v>
      </c>
      <c r="E511">
        <v>0</v>
      </c>
      <c r="F511" t="str" cm="1">
        <f t="array" ref="F511">_xlfn.XLOOKUP(A511&amp;B511,$L$2:$L$739&amp;$M$2:$M$739,$N$2:$N$739)</f>
        <v>High</v>
      </c>
      <c r="G511">
        <f t="shared" si="7"/>
        <v>36</v>
      </c>
      <c r="H511" t="str">
        <f>_xlfn.XLOOKUP(A511,VE!$A$2:$A$247,VE!$B$2:$B$247)</f>
        <v>Salem_4</v>
      </c>
      <c r="I511" t="str" cm="1">
        <f t="array" ref="I511">_xlfn.IFS(OR(H511=$S$2,H511=$S$13,H511=$S$5),"Other",OR(H511=$S$3,H511=$S$4,H511=$S$7,H511=$S$10,H511=$S$11),"Salem",OR(H511=$S$6),"Keizer",OR(H511=$S$8,H511=$S$9,H511=$S$12),"Marion")</f>
        <v>Salem</v>
      </c>
      <c r="L511">
        <v>304</v>
      </c>
      <c r="M511">
        <v>2050</v>
      </c>
      <c r="N511" t="s">
        <v>46</v>
      </c>
      <c r="O511">
        <v>1</v>
      </c>
    </row>
    <row r="512" spans="1:15" x14ac:dyDescent="0.25">
      <c r="A512">
        <v>309</v>
      </c>
      <c r="B512">
        <v>2005</v>
      </c>
      <c r="C512">
        <v>18</v>
      </c>
      <c r="D512">
        <v>207</v>
      </c>
      <c r="E512">
        <v>0</v>
      </c>
      <c r="F512" t="str" cm="1">
        <f t="array" ref="F512">_xlfn.XLOOKUP(A512&amp;B512,$L$2:$L$739&amp;$M$2:$M$739,$N$2:$N$739)</f>
        <v>Low</v>
      </c>
      <c r="G512">
        <f t="shared" si="7"/>
        <v>0</v>
      </c>
      <c r="H512" t="str">
        <f>_xlfn.XLOOKUP(A512,VE!$A$2:$A$247,VE!$B$2:$B$247)</f>
        <v>Salem_5</v>
      </c>
      <c r="I512" t="str" cm="1">
        <f t="array" ref="I512">_xlfn.IFS(OR(H512=$S$2,H512=$S$13,H512=$S$5),"Other",OR(H512=$S$3,H512=$S$4,H512=$S$7,H512=$S$10,H512=$S$11),"Salem",OR(H512=$S$6),"Keizer",OR(H512=$S$8,H512=$S$9,H512=$S$12),"Marion")</f>
        <v>Salem</v>
      </c>
      <c r="L512">
        <v>309</v>
      </c>
      <c r="M512">
        <v>2005</v>
      </c>
      <c r="N512" t="s">
        <v>45</v>
      </c>
      <c r="O512">
        <v>0</v>
      </c>
    </row>
    <row r="513" spans="1:15" x14ac:dyDescent="0.25">
      <c r="A513">
        <v>309</v>
      </c>
      <c r="B513">
        <v>2021</v>
      </c>
      <c r="C513">
        <v>21</v>
      </c>
      <c r="D513">
        <v>214</v>
      </c>
      <c r="E513">
        <v>0</v>
      </c>
      <c r="F513" t="str" cm="1">
        <f t="array" ref="F513">_xlfn.XLOOKUP(A513&amp;B513,$L$2:$L$739&amp;$M$2:$M$739,$N$2:$N$739)</f>
        <v>High</v>
      </c>
      <c r="G513">
        <f t="shared" si="7"/>
        <v>235</v>
      </c>
      <c r="H513" t="str">
        <f>_xlfn.XLOOKUP(A513,VE!$A$2:$A$247,VE!$B$2:$B$247)</f>
        <v>Salem_5</v>
      </c>
      <c r="I513" t="str" cm="1">
        <f t="array" ref="I513">_xlfn.IFS(OR(H513=$S$2,H513=$S$13,H513=$S$5),"Other",OR(H513=$S$3,H513=$S$4,H513=$S$7,H513=$S$10,H513=$S$11),"Salem",OR(H513=$S$6),"Keizer",OR(H513=$S$8,H513=$S$9,H513=$S$12),"Marion")</f>
        <v>Salem</v>
      </c>
      <c r="L513">
        <v>309</v>
      </c>
      <c r="M513">
        <v>2021</v>
      </c>
      <c r="N513" t="s">
        <v>46</v>
      </c>
      <c r="O513">
        <v>1</v>
      </c>
    </row>
    <row r="514" spans="1:15" x14ac:dyDescent="0.25">
      <c r="A514">
        <v>309</v>
      </c>
      <c r="B514">
        <v>2050</v>
      </c>
      <c r="C514">
        <v>22</v>
      </c>
      <c r="D514">
        <v>256</v>
      </c>
      <c r="E514">
        <v>0</v>
      </c>
      <c r="F514" t="str" cm="1">
        <f t="array" ref="F514">_xlfn.XLOOKUP(A514&amp;B514,$L$2:$L$739&amp;$M$2:$M$739,$N$2:$N$739)</f>
        <v>High</v>
      </c>
      <c r="G514">
        <f t="shared" si="7"/>
        <v>278</v>
      </c>
      <c r="H514" t="str">
        <f>_xlfn.XLOOKUP(A514,VE!$A$2:$A$247,VE!$B$2:$B$247)</f>
        <v>Salem_5</v>
      </c>
      <c r="I514" t="str" cm="1">
        <f t="array" ref="I514">_xlfn.IFS(OR(H514=$S$2,H514=$S$13,H514=$S$5),"Other",OR(H514=$S$3,H514=$S$4,H514=$S$7,H514=$S$10,H514=$S$11),"Salem",OR(H514=$S$6),"Keizer",OR(H514=$S$8,H514=$S$9,H514=$S$12),"Marion")</f>
        <v>Salem</v>
      </c>
      <c r="L514">
        <v>309</v>
      </c>
      <c r="M514">
        <v>2050</v>
      </c>
      <c r="N514" t="s">
        <v>46</v>
      </c>
      <c r="O514">
        <v>1</v>
      </c>
    </row>
    <row r="515" spans="1:15" x14ac:dyDescent="0.25">
      <c r="A515">
        <v>310</v>
      </c>
      <c r="B515">
        <v>2005</v>
      </c>
      <c r="C515">
        <v>471</v>
      </c>
      <c r="D515">
        <v>371</v>
      </c>
      <c r="E515">
        <v>0</v>
      </c>
      <c r="F515" t="str" cm="1">
        <f t="array" ref="F515">_xlfn.XLOOKUP(A515&amp;B515,$L$2:$L$739&amp;$M$2:$M$739,$N$2:$N$739)</f>
        <v>Low</v>
      </c>
      <c r="G515">
        <f t="shared" ref="G515:G578" si="8">IF(F515="High",SUM(C515:D515),0)</f>
        <v>0</v>
      </c>
      <c r="H515" t="str">
        <f>_xlfn.XLOOKUP(A515,VE!$A$2:$A$247,VE!$B$2:$B$247)</f>
        <v>Salem_5</v>
      </c>
      <c r="I515" t="str" cm="1">
        <f t="array" ref="I515">_xlfn.IFS(OR(H515=$S$2,H515=$S$13,H515=$S$5),"Other",OR(H515=$S$3,H515=$S$4,H515=$S$7,H515=$S$10,H515=$S$11),"Salem",OR(H515=$S$6),"Keizer",OR(H515=$S$8,H515=$S$9,H515=$S$12),"Marion")</f>
        <v>Salem</v>
      </c>
      <c r="L515">
        <v>310</v>
      </c>
      <c r="M515">
        <v>2005</v>
      </c>
      <c r="N515" t="s">
        <v>45</v>
      </c>
      <c r="O515">
        <v>0</v>
      </c>
    </row>
    <row r="516" spans="1:15" x14ac:dyDescent="0.25">
      <c r="A516">
        <v>310</v>
      </c>
      <c r="B516">
        <v>2021</v>
      </c>
      <c r="C516">
        <v>471</v>
      </c>
      <c r="D516">
        <v>371</v>
      </c>
      <c r="E516">
        <v>0</v>
      </c>
      <c r="F516" t="str" cm="1">
        <f t="array" ref="F516">_xlfn.XLOOKUP(A516&amp;B516,$L$2:$L$739&amp;$M$2:$M$739,$N$2:$N$739)</f>
        <v>High</v>
      </c>
      <c r="G516">
        <f t="shared" si="8"/>
        <v>842</v>
      </c>
      <c r="H516" t="str">
        <f>_xlfn.XLOOKUP(A516,VE!$A$2:$A$247,VE!$B$2:$B$247)</f>
        <v>Salem_5</v>
      </c>
      <c r="I516" t="str" cm="1">
        <f t="array" ref="I516">_xlfn.IFS(OR(H516=$S$2,H516=$S$13,H516=$S$5),"Other",OR(H516=$S$3,H516=$S$4,H516=$S$7,H516=$S$10,H516=$S$11),"Salem",OR(H516=$S$6),"Keizer",OR(H516=$S$8,H516=$S$9,H516=$S$12),"Marion")</f>
        <v>Salem</v>
      </c>
      <c r="L516">
        <v>310</v>
      </c>
      <c r="M516">
        <v>2021</v>
      </c>
      <c r="N516" t="s">
        <v>46</v>
      </c>
      <c r="O516">
        <v>1</v>
      </c>
    </row>
    <row r="517" spans="1:15" x14ac:dyDescent="0.25">
      <c r="A517">
        <v>310</v>
      </c>
      <c r="B517">
        <v>2050</v>
      </c>
      <c r="C517">
        <v>465</v>
      </c>
      <c r="D517">
        <v>410</v>
      </c>
      <c r="E517">
        <v>0</v>
      </c>
      <c r="F517" t="str" cm="1">
        <f t="array" ref="F517">_xlfn.XLOOKUP(A517&amp;B517,$L$2:$L$739&amp;$M$2:$M$739,$N$2:$N$739)</f>
        <v>High</v>
      </c>
      <c r="G517">
        <f t="shared" si="8"/>
        <v>875</v>
      </c>
      <c r="H517" t="str">
        <f>_xlfn.XLOOKUP(A517,VE!$A$2:$A$247,VE!$B$2:$B$247)</f>
        <v>Salem_5</v>
      </c>
      <c r="I517" t="str" cm="1">
        <f t="array" ref="I517">_xlfn.IFS(OR(H517=$S$2,H517=$S$13,H517=$S$5),"Other",OR(H517=$S$3,H517=$S$4,H517=$S$7,H517=$S$10,H517=$S$11),"Salem",OR(H517=$S$6),"Keizer",OR(H517=$S$8,H517=$S$9,H517=$S$12),"Marion")</f>
        <v>Salem</v>
      </c>
      <c r="L517">
        <v>310</v>
      </c>
      <c r="M517">
        <v>2050</v>
      </c>
      <c r="N517" t="s">
        <v>46</v>
      </c>
      <c r="O517">
        <v>1</v>
      </c>
    </row>
    <row r="518" spans="1:15" x14ac:dyDescent="0.25">
      <c r="A518">
        <v>312</v>
      </c>
      <c r="B518">
        <v>2005</v>
      </c>
      <c r="C518">
        <v>21</v>
      </c>
      <c r="D518">
        <v>44</v>
      </c>
      <c r="E518">
        <v>0</v>
      </c>
      <c r="F518" t="str" cm="1">
        <f t="array" ref="F518">_xlfn.XLOOKUP(A518&amp;B518,$L$2:$L$739&amp;$M$2:$M$739,$N$2:$N$739)</f>
        <v>Low</v>
      </c>
      <c r="G518">
        <f t="shared" si="8"/>
        <v>0</v>
      </c>
      <c r="H518" t="str">
        <f>_xlfn.XLOOKUP(A518,VE!$A$2:$A$247,VE!$B$2:$B$247)</f>
        <v>Salem_5</v>
      </c>
      <c r="I518" t="str" cm="1">
        <f t="array" ref="I518">_xlfn.IFS(OR(H518=$S$2,H518=$S$13,H518=$S$5),"Other",OR(H518=$S$3,H518=$S$4,H518=$S$7,H518=$S$10,H518=$S$11),"Salem",OR(H518=$S$6),"Keizer",OR(H518=$S$8,H518=$S$9,H518=$S$12),"Marion")</f>
        <v>Salem</v>
      </c>
      <c r="L518">
        <v>312</v>
      </c>
      <c r="M518">
        <v>2005</v>
      </c>
      <c r="N518" t="s">
        <v>45</v>
      </c>
      <c r="O518">
        <v>0</v>
      </c>
    </row>
    <row r="519" spans="1:15" x14ac:dyDescent="0.25">
      <c r="A519">
        <v>312</v>
      </c>
      <c r="B519">
        <v>2021</v>
      </c>
      <c r="C519">
        <v>21</v>
      </c>
      <c r="D519">
        <v>44</v>
      </c>
      <c r="E519">
        <v>0</v>
      </c>
      <c r="F519" t="str" cm="1">
        <f t="array" ref="F519">_xlfn.XLOOKUP(A519&amp;B519,$L$2:$L$739&amp;$M$2:$M$739,$N$2:$N$739)</f>
        <v>High</v>
      </c>
      <c r="G519">
        <f t="shared" si="8"/>
        <v>65</v>
      </c>
      <c r="H519" t="str">
        <f>_xlfn.XLOOKUP(A519,VE!$A$2:$A$247,VE!$B$2:$B$247)</f>
        <v>Salem_5</v>
      </c>
      <c r="I519" t="str" cm="1">
        <f t="array" ref="I519">_xlfn.IFS(OR(H519=$S$2,H519=$S$13,H519=$S$5),"Other",OR(H519=$S$3,H519=$S$4,H519=$S$7,H519=$S$10,H519=$S$11),"Salem",OR(H519=$S$6),"Keizer",OR(H519=$S$8,H519=$S$9,H519=$S$12),"Marion")</f>
        <v>Salem</v>
      </c>
      <c r="L519">
        <v>312</v>
      </c>
      <c r="M519">
        <v>2021</v>
      </c>
      <c r="N519" t="s">
        <v>46</v>
      </c>
      <c r="O519">
        <v>1</v>
      </c>
    </row>
    <row r="520" spans="1:15" x14ac:dyDescent="0.25">
      <c r="A520">
        <v>312</v>
      </c>
      <c r="B520">
        <v>2050</v>
      </c>
      <c r="C520">
        <v>21</v>
      </c>
      <c r="D520">
        <v>45</v>
      </c>
      <c r="E520">
        <v>0</v>
      </c>
      <c r="F520" t="str" cm="1">
        <f t="array" ref="F520">_xlfn.XLOOKUP(A520&amp;B520,$L$2:$L$739&amp;$M$2:$M$739,$N$2:$N$739)</f>
        <v>High</v>
      </c>
      <c r="G520">
        <f t="shared" si="8"/>
        <v>66</v>
      </c>
      <c r="H520" t="str">
        <f>_xlfn.XLOOKUP(A520,VE!$A$2:$A$247,VE!$B$2:$B$247)</f>
        <v>Salem_5</v>
      </c>
      <c r="I520" t="str" cm="1">
        <f t="array" ref="I520">_xlfn.IFS(OR(H520=$S$2,H520=$S$13,H520=$S$5),"Other",OR(H520=$S$3,H520=$S$4,H520=$S$7,H520=$S$10,H520=$S$11),"Salem",OR(H520=$S$6),"Keizer",OR(H520=$S$8,H520=$S$9,H520=$S$12),"Marion")</f>
        <v>Salem</v>
      </c>
      <c r="L520">
        <v>312</v>
      </c>
      <c r="M520">
        <v>2050</v>
      </c>
      <c r="N520" t="s">
        <v>46</v>
      </c>
      <c r="O520">
        <v>1</v>
      </c>
    </row>
    <row r="521" spans="1:15" x14ac:dyDescent="0.25">
      <c r="A521">
        <v>313</v>
      </c>
      <c r="B521">
        <v>2005</v>
      </c>
      <c r="C521">
        <v>227</v>
      </c>
      <c r="D521">
        <v>140</v>
      </c>
      <c r="E521">
        <v>0</v>
      </c>
      <c r="F521" t="str" cm="1">
        <f t="array" ref="F521">_xlfn.XLOOKUP(A521&amp;B521,$L$2:$L$739&amp;$M$2:$M$739,$N$2:$N$739)</f>
        <v>Low</v>
      </c>
      <c r="G521">
        <f t="shared" si="8"/>
        <v>0</v>
      </c>
      <c r="H521" t="str">
        <f>_xlfn.XLOOKUP(A521,VE!$A$2:$A$247,VE!$B$2:$B$247)</f>
        <v>Salem_5</v>
      </c>
      <c r="I521" t="str" cm="1">
        <f t="array" ref="I521">_xlfn.IFS(OR(H521=$S$2,H521=$S$13,H521=$S$5),"Other",OR(H521=$S$3,H521=$S$4,H521=$S$7,H521=$S$10,H521=$S$11),"Salem",OR(H521=$S$6),"Keizer",OR(H521=$S$8,H521=$S$9,H521=$S$12),"Marion")</f>
        <v>Salem</v>
      </c>
      <c r="L521">
        <v>313</v>
      </c>
      <c r="M521">
        <v>2005</v>
      </c>
      <c r="N521" t="s">
        <v>45</v>
      </c>
      <c r="O521">
        <v>0</v>
      </c>
    </row>
    <row r="522" spans="1:15" x14ac:dyDescent="0.25">
      <c r="A522">
        <v>313</v>
      </c>
      <c r="B522">
        <v>2021</v>
      </c>
      <c r="C522">
        <v>228</v>
      </c>
      <c r="D522">
        <v>176</v>
      </c>
      <c r="E522">
        <v>0</v>
      </c>
      <c r="F522" t="str" cm="1">
        <f t="array" ref="F522">_xlfn.XLOOKUP(A522&amp;B522,$L$2:$L$739&amp;$M$2:$M$739,$N$2:$N$739)</f>
        <v>High</v>
      </c>
      <c r="G522">
        <f t="shared" si="8"/>
        <v>404</v>
      </c>
      <c r="H522" t="str">
        <f>_xlfn.XLOOKUP(A522,VE!$A$2:$A$247,VE!$B$2:$B$247)</f>
        <v>Salem_5</v>
      </c>
      <c r="I522" t="str" cm="1">
        <f t="array" ref="I522">_xlfn.IFS(OR(H522=$S$2,H522=$S$13,H522=$S$5),"Other",OR(H522=$S$3,H522=$S$4,H522=$S$7,H522=$S$10,H522=$S$11),"Salem",OR(H522=$S$6),"Keizer",OR(H522=$S$8,H522=$S$9,H522=$S$12),"Marion")</f>
        <v>Salem</v>
      </c>
      <c r="L522">
        <v>313</v>
      </c>
      <c r="M522">
        <v>2021</v>
      </c>
      <c r="N522" t="s">
        <v>46</v>
      </c>
      <c r="O522">
        <v>1</v>
      </c>
    </row>
    <row r="523" spans="1:15" x14ac:dyDescent="0.25">
      <c r="A523">
        <v>313</v>
      </c>
      <c r="B523">
        <v>2050</v>
      </c>
      <c r="C523">
        <v>218</v>
      </c>
      <c r="D523">
        <v>175</v>
      </c>
      <c r="E523">
        <v>0</v>
      </c>
      <c r="F523" t="str" cm="1">
        <f t="array" ref="F523">_xlfn.XLOOKUP(A523&amp;B523,$L$2:$L$739&amp;$M$2:$M$739,$N$2:$N$739)</f>
        <v>High</v>
      </c>
      <c r="G523">
        <f t="shared" si="8"/>
        <v>393</v>
      </c>
      <c r="H523" t="str">
        <f>_xlfn.XLOOKUP(A523,VE!$A$2:$A$247,VE!$B$2:$B$247)</f>
        <v>Salem_5</v>
      </c>
      <c r="I523" t="str" cm="1">
        <f t="array" ref="I523">_xlfn.IFS(OR(H523=$S$2,H523=$S$13,H523=$S$5),"Other",OR(H523=$S$3,H523=$S$4,H523=$S$7,H523=$S$10,H523=$S$11),"Salem",OR(H523=$S$6),"Keizer",OR(H523=$S$8,H523=$S$9,H523=$S$12),"Marion")</f>
        <v>Salem</v>
      </c>
      <c r="L523">
        <v>313</v>
      </c>
      <c r="M523">
        <v>2050</v>
      </c>
      <c r="N523" t="s">
        <v>46</v>
      </c>
      <c r="O523">
        <v>1</v>
      </c>
    </row>
    <row r="524" spans="1:15" x14ac:dyDescent="0.25">
      <c r="A524">
        <v>314</v>
      </c>
      <c r="B524">
        <v>2005</v>
      </c>
      <c r="C524">
        <v>428</v>
      </c>
      <c r="D524">
        <v>246</v>
      </c>
      <c r="E524">
        <v>0</v>
      </c>
      <c r="F524" t="str" cm="1">
        <f t="array" ref="F524">_xlfn.XLOOKUP(A524&amp;B524,$L$2:$L$739&amp;$M$2:$M$739,$N$2:$N$739)</f>
        <v>Low</v>
      </c>
      <c r="G524">
        <f t="shared" si="8"/>
        <v>0</v>
      </c>
      <c r="H524" t="str">
        <f>_xlfn.XLOOKUP(A524,VE!$A$2:$A$247,VE!$B$2:$B$247)</f>
        <v>Salem_5</v>
      </c>
      <c r="I524" t="str" cm="1">
        <f t="array" ref="I524">_xlfn.IFS(OR(H524=$S$2,H524=$S$13,H524=$S$5),"Other",OR(H524=$S$3,H524=$S$4,H524=$S$7,H524=$S$10,H524=$S$11),"Salem",OR(H524=$S$6),"Keizer",OR(H524=$S$8,H524=$S$9,H524=$S$12),"Marion")</f>
        <v>Salem</v>
      </c>
      <c r="L524">
        <v>314</v>
      </c>
      <c r="M524">
        <v>2005</v>
      </c>
      <c r="N524" t="s">
        <v>45</v>
      </c>
      <c r="O524">
        <v>0</v>
      </c>
    </row>
    <row r="525" spans="1:15" x14ac:dyDescent="0.25">
      <c r="A525">
        <v>314</v>
      </c>
      <c r="B525">
        <v>2021</v>
      </c>
      <c r="C525">
        <v>442</v>
      </c>
      <c r="D525">
        <v>271</v>
      </c>
      <c r="E525">
        <v>0</v>
      </c>
      <c r="F525" t="str" cm="1">
        <f t="array" ref="F525">_xlfn.XLOOKUP(A525&amp;B525,$L$2:$L$739&amp;$M$2:$M$739,$N$2:$N$739)</f>
        <v>Low</v>
      </c>
      <c r="G525">
        <f t="shared" si="8"/>
        <v>0</v>
      </c>
      <c r="H525" t="str">
        <f>_xlfn.XLOOKUP(A525,VE!$A$2:$A$247,VE!$B$2:$B$247)</f>
        <v>Salem_5</v>
      </c>
      <c r="I525" t="str" cm="1">
        <f t="array" ref="I525">_xlfn.IFS(OR(H525=$S$2,H525=$S$13,H525=$S$5),"Other",OR(H525=$S$3,H525=$S$4,H525=$S$7,H525=$S$10,H525=$S$11),"Salem",OR(H525=$S$6),"Keizer",OR(H525=$S$8,H525=$S$9,H525=$S$12),"Marion")</f>
        <v>Salem</v>
      </c>
      <c r="L525">
        <v>314</v>
      </c>
      <c r="M525">
        <v>2021</v>
      </c>
      <c r="N525" t="s">
        <v>45</v>
      </c>
      <c r="O525">
        <v>0</v>
      </c>
    </row>
    <row r="526" spans="1:15" x14ac:dyDescent="0.25">
      <c r="A526">
        <v>314</v>
      </c>
      <c r="B526">
        <v>2050</v>
      </c>
      <c r="C526">
        <v>441</v>
      </c>
      <c r="D526">
        <v>271</v>
      </c>
      <c r="E526">
        <v>0</v>
      </c>
      <c r="F526" t="str" cm="1">
        <f t="array" ref="F526">_xlfn.XLOOKUP(A526&amp;B526,$L$2:$L$739&amp;$M$2:$M$739,$N$2:$N$739)</f>
        <v>Low</v>
      </c>
      <c r="G526">
        <f t="shared" si="8"/>
        <v>0</v>
      </c>
      <c r="H526" t="str">
        <f>_xlfn.XLOOKUP(A526,VE!$A$2:$A$247,VE!$B$2:$B$247)</f>
        <v>Salem_5</v>
      </c>
      <c r="I526" t="str" cm="1">
        <f t="array" ref="I526">_xlfn.IFS(OR(H526=$S$2,H526=$S$13,H526=$S$5),"Other",OR(H526=$S$3,H526=$S$4,H526=$S$7,H526=$S$10,H526=$S$11),"Salem",OR(H526=$S$6),"Keizer",OR(H526=$S$8,H526=$S$9,H526=$S$12),"Marion")</f>
        <v>Salem</v>
      </c>
      <c r="L526">
        <v>314</v>
      </c>
      <c r="M526">
        <v>2050</v>
      </c>
      <c r="N526" t="s">
        <v>45</v>
      </c>
      <c r="O526">
        <v>0</v>
      </c>
    </row>
    <row r="527" spans="1:15" x14ac:dyDescent="0.25">
      <c r="A527">
        <v>322</v>
      </c>
      <c r="B527">
        <v>2005</v>
      </c>
      <c r="C527">
        <v>326</v>
      </c>
      <c r="D527">
        <v>148</v>
      </c>
      <c r="E527">
        <v>0</v>
      </c>
      <c r="F527" t="str" cm="1">
        <f t="array" ref="F527">_xlfn.XLOOKUP(A527&amp;B527,$L$2:$L$739&amp;$M$2:$M$739,$N$2:$N$739)</f>
        <v>Low</v>
      </c>
      <c r="G527">
        <f t="shared" si="8"/>
        <v>0</v>
      </c>
      <c r="H527" t="str">
        <f>_xlfn.XLOOKUP(A527,VE!$A$2:$A$247,VE!$B$2:$B$247)</f>
        <v>Salem_5</v>
      </c>
      <c r="I527" t="str" cm="1">
        <f t="array" ref="I527">_xlfn.IFS(OR(H527=$S$2,H527=$S$13,H527=$S$5),"Other",OR(H527=$S$3,H527=$S$4,H527=$S$7,H527=$S$10,H527=$S$11),"Salem",OR(H527=$S$6),"Keizer",OR(H527=$S$8,H527=$S$9,H527=$S$12),"Marion")</f>
        <v>Salem</v>
      </c>
      <c r="L527">
        <v>322</v>
      </c>
      <c r="M527">
        <v>2005</v>
      </c>
      <c r="N527" t="s">
        <v>45</v>
      </c>
      <c r="O527">
        <v>0</v>
      </c>
    </row>
    <row r="528" spans="1:15" x14ac:dyDescent="0.25">
      <c r="A528">
        <v>322</v>
      </c>
      <c r="B528">
        <v>2021</v>
      </c>
      <c r="C528">
        <v>470</v>
      </c>
      <c r="D528">
        <v>132</v>
      </c>
      <c r="E528">
        <v>0</v>
      </c>
      <c r="F528" t="str" cm="1">
        <f t="array" ref="F528">_xlfn.XLOOKUP(A528&amp;B528,$L$2:$L$739&amp;$M$2:$M$739,$N$2:$N$739)</f>
        <v>Low</v>
      </c>
      <c r="G528">
        <f t="shared" si="8"/>
        <v>0</v>
      </c>
      <c r="H528" t="str">
        <f>_xlfn.XLOOKUP(A528,VE!$A$2:$A$247,VE!$B$2:$B$247)</f>
        <v>Salem_5</v>
      </c>
      <c r="I528" t="str" cm="1">
        <f t="array" ref="I528">_xlfn.IFS(OR(H528=$S$2,H528=$S$13,H528=$S$5),"Other",OR(H528=$S$3,H528=$S$4,H528=$S$7,H528=$S$10,H528=$S$11),"Salem",OR(H528=$S$6),"Keizer",OR(H528=$S$8,H528=$S$9,H528=$S$12),"Marion")</f>
        <v>Salem</v>
      </c>
      <c r="L528">
        <v>322</v>
      </c>
      <c r="M528">
        <v>2021</v>
      </c>
      <c r="N528" t="s">
        <v>45</v>
      </c>
      <c r="O528">
        <v>0</v>
      </c>
    </row>
    <row r="529" spans="1:15" x14ac:dyDescent="0.25">
      <c r="A529">
        <v>322</v>
      </c>
      <c r="B529">
        <v>2050</v>
      </c>
      <c r="C529">
        <v>476</v>
      </c>
      <c r="D529">
        <v>127</v>
      </c>
      <c r="E529">
        <v>0</v>
      </c>
      <c r="F529" t="str" cm="1">
        <f t="array" ref="F529">_xlfn.XLOOKUP(A529&amp;B529,$L$2:$L$739&amp;$M$2:$M$739,$N$2:$N$739)</f>
        <v>Low</v>
      </c>
      <c r="G529">
        <f t="shared" si="8"/>
        <v>0</v>
      </c>
      <c r="H529" t="str">
        <f>_xlfn.XLOOKUP(A529,VE!$A$2:$A$247,VE!$B$2:$B$247)</f>
        <v>Salem_5</v>
      </c>
      <c r="I529" t="str" cm="1">
        <f t="array" ref="I529">_xlfn.IFS(OR(H529=$S$2,H529=$S$13,H529=$S$5),"Other",OR(H529=$S$3,H529=$S$4,H529=$S$7,H529=$S$10,H529=$S$11),"Salem",OR(H529=$S$6),"Keizer",OR(H529=$S$8,H529=$S$9,H529=$S$12),"Marion")</f>
        <v>Salem</v>
      </c>
      <c r="L529">
        <v>322</v>
      </c>
      <c r="M529">
        <v>2050</v>
      </c>
      <c r="N529" t="s">
        <v>45</v>
      </c>
      <c r="O529">
        <v>0</v>
      </c>
    </row>
    <row r="530" spans="1:15" x14ac:dyDescent="0.25">
      <c r="A530">
        <v>323</v>
      </c>
      <c r="B530">
        <v>2005</v>
      </c>
      <c r="C530">
        <v>2</v>
      </c>
      <c r="D530">
        <v>0</v>
      </c>
      <c r="E530">
        <v>0</v>
      </c>
      <c r="F530" t="str" cm="1">
        <f t="array" ref="F530">_xlfn.XLOOKUP(A530&amp;B530,$L$2:$L$739&amp;$M$2:$M$739,$N$2:$N$739)</f>
        <v>Low</v>
      </c>
      <c r="G530">
        <f t="shared" si="8"/>
        <v>0</v>
      </c>
      <c r="H530" t="str">
        <f>_xlfn.XLOOKUP(A530,VE!$A$2:$A$247,VE!$B$2:$B$247)</f>
        <v>Salem_5</v>
      </c>
      <c r="I530" t="str" cm="1">
        <f t="array" ref="I530">_xlfn.IFS(OR(H530=$S$2,H530=$S$13,H530=$S$5),"Other",OR(H530=$S$3,H530=$S$4,H530=$S$7,H530=$S$10,H530=$S$11),"Salem",OR(H530=$S$6),"Keizer",OR(H530=$S$8,H530=$S$9,H530=$S$12),"Marion")</f>
        <v>Salem</v>
      </c>
      <c r="L530">
        <v>323</v>
      </c>
      <c r="M530">
        <v>2005</v>
      </c>
      <c r="N530" t="s">
        <v>45</v>
      </c>
      <c r="O530">
        <v>0</v>
      </c>
    </row>
    <row r="531" spans="1:15" x14ac:dyDescent="0.25">
      <c r="A531">
        <v>323</v>
      </c>
      <c r="B531">
        <v>2021</v>
      </c>
      <c r="C531">
        <v>2</v>
      </c>
      <c r="D531">
        <v>0</v>
      </c>
      <c r="E531">
        <v>0</v>
      </c>
      <c r="F531" t="str" cm="1">
        <f t="array" ref="F531">_xlfn.XLOOKUP(A531&amp;B531,$L$2:$L$739&amp;$M$2:$M$739,$N$2:$N$739)</f>
        <v>High</v>
      </c>
      <c r="G531">
        <f t="shared" si="8"/>
        <v>2</v>
      </c>
      <c r="H531" t="str">
        <f>_xlfn.XLOOKUP(A531,VE!$A$2:$A$247,VE!$B$2:$B$247)</f>
        <v>Salem_5</v>
      </c>
      <c r="I531" t="str" cm="1">
        <f t="array" ref="I531">_xlfn.IFS(OR(H531=$S$2,H531=$S$13,H531=$S$5),"Other",OR(H531=$S$3,H531=$S$4,H531=$S$7,H531=$S$10,H531=$S$11),"Salem",OR(H531=$S$6),"Keizer",OR(H531=$S$8,H531=$S$9,H531=$S$12),"Marion")</f>
        <v>Salem</v>
      </c>
      <c r="L531">
        <v>323</v>
      </c>
      <c r="M531">
        <v>2021</v>
      </c>
      <c r="N531" t="s">
        <v>46</v>
      </c>
      <c r="O531">
        <v>1</v>
      </c>
    </row>
    <row r="532" spans="1:15" x14ac:dyDescent="0.25">
      <c r="A532">
        <v>323</v>
      </c>
      <c r="B532">
        <v>2050</v>
      </c>
      <c r="C532">
        <v>1</v>
      </c>
      <c r="D532">
        <v>3</v>
      </c>
      <c r="E532">
        <v>0</v>
      </c>
      <c r="F532" t="str" cm="1">
        <f t="array" ref="F532">_xlfn.XLOOKUP(A532&amp;B532,$L$2:$L$739&amp;$M$2:$M$739,$N$2:$N$739)</f>
        <v>High</v>
      </c>
      <c r="G532">
        <f t="shared" si="8"/>
        <v>4</v>
      </c>
      <c r="H532" t="str">
        <f>_xlfn.XLOOKUP(A532,VE!$A$2:$A$247,VE!$B$2:$B$247)</f>
        <v>Salem_5</v>
      </c>
      <c r="I532" t="str" cm="1">
        <f t="array" ref="I532">_xlfn.IFS(OR(H532=$S$2,H532=$S$13,H532=$S$5),"Other",OR(H532=$S$3,H532=$S$4,H532=$S$7,H532=$S$10,H532=$S$11),"Salem",OR(H532=$S$6),"Keizer",OR(H532=$S$8,H532=$S$9,H532=$S$12),"Marion")</f>
        <v>Salem</v>
      </c>
      <c r="L532">
        <v>323</v>
      </c>
      <c r="M532">
        <v>2050</v>
      </c>
      <c r="N532" t="s">
        <v>46</v>
      </c>
      <c r="O532">
        <v>1</v>
      </c>
    </row>
    <row r="533" spans="1:15" x14ac:dyDescent="0.25">
      <c r="A533">
        <v>324</v>
      </c>
      <c r="B533">
        <v>2005</v>
      </c>
      <c r="C533">
        <v>674</v>
      </c>
      <c r="D533">
        <v>280</v>
      </c>
      <c r="E533">
        <v>0</v>
      </c>
      <c r="F533" t="str" cm="1">
        <f t="array" ref="F533">_xlfn.XLOOKUP(A533&amp;B533,$L$2:$L$739&amp;$M$2:$M$739,$N$2:$N$739)</f>
        <v>Low</v>
      </c>
      <c r="G533">
        <f t="shared" si="8"/>
        <v>0</v>
      </c>
      <c r="H533" t="str">
        <f>_xlfn.XLOOKUP(A533,VE!$A$2:$A$247,VE!$B$2:$B$247)</f>
        <v>Salem_5</v>
      </c>
      <c r="I533" t="str" cm="1">
        <f t="array" ref="I533">_xlfn.IFS(OR(H533=$S$2,H533=$S$13,H533=$S$5),"Other",OR(H533=$S$3,H533=$S$4,H533=$S$7,H533=$S$10,H533=$S$11),"Salem",OR(H533=$S$6),"Keizer",OR(H533=$S$8,H533=$S$9,H533=$S$12),"Marion")</f>
        <v>Salem</v>
      </c>
      <c r="L533">
        <v>324</v>
      </c>
      <c r="M533">
        <v>2005</v>
      </c>
      <c r="N533" t="s">
        <v>45</v>
      </c>
      <c r="O533">
        <v>0</v>
      </c>
    </row>
    <row r="534" spans="1:15" x14ac:dyDescent="0.25">
      <c r="A534">
        <v>324</v>
      </c>
      <c r="B534">
        <v>2021</v>
      </c>
      <c r="C534">
        <v>674</v>
      </c>
      <c r="D534">
        <v>280</v>
      </c>
      <c r="E534">
        <v>0</v>
      </c>
      <c r="F534" t="str" cm="1">
        <f t="array" ref="F534">_xlfn.XLOOKUP(A534&amp;B534,$L$2:$L$739&amp;$M$2:$M$739,$N$2:$N$739)</f>
        <v>Low</v>
      </c>
      <c r="G534">
        <f t="shared" si="8"/>
        <v>0</v>
      </c>
      <c r="H534" t="str">
        <f>_xlfn.XLOOKUP(A534,VE!$A$2:$A$247,VE!$B$2:$B$247)</f>
        <v>Salem_5</v>
      </c>
      <c r="I534" t="str" cm="1">
        <f t="array" ref="I534">_xlfn.IFS(OR(H534=$S$2,H534=$S$13,H534=$S$5),"Other",OR(H534=$S$3,H534=$S$4,H534=$S$7,H534=$S$10,H534=$S$11),"Salem",OR(H534=$S$6),"Keizer",OR(H534=$S$8,H534=$S$9,H534=$S$12),"Marion")</f>
        <v>Salem</v>
      </c>
      <c r="L534">
        <v>324</v>
      </c>
      <c r="M534">
        <v>2021</v>
      </c>
      <c r="N534" t="s">
        <v>45</v>
      </c>
      <c r="O534">
        <v>0</v>
      </c>
    </row>
    <row r="535" spans="1:15" x14ac:dyDescent="0.25">
      <c r="A535">
        <v>324</v>
      </c>
      <c r="B535">
        <v>2050</v>
      </c>
      <c r="C535">
        <v>667</v>
      </c>
      <c r="D535">
        <v>273</v>
      </c>
      <c r="E535">
        <v>0</v>
      </c>
      <c r="F535" t="str" cm="1">
        <f t="array" ref="F535">_xlfn.XLOOKUP(A535&amp;B535,$L$2:$L$739&amp;$M$2:$M$739,$N$2:$N$739)</f>
        <v>Low</v>
      </c>
      <c r="G535">
        <f t="shared" si="8"/>
        <v>0</v>
      </c>
      <c r="H535" t="str">
        <f>_xlfn.XLOOKUP(A535,VE!$A$2:$A$247,VE!$B$2:$B$247)</f>
        <v>Salem_5</v>
      </c>
      <c r="I535" t="str" cm="1">
        <f t="array" ref="I535">_xlfn.IFS(OR(H535=$S$2,H535=$S$13,H535=$S$5),"Other",OR(H535=$S$3,H535=$S$4,H535=$S$7,H535=$S$10,H535=$S$11),"Salem",OR(H535=$S$6),"Keizer",OR(H535=$S$8,H535=$S$9,H535=$S$12),"Marion")</f>
        <v>Salem</v>
      </c>
      <c r="L535">
        <v>324</v>
      </c>
      <c r="M535">
        <v>2050</v>
      </c>
      <c r="N535" t="s">
        <v>45</v>
      </c>
      <c r="O535">
        <v>0</v>
      </c>
    </row>
    <row r="536" spans="1:15" x14ac:dyDescent="0.25">
      <c r="A536">
        <v>330</v>
      </c>
      <c r="B536">
        <v>2005</v>
      </c>
      <c r="C536">
        <v>97</v>
      </c>
      <c r="D536">
        <v>233</v>
      </c>
      <c r="E536">
        <v>0</v>
      </c>
      <c r="F536" t="str" cm="1">
        <f t="array" ref="F536">_xlfn.XLOOKUP(A536&amp;B536,$L$2:$L$739&amp;$M$2:$M$739,$N$2:$N$739)</f>
        <v>Low</v>
      </c>
      <c r="G536">
        <f t="shared" si="8"/>
        <v>0</v>
      </c>
      <c r="H536" t="str">
        <f>_xlfn.XLOOKUP(A536,VE!$A$2:$A$247,VE!$B$2:$B$247)</f>
        <v>Salem_5</v>
      </c>
      <c r="I536" t="str" cm="1">
        <f t="array" ref="I536">_xlfn.IFS(OR(H536=$S$2,H536=$S$13,H536=$S$5),"Other",OR(H536=$S$3,H536=$S$4,H536=$S$7,H536=$S$10,H536=$S$11),"Salem",OR(H536=$S$6),"Keizer",OR(H536=$S$8,H536=$S$9,H536=$S$12),"Marion")</f>
        <v>Salem</v>
      </c>
      <c r="L536">
        <v>330</v>
      </c>
      <c r="M536">
        <v>2005</v>
      </c>
      <c r="N536" t="s">
        <v>45</v>
      </c>
      <c r="O536">
        <v>0</v>
      </c>
    </row>
    <row r="537" spans="1:15" x14ac:dyDescent="0.25">
      <c r="A537">
        <v>330</v>
      </c>
      <c r="B537">
        <v>2021</v>
      </c>
      <c r="C537">
        <v>97</v>
      </c>
      <c r="D537">
        <v>233</v>
      </c>
      <c r="E537">
        <v>0</v>
      </c>
      <c r="F537" t="str" cm="1">
        <f t="array" ref="F537">_xlfn.XLOOKUP(A537&amp;B537,$L$2:$L$739&amp;$M$2:$M$739,$N$2:$N$739)</f>
        <v>High</v>
      </c>
      <c r="G537">
        <f t="shared" si="8"/>
        <v>330</v>
      </c>
      <c r="H537" t="str">
        <f>_xlfn.XLOOKUP(A537,VE!$A$2:$A$247,VE!$B$2:$B$247)</f>
        <v>Salem_5</v>
      </c>
      <c r="I537" t="str" cm="1">
        <f t="array" ref="I537">_xlfn.IFS(OR(H537=$S$2,H537=$S$13,H537=$S$5),"Other",OR(H537=$S$3,H537=$S$4,H537=$S$7,H537=$S$10,H537=$S$11),"Salem",OR(H537=$S$6),"Keizer",OR(H537=$S$8,H537=$S$9,H537=$S$12),"Marion")</f>
        <v>Salem</v>
      </c>
      <c r="L537">
        <v>330</v>
      </c>
      <c r="M537">
        <v>2021</v>
      </c>
      <c r="N537" t="s">
        <v>46</v>
      </c>
      <c r="O537">
        <v>1</v>
      </c>
    </row>
    <row r="538" spans="1:15" x14ac:dyDescent="0.25">
      <c r="A538">
        <v>330</v>
      </c>
      <c r="B538">
        <v>2050</v>
      </c>
      <c r="C538">
        <v>105</v>
      </c>
      <c r="D538">
        <v>266</v>
      </c>
      <c r="E538">
        <v>0</v>
      </c>
      <c r="F538" t="str" cm="1">
        <f t="array" ref="F538">_xlfn.XLOOKUP(A538&amp;B538,$L$2:$L$739&amp;$M$2:$M$739,$N$2:$N$739)</f>
        <v>High</v>
      </c>
      <c r="G538">
        <f t="shared" si="8"/>
        <v>371</v>
      </c>
      <c r="H538" t="str">
        <f>_xlfn.XLOOKUP(A538,VE!$A$2:$A$247,VE!$B$2:$B$247)</f>
        <v>Salem_5</v>
      </c>
      <c r="I538" t="str" cm="1">
        <f t="array" ref="I538">_xlfn.IFS(OR(H538=$S$2,H538=$S$13,H538=$S$5),"Other",OR(H538=$S$3,H538=$S$4,H538=$S$7,H538=$S$10,H538=$S$11),"Salem",OR(H538=$S$6),"Keizer",OR(H538=$S$8,H538=$S$9,H538=$S$12),"Marion")</f>
        <v>Salem</v>
      </c>
      <c r="L538">
        <v>330</v>
      </c>
      <c r="M538">
        <v>2050</v>
      </c>
      <c r="N538" t="s">
        <v>46</v>
      </c>
      <c r="O538">
        <v>1</v>
      </c>
    </row>
    <row r="539" spans="1:15" x14ac:dyDescent="0.25">
      <c r="A539">
        <v>332</v>
      </c>
      <c r="B539">
        <v>2005</v>
      </c>
      <c r="C539">
        <v>171</v>
      </c>
      <c r="D539">
        <v>226</v>
      </c>
      <c r="E539">
        <v>0</v>
      </c>
      <c r="F539" t="str" cm="1">
        <f t="array" ref="F539">_xlfn.XLOOKUP(A539&amp;B539,$L$2:$L$739&amp;$M$2:$M$739,$N$2:$N$739)</f>
        <v>Low</v>
      </c>
      <c r="G539">
        <f t="shared" si="8"/>
        <v>0</v>
      </c>
      <c r="H539" t="str">
        <f>_xlfn.XLOOKUP(A539,VE!$A$2:$A$247,VE!$B$2:$B$247)</f>
        <v>Salem_5</v>
      </c>
      <c r="I539" t="str" cm="1">
        <f t="array" ref="I539">_xlfn.IFS(OR(H539=$S$2,H539=$S$13,H539=$S$5),"Other",OR(H539=$S$3,H539=$S$4,H539=$S$7,H539=$S$10,H539=$S$11),"Salem",OR(H539=$S$6),"Keizer",OR(H539=$S$8,H539=$S$9,H539=$S$12),"Marion")</f>
        <v>Salem</v>
      </c>
      <c r="L539">
        <v>332</v>
      </c>
      <c r="M539">
        <v>2005</v>
      </c>
      <c r="N539" t="s">
        <v>45</v>
      </c>
      <c r="O539">
        <v>0</v>
      </c>
    </row>
    <row r="540" spans="1:15" x14ac:dyDescent="0.25">
      <c r="A540">
        <v>332</v>
      </c>
      <c r="B540">
        <v>2021</v>
      </c>
      <c r="C540">
        <v>171</v>
      </c>
      <c r="D540">
        <v>226</v>
      </c>
      <c r="E540">
        <v>0</v>
      </c>
      <c r="F540" t="str" cm="1">
        <f t="array" ref="F540">_xlfn.XLOOKUP(A540&amp;B540,$L$2:$L$739&amp;$M$2:$M$739,$N$2:$N$739)</f>
        <v>Low</v>
      </c>
      <c r="G540">
        <f t="shared" si="8"/>
        <v>0</v>
      </c>
      <c r="H540" t="str">
        <f>_xlfn.XLOOKUP(A540,VE!$A$2:$A$247,VE!$B$2:$B$247)</f>
        <v>Salem_5</v>
      </c>
      <c r="I540" t="str" cm="1">
        <f t="array" ref="I540">_xlfn.IFS(OR(H540=$S$2,H540=$S$13,H540=$S$5),"Other",OR(H540=$S$3,H540=$S$4,H540=$S$7,H540=$S$10,H540=$S$11),"Salem",OR(H540=$S$6),"Keizer",OR(H540=$S$8,H540=$S$9,H540=$S$12),"Marion")</f>
        <v>Salem</v>
      </c>
      <c r="L540">
        <v>332</v>
      </c>
      <c r="M540">
        <v>2021</v>
      </c>
      <c r="N540" t="s">
        <v>45</v>
      </c>
      <c r="O540">
        <v>0</v>
      </c>
    </row>
    <row r="541" spans="1:15" x14ac:dyDescent="0.25">
      <c r="A541">
        <v>332</v>
      </c>
      <c r="B541">
        <v>2050</v>
      </c>
      <c r="C541">
        <v>173</v>
      </c>
      <c r="D541">
        <v>229</v>
      </c>
      <c r="E541">
        <v>0</v>
      </c>
      <c r="F541" t="str" cm="1">
        <f t="array" ref="F541">_xlfn.XLOOKUP(A541&amp;B541,$L$2:$L$739&amp;$M$2:$M$739,$N$2:$N$739)</f>
        <v>Low</v>
      </c>
      <c r="G541">
        <f t="shared" si="8"/>
        <v>0</v>
      </c>
      <c r="H541" t="str">
        <f>_xlfn.XLOOKUP(A541,VE!$A$2:$A$247,VE!$B$2:$B$247)</f>
        <v>Salem_5</v>
      </c>
      <c r="I541" t="str" cm="1">
        <f t="array" ref="I541">_xlfn.IFS(OR(H541=$S$2,H541=$S$13,H541=$S$5),"Other",OR(H541=$S$3,H541=$S$4,H541=$S$7,H541=$S$10,H541=$S$11),"Salem",OR(H541=$S$6),"Keizer",OR(H541=$S$8,H541=$S$9,H541=$S$12),"Marion")</f>
        <v>Salem</v>
      </c>
      <c r="L541">
        <v>332</v>
      </c>
      <c r="M541">
        <v>2050</v>
      </c>
      <c r="N541" t="s">
        <v>45</v>
      </c>
      <c r="O541">
        <v>0</v>
      </c>
    </row>
    <row r="542" spans="1:15" x14ac:dyDescent="0.25">
      <c r="A542">
        <v>333</v>
      </c>
      <c r="B542">
        <v>2005</v>
      </c>
      <c r="C542">
        <v>235</v>
      </c>
      <c r="D542">
        <v>0</v>
      </c>
      <c r="E542">
        <v>0</v>
      </c>
      <c r="F542" t="str" cm="1">
        <f t="array" ref="F542">_xlfn.XLOOKUP(A542&amp;B542,$L$2:$L$739&amp;$M$2:$M$739,$N$2:$N$739)</f>
        <v>Low</v>
      </c>
      <c r="G542">
        <f t="shared" si="8"/>
        <v>0</v>
      </c>
      <c r="H542" t="str">
        <f>_xlfn.XLOOKUP(A542,VE!$A$2:$A$247,VE!$B$2:$B$247)</f>
        <v>Salem_5</v>
      </c>
      <c r="I542" t="str" cm="1">
        <f t="array" ref="I542">_xlfn.IFS(OR(H542=$S$2,H542=$S$13,H542=$S$5),"Other",OR(H542=$S$3,H542=$S$4,H542=$S$7,H542=$S$10,H542=$S$11),"Salem",OR(H542=$S$6),"Keizer",OR(H542=$S$8,H542=$S$9,H542=$S$12),"Marion")</f>
        <v>Salem</v>
      </c>
      <c r="L542">
        <v>333</v>
      </c>
      <c r="M542">
        <v>2005</v>
      </c>
      <c r="N542" t="s">
        <v>45</v>
      </c>
      <c r="O542">
        <v>0</v>
      </c>
    </row>
    <row r="543" spans="1:15" x14ac:dyDescent="0.25">
      <c r="A543">
        <v>333</v>
      </c>
      <c r="B543">
        <v>2021</v>
      </c>
      <c r="C543">
        <v>235</v>
      </c>
      <c r="D543">
        <v>0</v>
      </c>
      <c r="E543">
        <v>0</v>
      </c>
      <c r="F543" t="str" cm="1">
        <f t="array" ref="F543">_xlfn.XLOOKUP(A543&amp;B543,$L$2:$L$739&amp;$M$2:$M$739,$N$2:$N$739)</f>
        <v>Low</v>
      </c>
      <c r="G543">
        <f t="shared" si="8"/>
        <v>0</v>
      </c>
      <c r="H543" t="str">
        <f>_xlfn.XLOOKUP(A543,VE!$A$2:$A$247,VE!$B$2:$B$247)</f>
        <v>Salem_5</v>
      </c>
      <c r="I543" t="str" cm="1">
        <f t="array" ref="I543">_xlfn.IFS(OR(H543=$S$2,H543=$S$13,H543=$S$5),"Other",OR(H543=$S$3,H543=$S$4,H543=$S$7,H543=$S$10,H543=$S$11),"Salem",OR(H543=$S$6),"Keizer",OR(H543=$S$8,H543=$S$9,H543=$S$12),"Marion")</f>
        <v>Salem</v>
      </c>
      <c r="L543">
        <v>333</v>
      </c>
      <c r="M543">
        <v>2021</v>
      </c>
      <c r="N543" t="s">
        <v>45</v>
      </c>
      <c r="O543">
        <v>0</v>
      </c>
    </row>
    <row r="544" spans="1:15" x14ac:dyDescent="0.25">
      <c r="A544">
        <v>333</v>
      </c>
      <c r="B544">
        <v>2050</v>
      </c>
      <c r="C544">
        <v>235</v>
      </c>
      <c r="D544">
        <v>12</v>
      </c>
      <c r="E544">
        <v>0</v>
      </c>
      <c r="F544" t="str" cm="1">
        <f t="array" ref="F544">_xlfn.XLOOKUP(A544&amp;B544,$L$2:$L$739&amp;$M$2:$M$739,$N$2:$N$739)</f>
        <v>Low</v>
      </c>
      <c r="G544">
        <f t="shared" si="8"/>
        <v>0</v>
      </c>
      <c r="H544" t="str">
        <f>_xlfn.XLOOKUP(A544,VE!$A$2:$A$247,VE!$B$2:$B$247)</f>
        <v>Salem_5</v>
      </c>
      <c r="I544" t="str" cm="1">
        <f t="array" ref="I544">_xlfn.IFS(OR(H544=$S$2,H544=$S$13,H544=$S$5),"Other",OR(H544=$S$3,H544=$S$4,H544=$S$7,H544=$S$10,H544=$S$11),"Salem",OR(H544=$S$6),"Keizer",OR(H544=$S$8,H544=$S$9,H544=$S$12),"Marion")</f>
        <v>Salem</v>
      </c>
      <c r="L544">
        <v>333</v>
      </c>
      <c r="M544">
        <v>2050</v>
      </c>
      <c r="N544" t="s">
        <v>45</v>
      </c>
      <c r="O544">
        <v>0</v>
      </c>
    </row>
    <row r="545" spans="1:15" x14ac:dyDescent="0.25">
      <c r="A545">
        <v>334</v>
      </c>
      <c r="B545">
        <v>2005</v>
      </c>
      <c r="C545">
        <v>524</v>
      </c>
      <c r="D545">
        <v>107</v>
      </c>
      <c r="E545">
        <v>0</v>
      </c>
      <c r="F545" t="str" cm="1">
        <f t="array" ref="F545">_xlfn.XLOOKUP(A545&amp;B545,$L$2:$L$739&amp;$M$2:$M$739,$N$2:$N$739)</f>
        <v>Low</v>
      </c>
      <c r="G545">
        <f t="shared" si="8"/>
        <v>0</v>
      </c>
      <c r="H545" t="str">
        <f>_xlfn.XLOOKUP(A545,VE!$A$2:$A$247,VE!$B$2:$B$247)</f>
        <v>Salem_5</v>
      </c>
      <c r="I545" t="str" cm="1">
        <f t="array" ref="I545">_xlfn.IFS(OR(H545=$S$2,H545=$S$13,H545=$S$5),"Other",OR(H545=$S$3,H545=$S$4,H545=$S$7,H545=$S$10,H545=$S$11),"Salem",OR(H545=$S$6),"Keizer",OR(H545=$S$8,H545=$S$9,H545=$S$12),"Marion")</f>
        <v>Salem</v>
      </c>
      <c r="L545">
        <v>334</v>
      </c>
      <c r="M545">
        <v>2005</v>
      </c>
      <c r="N545" t="s">
        <v>45</v>
      </c>
      <c r="O545">
        <v>0</v>
      </c>
    </row>
    <row r="546" spans="1:15" x14ac:dyDescent="0.25">
      <c r="A546">
        <v>334</v>
      </c>
      <c r="B546">
        <v>2021</v>
      </c>
      <c r="C546">
        <v>524</v>
      </c>
      <c r="D546">
        <v>107</v>
      </c>
      <c r="E546">
        <v>0</v>
      </c>
      <c r="F546" t="str" cm="1">
        <f t="array" ref="F546">_xlfn.XLOOKUP(A546&amp;B546,$L$2:$L$739&amp;$M$2:$M$739,$N$2:$N$739)</f>
        <v>Low</v>
      </c>
      <c r="G546">
        <f t="shared" si="8"/>
        <v>0</v>
      </c>
      <c r="H546" t="str">
        <f>_xlfn.XLOOKUP(A546,VE!$A$2:$A$247,VE!$B$2:$B$247)</f>
        <v>Salem_5</v>
      </c>
      <c r="I546" t="str" cm="1">
        <f t="array" ref="I546">_xlfn.IFS(OR(H546=$S$2,H546=$S$13,H546=$S$5),"Other",OR(H546=$S$3,H546=$S$4,H546=$S$7,H546=$S$10,H546=$S$11),"Salem",OR(H546=$S$6),"Keizer",OR(H546=$S$8,H546=$S$9,H546=$S$12),"Marion")</f>
        <v>Salem</v>
      </c>
      <c r="L546">
        <v>334</v>
      </c>
      <c r="M546">
        <v>2021</v>
      </c>
      <c r="N546" t="s">
        <v>45</v>
      </c>
      <c r="O546">
        <v>0</v>
      </c>
    </row>
    <row r="547" spans="1:15" x14ac:dyDescent="0.25">
      <c r="A547">
        <v>334</v>
      </c>
      <c r="B547">
        <v>2050</v>
      </c>
      <c r="C547">
        <v>542</v>
      </c>
      <c r="D547">
        <v>222</v>
      </c>
      <c r="E547">
        <v>0</v>
      </c>
      <c r="F547" t="str" cm="1">
        <f t="array" ref="F547">_xlfn.XLOOKUP(A547&amp;B547,$L$2:$L$739&amp;$M$2:$M$739,$N$2:$N$739)</f>
        <v>Low</v>
      </c>
      <c r="G547">
        <f t="shared" si="8"/>
        <v>0</v>
      </c>
      <c r="H547" t="str">
        <f>_xlfn.XLOOKUP(A547,VE!$A$2:$A$247,VE!$B$2:$B$247)</f>
        <v>Salem_5</v>
      </c>
      <c r="I547" t="str" cm="1">
        <f t="array" ref="I547">_xlfn.IFS(OR(H547=$S$2,H547=$S$13,H547=$S$5),"Other",OR(H547=$S$3,H547=$S$4,H547=$S$7,H547=$S$10,H547=$S$11),"Salem",OR(H547=$S$6),"Keizer",OR(H547=$S$8,H547=$S$9,H547=$S$12),"Marion")</f>
        <v>Salem</v>
      </c>
      <c r="L547">
        <v>334</v>
      </c>
      <c r="M547">
        <v>2050</v>
      </c>
      <c r="N547" t="s">
        <v>45</v>
      </c>
      <c r="O547">
        <v>0</v>
      </c>
    </row>
    <row r="548" spans="1:15" x14ac:dyDescent="0.25">
      <c r="A548">
        <v>335</v>
      </c>
      <c r="B548">
        <v>2005</v>
      </c>
      <c r="C548">
        <v>429</v>
      </c>
      <c r="D548">
        <v>793</v>
      </c>
      <c r="E548">
        <v>0</v>
      </c>
      <c r="F548" t="str" cm="1">
        <f t="array" ref="F548">_xlfn.XLOOKUP(A548&amp;B548,$L$2:$L$739&amp;$M$2:$M$739,$N$2:$N$739)</f>
        <v>Low</v>
      </c>
      <c r="G548">
        <f t="shared" si="8"/>
        <v>0</v>
      </c>
      <c r="H548" t="str">
        <f>_xlfn.XLOOKUP(A548,VE!$A$2:$A$247,VE!$B$2:$B$247)</f>
        <v>Salem_5</v>
      </c>
      <c r="I548" t="str" cm="1">
        <f t="array" ref="I548">_xlfn.IFS(OR(H548=$S$2,H548=$S$13,H548=$S$5),"Other",OR(H548=$S$3,H548=$S$4,H548=$S$7,H548=$S$10,H548=$S$11),"Salem",OR(H548=$S$6),"Keizer",OR(H548=$S$8,H548=$S$9,H548=$S$12),"Marion")</f>
        <v>Salem</v>
      </c>
      <c r="L548">
        <v>335</v>
      </c>
      <c r="M548">
        <v>2005</v>
      </c>
      <c r="N548" t="s">
        <v>45</v>
      </c>
      <c r="O548">
        <v>0</v>
      </c>
    </row>
    <row r="549" spans="1:15" x14ac:dyDescent="0.25">
      <c r="A549">
        <v>335</v>
      </c>
      <c r="B549">
        <v>2021</v>
      </c>
      <c r="C549">
        <v>483</v>
      </c>
      <c r="D549">
        <v>758</v>
      </c>
      <c r="E549">
        <v>0</v>
      </c>
      <c r="F549" t="str" cm="1">
        <f t="array" ref="F549">_xlfn.XLOOKUP(A549&amp;B549,$L$2:$L$739&amp;$M$2:$M$739,$N$2:$N$739)</f>
        <v>High</v>
      </c>
      <c r="G549">
        <f t="shared" si="8"/>
        <v>1241</v>
      </c>
      <c r="H549" t="str">
        <f>_xlfn.XLOOKUP(A549,VE!$A$2:$A$247,VE!$B$2:$B$247)</f>
        <v>Salem_5</v>
      </c>
      <c r="I549" t="str" cm="1">
        <f t="array" ref="I549">_xlfn.IFS(OR(H549=$S$2,H549=$S$13,H549=$S$5),"Other",OR(H549=$S$3,H549=$S$4,H549=$S$7,H549=$S$10,H549=$S$11),"Salem",OR(H549=$S$6),"Keizer",OR(H549=$S$8,H549=$S$9,H549=$S$12),"Marion")</f>
        <v>Salem</v>
      </c>
      <c r="L549">
        <v>335</v>
      </c>
      <c r="M549">
        <v>2021</v>
      </c>
      <c r="N549" t="s">
        <v>46</v>
      </c>
      <c r="O549">
        <v>1</v>
      </c>
    </row>
    <row r="550" spans="1:15" x14ac:dyDescent="0.25">
      <c r="A550">
        <v>335</v>
      </c>
      <c r="B550">
        <v>2050</v>
      </c>
      <c r="C550">
        <v>508</v>
      </c>
      <c r="D550">
        <v>873</v>
      </c>
      <c r="E550">
        <v>0</v>
      </c>
      <c r="F550" t="str" cm="1">
        <f t="array" ref="F550">_xlfn.XLOOKUP(A550&amp;B550,$L$2:$L$739&amp;$M$2:$M$739,$N$2:$N$739)</f>
        <v>High</v>
      </c>
      <c r="G550">
        <f t="shared" si="8"/>
        <v>1381</v>
      </c>
      <c r="H550" t="str">
        <f>_xlfn.XLOOKUP(A550,VE!$A$2:$A$247,VE!$B$2:$B$247)</f>
        <v>Salem_5</v>
      </c>
      <c r="I550" t="str" cm="1">
        <f t="array" ref="I550">_xlfn.IFS(OR(H550=$S$2,H550=$S$13,H550=$S$5),"Other",OR(H550=$S$3,H550=$S$4,H550=$S$7,H550=$S$10,H550=$S$11),"Salem",OR(H550=$S$6),"Keizer",OR(H550=$S$8,H550=$S$9,H550=$S$12),"Marion")</f>
        <v>Salem</v>
      </c>
      <c r="L550">
        <v>335</v>
      </c>
      <c r="M550">
        <v>2050</v>
      </c>
      <c r="N550" t="s">
        <v>46</v>
      </c>
      <c r="O550">
        <v>1</v>
      </c>
    </row>
    <row r="551" spans="1:15" x14ac:dyDescent="0.25">
      <c r="A551">
        <v>336</v>
      </c>
      <c r="B551">
        <v>2005</v>
      </c>
      <c r="C551">
        <v>330</v>
      </c>
      <c r="D551">
        <v>430</v>
      </c>
      <c r="E551">
        <v>0</v>
      </c>
      <c r="F551" t="str" cm="1">
        <f t="array" ref="F551">_xlfn.XLOOKUP(A551&amp;B551,$L$2:$L$739&amp;$M$2:$M$739,$N$2:$N$739)</f>
        <v>Low</v>
      </c>
      <c r="G551">
        <f t="shared" si="8"/>
        <v>0</v>
      </c>
      <c r="H551" t="str">
        <f>_xlfn.XLOOKUP(A551,VE!$A$2:$A$247,VE!$B$2:$B$247)</f>
        <v>Salem_5</v>
      </c>
      <c r="I551" t="str" cm="1">
        <f t="array" ref="I551">_xlfn.IFS(OR(H551=$S$2,H551=$S$13,H551=$S$5),"Other",OR(H551=$S$3,H551=$S$4,H551=$S$7,H551=$S$10,H551=$S$11),"Salem",OR(H551=$S$6),"Keizer",OR(H551=$S$8,H551=$S$9,H551=$S$12),"Marion")</f>
        <v>Salem</v>
      </c>
      <c r="L551">
        <v>336</v>
      </c>
      <c r="M551">
        <v>2005</v>
      </c>
      <c r="N551" t="s">
        <v>45</v>
      </c>
      <c r="O551">
        <v>0</v>
      </c>
    </row>
    <row r="552" spans="1:15" x14ac:dyDescent="0.25">
      <c r="A552">
        <v>336</v>
      </c>
      <c r="B552">
        <v>2021</v>
      </c>
      <c r="C552">
        <v>330</v>
      </c>
      <c r="D552">
        <v>430</v>
      </c>
      <c r="E552">
        <v>0</v>
      </c>
      <c r="F552" t="str" cm="1">
        <f t="array" ref="F552">_xlfn.XLOOKUP(A552&amp;B552,$L$2:$L$739&amp;$M$2:$M$739,$N$2:$N$739)</f>
        <v>High</v>
      </c>
      <c r="G552">
        <f t="shared" si="8"/>
        <v>760</v>
      </c>
      <c r="H552" t="str">
        <f>_xlfn.XLOOKUP(A552,VE!$A$2:$A$247,VE!$B$2:$B$247)</f>
        <v>Salem_5</v>
      </c>
      <c r="I552" t="str" cm="1">
        <f t="array" ref="I552">_xlfn.IFS(OR(H552=$S$2,H552=$S$13,H552=$S$5),"Other",OR(H552=$S$3,H552=$S$4,H552=$S$7,H552=$S$10,H552=$S$11),"Salem",OR(H552=$S$6),"Keizer",OR(H552=$S$8,H552=$S$9,H552=$S$12),"Marion")</f>
        <v>Salem</v>
      </c>
      <c r="L552">
        <v>336</v>
      </c>
      <c r="M552">
        <v>2021</v>
      </c>
      <c r="N552" t="s">
        <v>46</v>
      </c>
      <c r="O552">
        <v>1</v>
      </c>
    </row>
    <row r="553" spans="1:15" x14ac:dyDescent="0.25">
      <c r="A553">
        <v>336</v>
      </c>
      <c r="B553">
        <v>2050</v>
      </c>
      <c r="C553">
        <v>329</v>
      </c>
      <c r="D553">
        <v>465</v>
      </c>
      <c r="E553">
        <v>0</v>
      </c>
      <c r="F553" t="str" cm="1">
        <f t="array" ref="F553">_xlfn.XLOOKUP(A553&amp;B553,$L$2:$L$739&amp;$M$2:$M$739,$N$2:$N$739)</f>
        <v>High</v>
      </c>
      <c r="G553">
        <f t="shared" si="8"/>
        <v>794</v>
      </c>
      <c r="H553" t="str">
        <f>_xlfn.XLOOKUP(A553,VE!$A$2:$A$247,VE!$B$2:$B$247)</f>
        <v>Salem_5</v>
      </c>
      <c r="I553" t="str" cm="1">
        <f t="array" ref="I553">_xlfn.IFS(OR(H553=$S$2,H553=$S$13,H553=$S$5),"Other",OR(H553=$S$3,H553=$S$4,H553=$S$7,H553=$S$10,H553=$S$11),"Salem",OR(H553=$S$6),"Keizer",OR(H553=$S$8,H553=$S$9,H553=$S$12),"Marion")</f>
        <v>Salem</v>
      </c>
      <c r="L553">
        <v>336</v>
      </c>
      <c r="M553">
        <v>2050</v>
      </c>
      <c r="N553" t="s">
        <v>46</v>
      </c>
      <c r="O553">
        <v>1</v>
      </c>
    </row>
    <row r="554" spans="1:15" x14ac:dyDescent="0.25">
      <c r="A554">
        <v>338</v>
      </c>
      <c r="B554">
        <v>2005</v>
      </c>
      <c r="C554">
        <v>329</v>
      </c>
      <c r="D554">
        <v>149</v>
      </c>
      <c r="E554">
        <v>0</v>
      </c>
      <c r="F554" t="str" cm="1">
        <f t="array" ref="F554">_xlfn.XLOOKUP(A554&amp;B554,$L$2:$L$739&amp;$M$2:$M$739,$N$2:$N$739)</f>
        <v>Low</v>
      </c>
      <c r="G554">
        <f t="shared" si="8"/>
        <v>0</v>
      </c>
      <c r="H554" t="str">
        <f>_xlfn.XLOOKUP(A554,VE!$A$2:$A$247,VE!$B$2:$B$247)</f>
        <v>Salem_5</v>
      </c>
      <c r="I554" t="str" cm="1">
        <f t="array" ref="I554">_xlfn.IFS(OR(H554=$S$2,H554=$S$13,H554=$S$5),"Other",OR(H554=$S$3,H554=$S$4,H554=$S$7,H554=$S$10,H554=$S$11),"Salem",OR(H554=$S$6),"Keizer",OR(H554=$S$8,H554=$S$9,H554=$S$12),"Marion")</f>
        <v>Salem</v>
      </c>
      <c r="L554">
        <v>338</v>
      </c>
      <c r="M554">
        <v>2005</v>
      </c>
      <c r="N554" t="s">
        <v>45</v>
      </c>
      <c r="O554">
        <v>0</v>
      </c>
    </row>
    <row r="555" spans="1:15" x14ac:dyDescent="0.25">
      <c r="A555">
        <v>338</v>
      </c>
      <c r="B555">
        <v>2021</v>
      </c>
      <c r="C555">
        <v>358</v>
      </c>
      <c r="D555">
        <v>232</v>
      </c>
      <c r="E555">
        <v>0</v>
      </c>
      <c r="F555" t="str" cm="1">
        <f t="array" ref="F555">_xlfn.XLOOKUP(A555&amp;B555,$L$2:$L$739&amp;$M$2:$M$739,$N$2:$N$739)</f>
        <v>Low</v>
      </c>
      <c r="G555">
        <f t="shared" si="8"/>
        <v>0</v>
      </c>
      <c r="H555" t="str">
        <f>_xlfn.XLOOKUP(A555,VE!$A$2:$A$247,VE!$B$2:$B$247)</f>
        <v>Salem_5</v>
      </c>
      <c r="I555" t="str" cm="1">
        <f t="array" ref="I555">_xlfn.IFS(OR(H555=$S$2,H555=$S$13,H555=$S$5),"Other",OR(H555=$S$3,H555=$S$4,H555=$S$7,H555=$S$10,H555=$S$11),"Salem",OR(H555=$S$6),"Keizer",OR(H555=$S$8,H555=$S$9,H555=$S$12),"Marion")</f>
        <v>Salem</v>
      </c>
      <c r="L555">
        <v>338</v>
      </c>
      <c r="M555">
        <v>2021</v>
      </c>
      <c r="N555" t="s">
        <v>45</v>
      </c>
      <c r="O555">
        <v>0</v>
      </c>
    </row>
    <row r="556" spans="1:15" x14ac:dyDescent="0.25">
      <c r="A556">
        <v>338</v>
      </c>
      <c r="B556">
        <v>2050</v>
      </c>
      <c r="C556">
        <v>367</v>
      </c>
      <c r="D556">
        <v>241</v>
      </c>
      <c r="E556">
        <v>0</v>
      </c>
      <c r="F556" t="str" cm="1">
        <f t="array" ref="F556">_xlfn.XLOOKUP(A556&amp;B556,$L$2:$L$739&amp;$M$2:$M$739,$N$2:$N$739)</f>
        <v>Low</v>
      </c>
      <c r="G556">
        <f t="shared" si="8"/>
        <v>0</v>
      </c>
      <c r="H556" t="str">
        <f>_xlfn.XLOOKUP(A556,VE!$A$2:$A$247,VE!$B$2:$B$247)</f>
        <v>Salem_5</v>
      </c>
      <c r="I556" t="str" cm="1">
        <f t="array" ref="I556">_xlfn.IFS(OR(H556=$S$2,H556=$S$13,H556=$S$5),"Other",OR(H556=$S$3,H556=$S$4,H556=$S$7,H556=$S$10,H556=$S$11),"Salem",OR(H556=$S$6),"Keizer",OR(H556=$S$8,H556=$S$9,H556=$S$12),"Marion")</f>
        <v>Salem</v>
      </c>
      <c r="L556">
        <v>338</v>
      </c>
      <c r="M556">
        <v>2050</v>
      </c>
      <c r="N556" t="s">
        <v>45</v>
      </c>
      <c r="O556">
        <v>0</v>
      </c>
    </row>
    <row r="557" spans="1:15" x14ac:dyDescent="0.25">
      <c r="A557">
        <v>345</v>
      </c>
      <c r="B557">
        <v>2005</v>
      </c>
      <c r="C557">
        <v>319</v>
      </c>
      <c r="D557">
        <v>3</v>
      </c>
      <c r="E557">
        <v>0</v>
      </c>
      <c r="F557" t="str" cm="1">
        <f t="array" ref="F557">_xlfn.XLOOKUP(A557&amp;B557,$L$2:$L$739&amp;$M$2:$M$739,$N$2:$N$739)</f>
        <v>Low</v>
      </c>
      <c r="G557">
        <f t="shared" si="8"/>
        <v>0</v>
      </c>
      <c r="H557" t="str">
        <f>_xlfn.XLOOKUP(A557,VE!$A$2:$A$247,VE!$B$2:$B$247)</f>
        <v>Salem_5</v>
      </c>
      <c r="I557" t="str" cm="1">
        <f t="array" ref="I557">_xlfn.IFS(OR(H557=$S$2,H557=$S$13,H557=$S$5),"Other",OR(H557=$S$3,H557=$S$4,H557=$S$7,H557=$S$10,H557=$S$11),"Salem",OR(H557=$S$6),"Keizer",OR(H557=$S$8,H557=$S$9,H557=$S$12),"Marion")</f>
        <v>Salem</v>
      </c>
      <c r="L557">
        <v>345</v>
      </c>
      <c r="M557">
        <v>2005</v>
      </c>
      <c r="N557" t="s">
        <v>45</v>
      </c>
      <c r="O557">
        <v>0</v>
      </c>
    </row>
    <row r="558" spans="1:15" x14ac:dyDescent="0.25">
      <c r="A558">
        <v>345</v>
      </c>
      <c r="B558">
        <v>2021</v>
      </c>
      <c r="C558">
        <v>319</v>
      </c>
      <c r="D558">
        <v>3</v>
      </c>
      <c r="E558">
        <v>0</v>
      </c>
      <c r="F558" t="str" cm="1">
        <f t="array" ref="F558">_xlfn.XLOOKUP(A558&amp;B558,$L$2:$L$739&amp;$M$2:$M$739,$N$2:$N$739)</f>
        <v>Low</v>
      </c>
      <c r="G558">
        <f t="shared" si="8"/>
        <v>0</v>
      </c>
      <c r="H558" t="str">
        <f>_xlfn.XLOOKUP(A558,VE!$A$2:$A$247,VE!$B$2:$B$247)</f>
        <v>Salem_5</v>
      </c>
      <c r="I558" t="str" cm="1">
        <f t="array" ref="I558">_xlfn.IFS(OR(H558=$S$2,H558=$S$13,H558=$S$5),"Other",OR(H558=$S$3,H558=$S$4,H558=$S$7,H558=$S$10,H558=$S$11),"Salem",OR(H558=$S$6),"Keizer",OR(H558=$S$8,H558=$S$9,H558=$S$12),"Marion")</f>
        <v>Salem</v>
      </c>
      <c r="L558">
        <v>345</v>
      </c>
      <c r="M558">
        <v>2021</v>
      </c>
      <c r="N558" t="s">
        <v>45</v>
      </c>
      <c r="O558">
        <v>0</v>
      </c>
    </row>
    <row r="559" spans="1:15" x14ac:dyDescent="0.25">
      <c r="A559">
        <v>345</v>
      </c>
      <c r="B559">
        <v>2050</v>
      </c>
      <c r="C559">
        <v>439</v>
      </c>
      <c r="D559">
        <v>4</v>
      </c>
      <c r="E559">
        <v>0</v>
      </c>
      <c r="F559" t="str" cm="1">
        <f t="array" ref="F559">_xlfn.XLOOKUP(A559&amp;B559,$L$2:$L$739&amp;$M$2:$M$739,$N$2:$N$739)</f>
        <v>Low</v>
      </c>
      <c r="G559">
        <f t="shared" si="8"/>
        <v>0</v>
      </c>
      <c r="H559" t="str">
        <f>_xlfn.XLOOKUP(A559,VE!$A$2:$A$247,VE!$B$2:$B$247)</f>
        <v>Salem_5</v>
      </c>
      <c r="I559" t="str" cm="1">
        <f t="array" ref="I559">_xlfn.IFS(OR(H559=$S$2,H559=$S$13,H559=$S$5),"Other",OR(H559=$S$3,H559=$S$4,H559=$S$7,H559=$S$10,H559=$S$11),"Salem",OR(H559=$S$6),"Keizer",OR(H559=$S$8,H559=$S$9,H559=$S$12),"Marion")</f>
        <v>Salem</v>
      </c>
      <c r="L559">
        <v>345</v>
      </c>
      <c r="M559">
        <v>2050</v>
      </c>
      <c r="N559" t="s">
        <v>45</v>
      </c>
      <c r="O559">
        <v>0</v>
      </c>
    </row>
    <row r="560" spans="1:15" x14ac:dyDescent="0.25">
      <c r="A560">
        <v>346</v>
      </c>
      <c r="B560">
        <v>2005</v>
      </c>
      <c r="C560">
        <v>130</v>
      </c>
      <c r="D560">
        <v>0</v>
      </c>
      <c r="E560">
        <v>0</v>
      </c>
      <c r="F560" t="str" cm="1">
        <f t="array" ref="F560">_xlfn.XLOOKUP(A560&amp;B560,$L$2:$L$739&amp;$M$2:$M$739,$N$2:$N$739)</f>
        <v>Low</v>
      </c>
      <c r="G560">
        <f t="shared" si="8"/>
        <v>0</v>
      </c>
      <c r="H560" t="str">
        <f>_xlfn.XLOOKUP(A560,VE!$A$2:$A$247,VE!$B$2:$B$247)</f>
        <v>Salem_5</v>
      </c>
      <c r="I560" t="str" cm="1">
        <f t="array" ref="I560">_xlfn.IFS(OR(H560=$S$2,H560=$S$13,H560=$S$5),"Other",OR(H560=$S$3,H560=$S$4,H560=$S$7,H560=$S$10,H560=$S$11),"Salem",OR(H560=$S$6),"Keizer",OR(H560=$S$8,H560=$S$9,H560=$S$12),"Marion")</f>
        <v>Salem</v>
      </c>
      <c r="L560">
        <v>346</v>
      </c>
      <c r="M560">
        <v>2005</v>
      </c>
      <c r="N560" t="s">
        <v>45</v>
      </c>
      <c r="O560">
        <v>0</v>
      </c>
    </row>
    <row r="561" spans="1:15" x14ac:dyDescent="0.25">
      <c r="A561">
        <v>346</v>
      </c>
      <c r="B561">
        <v>2021</v>
      </c>
      <c r="C561">
        <v>130</v>
      </c>
      <c r="D561">
        <v>0</v>
      </c>
      <c r="E561">
        <v>0</v>
      </c>
      <c r="F561" t="str" cm="1">
        <f t="array" ref="F561">_xlfn.XLOOKUP(A561&amp;B561,$L$2:$L$739&amp;$M$2:$M$739,$N$2:$N$739)</f>
        <v>Low</v>
      </c>
      <c r="G561">
        <f t="shared" si="8"/>
        <v>0</v>
      </c>
      <c r="H561" t="str">
        <f>_xlfn.XLOOKUP(A561,VE!$A$2:$A$247,VE!$B$2:$B$247)</f>
        <v>Salem_5</v>
      </c>
      <c r="I561" t="str" cm="1">
        <f t="array" ref="I561">_xlfn.IFS(OR(H561=$S$2,H561=$S$13,H561=$S$5),"Other",OR(H561=$S$3,H561=$S$4,H561=$S$7,H561=$S$10,H561=$S$11),"Salem",OR(H561=$S$6),"Keizer",OR(H561=$S$8,H561=$S$9,H561=$S$12),"Marion")</f>
        <v>Salem</v>
      </c>
      <c r="L561">
        <v>346</v>
      </c>
      <c r="M561">
        <v>2021</v>
      </c>
      <c r="N561" t="s">
        <v>45</v>
      </c>
      <c r="O561">
        <v>0</v>
      </c>
    </row>
    <row r="562" spans="1:15" x14ac:dyDescent="0.25">
      <c r="A562">
        <v>346</v>
      </c>
      <c r="B562">
        <v>2050</v>
      </c>
      <c r="C562">
        <v>161</v>
      </c>
      <c r="D562">
        <v>0</v>
      </c>
      <c r="E562">
        <v>0</v>
      </c>
      <c r="F562" t="str" cm="1">
        <f t="array" ref="F562">_xlfn.XLOOKUP(A562&amp;B562,$L$2:$L$739&amp;$M$2:$M$739,$N$2:$N$739)</f>
        <v>Low</v>
      </c>
      <c r="G562">
        <f t="shared" si="8"/>
        <v>0</v>
      </c>
      <c r="H562" t="str">
        <f>_xlfn.XLOOKUP(A562,VE!$A$2:$A$247,VE!$B$2:$B$247)</f>
        <v>Salem_5</v>
      </c>
      <c r="I562" t="str" cm="1">
        <f t="array" ref="I562">_xlfn.IFS(OR(H562=$S$2,H562=$S$13,H562=$S$5),"Other",OR(H562=$S$3,H562=$S$4,H562=$S$7,H562=$S$10,H562=$S$11),"Salem",OR(H562=$S$6),"Keizer",OR(H562=$S$8,H562=$S$9,H562=$S$12),"Marion")</f>
        <v>Salem</v>
      </c>
      <c r="L562">
        <v>346</v>
      </c>
      <c r="M562">
        <v>2050</v>
      </c>
      <c r="N562" t="s">
        <v>45</v>
      </c>
      <c r="O562">
        <v>0</v>
      </c>
    </row>
    <row r="563" spans="1:15" x14ac:dyDescent="0.25">
      <c r="A563">
        <v>347</v>
      </c>
      <c r="B563">
        <v>2005</v>
      </c>
      <c r="C563">
        <v>417</v>
      </c>
      <c r="D563">
        <v>91</v>
      </c>
      <c r="E563">
        <v>0</v>
      </c>
      <c r="F563" t="str" cm="1">
        <f t="array" ref="F563">_xlfn.XLOOKUP(A563&amp;B563,$L$2:$L$739&amp;$M$2:$M$739,$N$2:$N$739)</f>
        <v>Low</v>
      </c>
      <c r="G563">
        <f t="shared" si="8"/>
        <v>0</v>
      </c>
      <c r="H563" t="str">
        <f>_xlfn.XLOOKUP(A563,VE!$A$2:$A$247,VE!$B$2:$B$247)</f>
        <v>Salem_5</v>
      </c>
      <c r="I563" t="str" cm="1">
        <f t="array" ref="I563">_xlfn.IFS(OR(H563=$S$2,H563=$S$13,H563=$S$5),"Other",OR(H563=$S$3,H563=$S$4,H563=$S$7,H563=$S$10,H563=$S$11),"Salem",OR(H563=$S$6),"Keizer",OR(H563=$S$8,H563=$S$9,H563=$S$12),"Marion")</f>
        <v>Salem</v>
      </c>
      <c r="L563">
        <v>347</v>
      </c>
      <c r="M563">
        <v>2005</v>
      </c>
      <c r="N563" t="s">
        <v>45</v>
      </c>
      <c r="O563">
        <v>0</v>
      </c>
    </row>
    <row r="564" spans="1:15" x14ac:dyDescent="0.25">
      <c r="A564">
        <v>347</v>
      </c>
      <c r="B564">
        <v>2021</v>
      </c>
      <c r="C564">
        <v>410</v>
      </c>
      <c r="D564">
        <v>122</v>
      </c>
      <c r="E564">
        <v>0</v>
      </c>
      <c r="F564" t="str" cm="1">
        <f t="array" ref="F564">_xlfn.XLOOKUP(A564&amp;B564,$L$2:$L$739&amp;$M$2:$M$739,$N$2:$N$739)</f>
        <v>Low</v>
      </c>
      <c r="G564">
        <f t="shared" si="8"/>
        <v>0</v>
      </c>
      <c r="H564" t="str">
        <f>_xlfn.XLOOKUP(A564,VE!$A$2:$A$247,VE!$B$2:$B$247)</f>
        <v>Salem_5</v>
      </c>
      <c r="I564" t="str" cm="1">
        <f t="array" ref="I564">_xlfn.IFS(OR(H564=$S$2,H564=$S$13,H564=$S$5),"Other",OR(H564=$S$3,H564=$S$4,H564=$S$7,H564=$S$10,H564=$S$11),"Salem",OR(H564=$S$6),"Keizer",OR(H564=$S$8,H564=$S$9,H564=$S$12),"Marion")</f>
        <v>Salem</v>
      </c>
      <c r="L564">
        <v>347</v>
      </c>
      <c r="M564">
        <v>2021</v>
      </c>
      <c r="N564" t="s">
        <v>45</v>
      </c>
      <c r="O564">
        <v>0</v>
      </c>
    </row>
    <row r="565" spans="1:15" x14ac:dyDescent="0.25">
      <c r="A565">
        <v>347</v>
      </c>
      <c r="B565">
        <v>2050</v>
      </c>
      <c r="C565">
        <v>409</v>
      </c>
      <c r="D565">
        <v>167</v>
      </c>
      <c r="E565">
        <v>0</v>
      </c>
      <c r="F565" t="str" cm="1">
        <f t="array" ref="F565">_xlfn.XLOOKUP(A565&amp;B565,$L$2:$L$739&amp;$M$2:$M$739,$N$2:$N$739)</f>
        <v>Low</v>
      </c>
      <c r="G565">
        <f t="shared" si="8"/>
        <v>0</v>
      </c>
      <c r="H565" t="str">
        <f>_xlfn.XLOOKUP(A565,VE!$A$2:$A$247,VE!$B$2:$B$247)</f>
        <v>Salem_5</v>
      </c>
      <c r="I565" t="str" cm="1">
        <f t="array" ref="I565">_xlfn.IFS(OR(H565=$S$2,H565=$S$13,H565=$S$5),"Other",OR(H565=$S$3,H565=$S$4,H565=$S$7,H565=$S$10,H565=$S$11),"Salem",OR(H565=$S$6),"Keizer",OR(H565=$S$8,H565=$S$9,H565=$S$12),"Marion")</f>
        <v>Salem</v>
      </c>
      <c r="L565">
        <v>347</v>
      </c>
      <c r="M565">
        <v>2050</v>
      </c>
      <c r="N565" t="s">
        <v>45</v>
      </c>
      <c r="O565">
        <v>0</v>
      </c>
    </row>
    <row r="566" spans="1:15" x14ac:dyDescent="0.25">
      <c r="A566">
        <v>350</v>
      </c>
      <c r="B566">
        <v>2005</v>
      </c>
      <c r="C566">
        <v>636</v>
      </c>
      <c r="D566">
        <v>179</v>
      </c>
      <c r="E566">
        <v>0</v>
      </c>
      <c r="F566" t="str" cm="1">
        <f t="array" ref="F566">_xlfn.XLOOKUP(A566&amp;B566,$L$2:$L$739&amp;$M$2:$M$739,$N$2:$N$739)</f>
        <v>Low</v>
      </c>
      <c r="G566">
        <f t="shared" si="8"/>
        <v>0</v>
      </c>
      <c r="H566" t="str">
        <f>_xlfn.XLOOKUP(A566,VE!$A$2:$A$247,VE!$B$2:$B$247)</f>
        <v>Salem_5</v>
      </c>
      <c r="I566" t="str" cm="1">
        <f t="array" ref="I566">_xlfn.IFS(OR(H566=$S$2,H566=$S$13,H566=$S$5),"Other",OR(H566=$S$3,H566=$S$4,H566=$S$7,H566=$S$10,H566=$S$11),"Salem",OR(H566=$S$6),"Keizer",OR(H566=$S$8,H566=$S$9,H566=$S$12),"Marion")</f>
        <v>Salem</v>
      </c>
      <c r="L566">
        <v>350</v>
      </c>
      <c r="M566">
        <v>2005</v>
      </c>
      <c r="N566" t="s">
        <v>45</v>
      </c>
      <c r="O566">
        <v>0</v>
      </c>
    </row>
    <row r="567" spans="1:15" x14ac:dyDescent="0.25">
      <c r="A567">
        <v>350</v>
      </c>
      <c r="B567">
        <v>2021</v>
      </c>
      <c r="C567">
        <v>701</v>
      </c>
      <c r="D567">
        <v>144</v>
      </c>
      <c r="E567">
        <v>0</v>
      </c>
      <c r="F567" t="str" cm="1">
        <f t="array" ref="F567">_xlfn.XLOOKUP(A567&amp;B567,$L$2:$L$739&amp;$M$2:$M$739,$N$2:$N$739)</f>
        <v>Low</v>
      </c>
      <c r="G567">
        <f t="shared" si="8"/>
        <v>0</v>
      </c>
      <c r="H567" t="str">
        <f>_xlfn.XLOOKUP(A567,VE!$A$2:$A$247,VE!$B$2:$B$247)</f>
        <v>Salem_5</v>
      </c>
      <c r="I567" t="str" cm="1">
        <f t="array" ref="I567">_xlfn.IFS(OR(H567=$S$2,H567=$S$13,H567=$S$5),"Other",OR(H567=$S$3,H567=$S$4,H567=$S$7,H567=$S$10,H567=$S$11),"Salem",OR(H567=$S$6),"Keizer",OR(H567=$S$8,H567=$S$9,H567=$S$12),"Marion")</f>
        <v>Salem</v>
      </c>
      <c r="L567">
        <v>350</v>
      </c>
      <c r="M567">
        <v>2021</v>
      </c>
      <c r="N567" t="s">
        <v>45</v>
      </c>
      <c r="O567">
        <v>0</v>
      </c>
    </row>
    <row r="568" spans="1:15" x14ac:dyDescent="0.25">
      <c r="A568">
        <v>350</v>
      </c>
      <c r="B568">
        <v>2050</v>
      </c>
      <c r="C568">
        <v>704</v>
      </c>
      <c r="D568">
        <v>164</v>
      </c>
      <c r="E568">
        <v>0</v>
      </c>
      <c r="F568" t="str" cm="1">
        <f t="array" ref="F568">_xlfn.XLOOKUP(A568&amp;B568,$L$2:$L$739&amp;$M$2:$M$739,$N$2:$N$739)</f>
        <v>Low</v>
      </c>
      <c r="G568">
        <f t="shared" si="8"/>
        <v>0</v>
      </c>
      <c r="H568" t="str">
        <f>_xlfn.XLOOKUP(A568,VE!$A$2:$A$247,VE!$B$2:$B$247)</f>
        <v>Salem_5</v>
      </c>
      <c r="I568" t="str" cm="1">
        <f t="array" ref="I568">_xlfn.IFS(OR(H568=$S$2,H568=$S$13,H568=$S$5),"Other",OR(H568=$S$3,H568=$S$4,H568=$S$7,H568=$S$10,H568=$S$11),"Salem",OR(H568=$S$6),"Keizer",OR(H568=$S$8,H568=$S$9,H568=$S$12),"Marion")</f>
        <v>Salem</v>
      </c>
      <c r="L568">
        <v>350</v>
      </c>
      <c r="M568">
        <v>2050</v>
      </c>
      <c r="N568" t="s">
        <v>45</v>
      </c>
      <c r="O568">
        <v>0</v>
      </c>
    </row>
    <row r="569" spans="1:15" x14ac:dyDescent="0.25">
      <c r="A569">
        <v>354</v>
      </c>
      <c r="B569">
        <v>2005</v>
      </c>
      <c r="C569">
        <v>35</v>
      </c>
      <c r="D569">
        <v>385</v>
      </c>
      <c r="E569">
        <v>0</v>
      </c>
      <c r="F569" t="str" cm="1">
        <f t="array" ref="F569">_xlfn.XLOOKUP(A569&amp;B569,$L$2:$L$739&amp;$M$2:$M$739,$N$2:$N$739)</f>
        <v>Low</v>
      </c>
      <c r="G569">
        <f t="shared" si="8"/>
        <v>0</v>
      </c>
      <c r="H569" t="str">
        <f>_xlfn.XLOOKUP(A569,VE!$A$2:$A$247,VE!$B$2:$B$247)</f>
        <v>Salem_5</v>
      </c>
      <c r="I569" t="str" cm="1">
        <f t="array" ref="I569">_xlfn.IFS(OR(H569=$S$2,H569=$S$13,H569=$S$5),"Other",OR(H569=$S$3,H569=$S$4,H569=$S$7,H569=$S$10,H569=$S$11),"Salem",OR(H569=$S$6),"Keizer",OR(H569=$S$8,H569=$S$9,H569=$S$12),"Marion")</f>
        <v>Salem</v>
      </c>
      <c r="L569">
        <v>354</v>
      </c>
      <c r="M569">
        <v>2005</v>
      </c>
      <c r="N569" t="s">
        <v>45</v>
      </c>
      <c r="O569">
        <v>0</v>
      </c>
    </row>
    <row r="570" spans="1:15" x14ac:dyDescent="0.25">
      <c r="A570">
        <v>354</v>
      </c>
      <c r="B570">
        <v>2021</v>
      </c>
      <c r="C570">
        <v>106</v>
      </c>
      <c r="D570">
        <v>422</v>
      </c>
      <c r="E570">
        <v>0</v>
      </c>
      <c r="F570" t="str" cm="1">
        <f t="array" ref="F570">_xlfn.XLOOKUP(A570&amp;B570,$L$2:$L$739&amp;$M$2:$M$739,$N$2:$N$739)</f>
        <v>Low</v>
      </c>
      <c r="G570">
        <f t="shared" si="8"/>
        <v>0</v>
      </c>
      <c r="H570" t="str">
        <f>_xlfn.XLOOKUP(A570,VE!$A$2:$A$247,VE!$B$2:$B$247)</f>
        <v>Salem_5</v>
      </c>
      <c r="I570" t="str" cm="1">
        <f t="array" ref="I570">_xlfn.IFS(OR(H570=$S$2,H570=$S$13,H570=$S$5),"Other",OR(H570=$S$3,H570=$S$4,H570=$S$7,H570=$S$10,H570=$S$11),"Salem",OR(H570=$S$6),"Keizer",OR(H570=$S$8,H570=$S$9,H570=$S$12),"Marion")</f>
        <v>Salem</v>
      </c>
      <c r="L570">
        <v>354</v>
      </c>
      <c r="M570">
        <v>2021</v>
      </c>
      <c r="N570" t="s">
        <v>45</v>
      </c>
      <c r="O570">
        <v>0</v>
      </c>
    </row>
    <row r="571" spans="1:15" x14ac:dyDescent="0.25">
      <c r="A571">
        <v>354</v>
      </c>
      <c r="B571">
        <v>2050</v>
      </c>
      <c r="C571">
        <v>577</v>
      </c>
      <c r="D571">
        <v>2176</v>
      </c>
      <c r="E571">
        <v>0</v>
      </c>
      <c r="F571" t="str" cm="1">
        <f t="array" ref="F571">_xlfn.XLOOKUP(A571&amp;B571,$L$2:$L$739&amp;$M$2:$M$739,$N$2:$N$739)</f>
        <v>Low</v>
      </c>
      <c r="G571">
        <f t="shared" si="8"/>
        <v>0</v>
      </c>
      <c r="H571" t="str">
        <f>_xlfn.XLOOKUP(A571,VE!$A$2:$A$247,VE!$B$2:$B$247)</f>
        <v>Salem_5</v>
      </c>
      <c r="I571" t="str" cm="1">
        <f t="array" ref="I571">_xlfn.IFS(OR(H571=$S$2,H571=$S$13,H571=$S$5),"Other",OR(H571=$S$3,H571=$S$4,H571=$S$7,H571=$S$10,H571=$S$11),"Salem",OR(H571=$S$6),"Keizer",OR(H571=$S$8,H571=$S$9,H571=$S$12),"Marion")</f>
        <v>Salem</v>
      </c>
      <c r="L571">
        <v>354</v>
      </c>
      <c r="M571">
        <v>2050</v>
      </c>
      <c r="N571" t="s">
        <v>45</v>
      </c>
      <c r="O571">
        <v>0</v>
      </c>
    </row>
    <row r="572" spans="1:15" x14ac:dyDescent="0.25">
      <c r="A572">
        <v>357</v>
      </c>
      <c r="B572">
        <v>2005</v>
      </c>
      <c r="C572">
        <v>817</v>
      </c>
      <c r="D572">
        <v>320</v>
      </c>
      <c r="E572">
        <v>0</v>
      </c>
      <c r="F572" t="str" cm="1">
        <f t="array" ref="F572">_xlfn.XLOOKUP(A572&amp;B572,$L$2:$L$739&amp;$M$2:$M$739,$N$2:$N$739)</f>
        <v>Low</v>
      </c>
      <c r="G572">
        <f t="shared" si="8"/>
        <v>0</v>
      </c>
      <c r="H572" t="str">
        <f>_xlfn.XLOOKUP(A572,VE!$A$2:$A$247,VE!$B$2:$B$247)</f>
        <v>Salem_5</v>
      </c>
      <c r="I572" t="str" cm="1">
        <f t="array" ref="I572">_xlfn.IFS(OR(H572=$S$2,H572=$S$13,H572=$S$5),"Other",OR(H572=$S$3,H572=$S$4,H572=$S$7,H572=$S$10,H572=$S$11),"Salem",OR(H572=$S$6),"Keizer",OR(H572=$S$8,H572=$S$9,H572=$S$12),"Marion")</f>
        <v>Salem</v>
      </c>
      <c r="L572">
        <v>357</v>
      </c>
      <c r="M572">
        <v>2005</v>
      </c>
      <c r="N572" t="s">
        <v>45</v>
      </c>
      <c r="O572">
        <v>0</v>
      </c>
    </row>
    <row r="573" spans="1:15" x14ac:dyDescent="0.25">
      <c r="A573">
        <v>357</v>
      </c>
      <c r="B573">
        <v>2021</v>
      </c>
      <c r="C573">
        <v>924</v>
      </c>
      <c r="D573">
        <v>322</v>
      </c>
      <c r="E573">
        <v>0</v>
      </c>
      <c r="F573" t="str" cm="1">
        <f t="array" ref="F573">_xlfn.XLOOKUP(A573&amp;B573,$L$2:$L$739&amp;$M$2:$M$739,$N$2:$N$739)</f>
        <v>Low</v>
      </c>
      <c r="G573">
        <f t="shared" si="8"/>
        <v>0</v>
      </c>
      <c r="H573" t="str">
        <f>_xlfn.XLOOKUP(A573,VE!$A$2:$A$247,VE!$B$2:$B$247)</f>
        <v>Salem_5</v>
      </c>
      <c r="I573" t="str" cm="1">
        <f t="array" ref="I573">_xlfn.IFS(OR(H573=$S$2,H573=$S$13,H573=$S$5),"Other",OR(H573=$S$3,H573=$S$4,H573=$S$7,H573=$S$10,H573=$S$11),"Salem",OR(H573=$S$6),"Keizer",OR(H573=$S$8,H573=$S$9,H573=$S$12),"Marion")</f>
        <v>Salem</v>
      </c>
      <c r="L573">
        <v>357</v>
      </c>
      <c r="M573">
        <v>2021</v>
      </c>
      <c r="N573" t="s">
        <v>45</v>
      </c>
      <c r="O573">
        <v>0</v>
      </c>
    </row>
    <row r="574" spans="1:15" x14ac:dyDescent="0.25">
      <c r="A574">
        <v>357</v>
      </c>
      <c r="B574">
        <v>2050</v>
      </c>
      <c r="C574">
        <v>969</v>
      </c>
      <c r="D574">
        <v>743</v>
      </c>
      <c r="E574">
        <v>0</v>
      </c>
      <c r="F574" t="str" cm="1">
        <f t="array" ref="F574">_xlfn.XLOOKUP(A574&amp;B574,$L$2:$L$739&amp;$M$2:$M$739,$N$2:$N$739)</f>
        <v>Low</v>
      </c>
      <c r="G574">
        <f t="shared" si="8"/>
        <v>0</v>
      </c>
      <c r="H574" t="str">
        <f>_xlfn.XLOOKUP(A574,VE!$A$2:$A$247,VE!$B$2:$B$247)</f>
        <v>Salem_5</v>
      </c>
      <c r="I574" t="str" cm="1">
        <f t="array" ref="I574">_xlfn.IFS(OR(H574=$S$2,H574=$S$13,H574=$S$5),"Other",OR(H574=$S$3,H574=$S$4,H574=$S$7,H574=$S$10,H574=$S$11),"Salem",OR(H574=$S$6),"Keizer",OR(H574=$S$8,H574=$S$9,H574=$S$12),"Marion")</f>
        <v>Salem</v>
      </c>
      <c r="L574">
        <v>357</v>
      </c>
      <c r="M574">
        <v>2050</v>
      </c>
      <c r="N574" t="s">
        <v>45</v>
      </c>
      <c r="O574">
        <v>0</v>
      </c>
    </row>
    <row r="575" spans="1:15" x14ac:dyDescent="0.25">
      <c r="A575">
        <v>358</v>
      </c>
      <c r="B575">
        <v>2005</v>
      </c>
      <c r="C575">
        <v>324</v>
      </c>
      <c r="D575">
        <v>3</v>
      </c>
      <c r="E575">
        <v>0</v>
      </c>
      <c r="F575" t="str" cm="1">
        <f t="array" ref="F575">_xlfn.XLOOKUP(A575&amp;B575,$L$2:$L$739&amp;$M$2:$M$739,$N$2:$N$739)</f>
        <v>Low</v>
      </c>
      <c r="G575">
        <f t="shared" si="8"/>
        <v>0</v>
      </c>
      <c r="H575" t="str">
        <f>_xlfn.XLOOKUP(A575,VE!$A$2:$A$247,VE!$B$2:$B$247)</f>
        <v>Salem_5</v>
      </c>
      <c r="I575" t="str" cm="1">
        <f t="array" ref="I575">_xlfn.IFS(OR(H575=$S$2,H575=$S$13,H575=$S$5),"Other",OR(H575=$S$3,H575=$S$4,H575=$S$7,H575=$S$10,H575=$S$11),"Salem",OR(H575=$S$6),"Keizer",OR(H575=$S$8,H575=$S$9,H575=$S$12),"Marion")</f>
        <v>Salem</v>
      </c>
      <c r="L575">
        <v>358</v>
      </c>
      <c r="M575">
        <v>2005</v>
      </c>
      <c r="N575" t="s">
        <v>45</v>
      </c>
      <c r="O575">
        <v>0</v>
      </c>
    </row>
    <row r="576" spans="1:15" x14ac:dyDescent="0.25">
      <c r="A576">
        <v>358</v>
      </c>
      <c r="B576">
        <v>2021</v>
      </c>
      <c r="C576">
        <v>324</v>
      </c>
      <c r="D576">
        <v>3</v>
      </c>
      <c r="E576">
        <v>0</v>
      </c>
      <c r="F576" t="str" cm="1">
        <f t="array" ref="F576">_xlfn.XLOOKUP(A576&amp;B576,$L$2:$L$739&amp;$M$2:$M$739,$N$2:$N$739)</f>
        <v>Low</v>
      </c>
      <c r="G576">
        <f t="shared" si="8"/>
        <v>0</v>
      </c>
      <c r="H576" t="str">
        <f>_xlfn.XLOOKUP(A576,VE!$A$2:$A$247,VE!$B$2:$B$247)</f>
        <v>Salem_5</v>
      </c>
      <c r="I576" t="str" cm="1">
        <f t="array" ref="I576">_xlfn.IFS(OR(H576=$S$2,H576=$S$13,H576=$S$5),"Other",OR(H576=$S$3,H576=$S$4,H576=$S$7,H576=$S$10,H576=$S$11),"Salem",OR(H576=$S$6),"Keizer",OR(H576=$S$8,H576=$S$9,H576=$S$12),"Marion")</f>
        <v>Salem</v>
      </c>
      <c r="L576">
        <v>358</v>
      </c>
      <c r="M576">
        <v>2021</v>
      </c>
      <c r="N576" t="s">
        <v>45</v>
      </c>
      <c r="O576">
        <v>0</v>
      </c>
    </row>
    <row r="577" spans="1:15" x14ac:dyDescent="0.25">
      <c r="A577">
        <v>358</v>
      </c>
      <c r="B577">
        <v>2050</v>
      </c>
      <c r="C577">
        <v>337</v>
      </c>
      <c r="D577">
        <v>42</v>
      </c>
      <c r="E577">
        <v>0</v>
      </c>
      <c r="F577" t="str" cm="1">
        <f t="array" ref="F577">_xlfn.XLOOKUP(A577&amp;B577,$L$2:$L$739&amp;$M$2:$M$739,$N$2:$N$739)</f>
        <v>Low</v>
      </c>
      <c r="G577">
        <f t="shared" si="8"/>
        <v>0</v>
      </c>
      <c r="H577" t="str">
        <f>_xlfn.XLOOKUP(A577,VE!$A$2:$A$247,VE!$B$2:$B$247)</f>
        <v>Salem_5</v>
      </c>
      <c r="I577" t="str" cm="1">
        <f t="array" ref="I577">_xlfn.IFS(OR(H577=$S$2,H577=$S$13,H577=$S$5),"Other",OR(H577=$S$3,H577=$S$4,H577=$S$7,H577=$S$10,H577=$S$11),"Salem",OR(H577=$S$6),"Keizer",OR(H577=$S$8,H577=$S$9,H577=$S$12),"Marion")</f>
        <v>Salem</v>
      </c>
      <c r="L577">
        <v>358</v>
      </c>
      <c r="M577">
        <v>2050</v>
      </c>
      <c r="N577" t="s">
        <v>45</v>
      </c>
      <c r="O577">
        <v>0</v>
      </c>
    </row>
    <row r="578" spans="1:15" x14ac:dyDescent="0.25">
      <c r="A578">
        <v>359</v>
      </c>
      <c r="B578">
        <v>2005</v>
      </c>
      <c r="C578">
        <v>401</v>
      </c>
      <c r="D578">
        <v>196</v>
      </c>
      <c r="E578">
        <v>0</v>
      </c>
      <c r="F578" t="str" cm="1">
        <f t="array" ref="F578">_xlfn.XLOOKUP(A578&amp;B578,$L$2:$L$739&amp;$M$2:$M$739,$N$2:$N$739)</f>
        <v>Low</v>
      </c>
      <c r="G578">
        <f t="shared" si="8"/>
        <v>0</v>
      </c>
      <c r="H578" t="str">
        <f>_xlfn.XLOOKUP(A578,VE!$A$2:$A$247,VE!$B$2:$B$247)</f>
        <v>Salem_5</v>
      </c>
      <c r="I578" t="str" cm="1">
        <f t="array" ref="I578">_xlfn.IFS(OR(H578=$S$2,H578=$S$13,H578=$S$5),"Other",OR(H578=$S$3,H578=$S$4,H578=$S$7,H578=$S$10,H578=$S$11),"Salem",OR(H578=$S$6),"Keizer",OR(H578=$S$8,H578=$S$9,H578=$S$12),"Marion")</f>
        <v>Salem</v>
      </c>
      <c r="L578">
        <v>359</v>
      </c>
      <c r="M578">
        <v>2005</v>
      </c>
      <c r="N578" t="s">
        <v>45</v>
      </c>
      <c r="O578">
        <v>0</v>
      </c>
    </row>
    <row r="579" spans="1:15" x14ac:dyDescent="0.25">
      <c r="A579">
        <v>359</v>
      </c>
      <c r="B579">
        <v>2021</v>
      </c>
      <c r="C579">
        <v>406</v>
      </c>
      <c r="D579">
        <v>228</v>
      </c>
      <c r="E579">
        <v>0</v>
      </c>
      <c r="F579" t="str" cm="1">
        <f t="array" ref="F579">_xlfn.XLOOKUP(A579&amp;B579,$L$2:$L$739&amp;$M$2:$M$739,$N$2:$N$739)</f>
        <v>Low</v>
      </c>
      <c r="G579">
        <f t="shared" ref="G579:G642" si="9">IF(F579="High",SUM(C579:D579),0)</f>
        <v>0</v>
      </c>
      <c r="H579" t="str">
        <f>_xlfn.XLOOKUP(A579,VE!$A$2:$A$247,VE!$B$2:$B$247)</f>
        <v>Salem_5</v>
      </c>
      <c r="I579" t="str" cm="1">
        <f t="array" ref="I579">_xlfn.IFS(OR(H579=$S$2,H579=$S$13,H579=$S$5),"Other",OR(H579=$S$3,H579=$S$4,H579=$S$7,H579=$S$10,H579=$S$11),"Salem",OR(H579=$S$6),"Keizer",OR(H579=$S$8,H579=$S$9,H579=$S$12),"Marion")</f>
        <v>Salem</v>
      </c>
      <c r="L579">
        <v>359</v>
      </c>
      <c r="M579">
        <v>2021</v>
      </c>
      <c r="N579" t="s">
        <v>45</v>
      </c>
      <c r="O579">
        <v>0</v>
      </c>
    </row>
    <row r="580" spans="1:15" x14ac:dyDescent="0.25">
      <c r="A580">
        <v>359</v>
      </c>
      <c r="B580">
        <v>2050</v>
      </c>
      <c r="C580">
        <v>405</v>
      </c>
      <c r="D580">
        <v>228</v>
      </c>
      <c r="E580">
        <v>0</v>
      </c>
      <c r="F580" t="str" cm="1">
        <f t="array" ref="F580">_xlfn.XLOOKUP(A580&amp;B580,$L$2:$L$739&amp;$M$2:$M$739,$N$2:$N$739)</f>
        <v>Low</v>
      </c>
      <c r="G580">
        <f t="shared" si="9"/>
        <v>0</v>
      </c>
      <c r="H580" t="str">
        <f>_xlfn.XLOOKUP(A580,VE!$A$2:$A$247,VE!$B$2:$B$247)</f>
        <v>Salem_5</v>
      </c>
      <c r="I580" t="str" cm="1">
        <f t="array" ref="I580">_xlfn.IFS(OR(H580=$S$2,H580=$S$13,H580=$S$5),"Other",OR(H580=$S$3,H580=$S$4,H580=$S$7,H580=$S$10,H580=$S$11),"Salem",OR(H580=$S$6),"Keizer",OR(H580=$S$8,H580=$S$9,H580=$S$12),"Marion")</f>
        <v>Salem</v>
      </c>
      <c r="L580">
        <v>359</v>
      </c>
      <c r="M580">
        <v>2050</v>
      </c>
      <c r="N580" t="s">
        <v>45</v>
      </c>
      <c r="O580">
        <v>0</v>
      </c>
    </row>
    <row r="581" spans="1:15" x14ac:dyDescent="0.25">
      <c r="A581">
        <v>360</v>
      </c>
      <c r="B581">
        <v>2005</v>
      </c>
      <c r="C581">
        <v>401</v>
      </c>
      <c r="D581">
        <v>50</v>
      </c>
      <c r="E581">
        <v>0</v>
      </c>
      <c r="F581" t="str" cm="1">
        <f t="array" ref="F581">_xlfn.XLOOKUP(A581&amp;B581,$L$2:$L$739&amp;$M$2:$M$739,$N$2:$N$739)</f>
        <v>Low</v>
      </c>
      <c r="G581">
        <f t="shared" si="9"/>
        <v>0</v>
      </c>
      <c r="H581" t="str">
        <f>_xlfn.XLOOKUP(A581,VE!$A$2:$A$247,VE!$B$2:$B$247)</f>
        <v>Salem_5</v>
      </c>
      <c r="I581" t="str" cm="1">
        <f t="array" ref="I581">_xlfn.IFS(OR(H581=$S$2,H581=$S$13,H581=$S$5),"Other",OR(H581=$S$3,H581=$S$4,H581=$S$7,H581=$S$10,H581=$S$11),"Salem",OR(H581=$S$6),"Keizer",OR(H581=$S$8,H581=$S$9,H581=$S$12),"Marion")</f>
        <v>Salem</v>
      </c>
      <c r="L581">
        <v>360</v>
      </c>
      <c r="M581">
        <v>2005</v>
      </c>
      <c r="N581" t="s">
        <v>45</v>
      </c>
      <c r="O581">
        <v>0</v>
      </c>
    </row>
    <row r="582" spans="1:15" x14ac:dyDescent="0.25">
      <c r="A582">
        <v>360</v>
      </c>
      <c r="B582">
        <v>2021</v>
      </c>
      <c r="C582">
        <v>401</v>
      </c>
      <c r="D582">
        <v>50</v>
      </c>
      <c r="E582">
        <v>0</v>
      </c>
      <c r="F582" t="str" cm="1">
        <f t="array" ref="F582">_xlfn.XLOOKUP(A582&amp;B582,$L$2:$L$739&amp;$M$2:$M$739,$N$2:$N$739)</f>
        <v>Low</v>
      </c>
      <c r="G582">
        <f t="shared" si="9"/>
        <v>0</v>
      </c>
      <c r="H582" t="str">
        <f>_xlfn.XLOOKUP(A582,VE!$A$2:$A$247,VE!$B$2:$B$247)</f>
        <v>Salem_5</v>
      </c>
      <c r="I582" t="str" cm="1">
        <f t="array" ref="I582">_xlfn.IFS(OR(H582=$S$2,H582=$S$13,H582=$S$5),"Other",OR(H582=$S$3,H582=$S$4,H582=$S$7,H582=$S$10,H582=$S$11),"Salem",OR(H582=$S$6),"Keizer",OR(H582=$S$8,H582=$S$9,H582=$S$12),"Marion")</f>
        <v>Salem</v>
      </c>
      <c r="L582">
        <v>360</v>
      </c>
      <c r="M582">
        <v>2021</v>
      </c>
      <c r="N582" t="s">
        <v>45</v>
      </c>
      <c r="O582">
        <v>0</v>
      </c>
    </row>
    <row r="583" spans="1:15" x14ac:dyDescent="0.25">
      <c r="A583">
        <v>360</v>
      </c>
      <c r="B583">
        <v>2050</v>
      </c>
      <c r="C583">
        <v>403</v>
      </c>
      <c r="D583">
        <v>82</v>
      </c>
      <c r="E583">
        <v>0</v>
      </c>
      <c r="F583" t="str" cm="1">
        <f t="array" ref="F583">_xlfn.XLOOKUP(A583&amp;B583,$L$2:$L$739&amp;$M$2:$M$739,$N$2:$N$739)</f>
        <v>Low</v>
      </c>
      <c r="G583">
        <f t="shared" si="9"/>
        <v>0</v>
      </c>
      <c r="H583" t="str">
        <f>_xlfn.XLOOKUP(A583,VE!$A$2:$A$247,VE!$B$2:$B$247)</f>
        <v>Salem_5</v>
      </c>
      <c r="I583" t="str" cm="1">
        <f t="array" ref="I583">_xlfn.IFS(OR(H583=$S$2,H583=$S$13,H583=$S$5),"Other",OR(H583=$S$3,H583=$S$4,H583=$S$7,H583=$S$10,H583=$S$11),"Salem",OR(H583=$S$6),"Keizer",OR(H583=$S$8,H583=$S$9,H583=$S$12),"Marion")</f>
        <v>Salem</v>
      </c>
      <c r="L583">
        <v>360</v>
      </c>
      <c r="M583">
        <v>2050</v>
      </c>
      <c r="N583" t="s">
        <v>45</v>
      </c>
      <c r="O583">
        <v>0</v>
      </c>
    </row>
    <row r="584" spans="1:15" x14ac:dyDescent="0.25">
      <c r="A584">
        <v>361</v>
      </c>
      <c r="B584">
        <v>2005</v>
      </c>
      <c r="C584">
        <v>119</v>
      </c>
      <c r="D584">
        <v>1</v>
      </c>
      <c r="E584">
        <v>0</v>
      </c>
      <c r="F584" t="str" cm="1">
        <f t="array" ref="F584">_xlfn.XLOOKUP(A584&amp;B584,$L$2:$L$739&amp;$M$2:$M$739,$N$2:$N$739)</f>
        <v>Low</v>
      </c>
      <c r="G584">
        <f t="shared" si="9"/>
        <v>0</v>
      </c>
      <c r="H584" t="str">
        <f>_xlfn.XLOOKUP(A584,VE!$A$2:$A$247,VE!$B$2:$B$247)</f>
        <v>Salem_5</v>
      </c>
      <c r="I584" t="str" cm="1">
        <f t="array" ref="I584">_xlfn.IFS(OR(H584=$S$2,H584=$S$13,H584=$S$5),"Other",OR(H584=$S$3,H584=$S$4,H584=$S$7,H584=$S$10,H584=$S$11),"Salem",OR(H584=$S$6),"Keizer",OR(H584=$S$8,H584=$S$9,H584=$S$12),"Marion")</f>
        <v>Salem</v>
      </c>
      <c r="L584">
        <v>361</v>
      </c>
      <c r="M584">
        <v>2005</v>
      </c>
      <c r="N584" t="s">
        <v>45</v>
      </c>
      <c r="O584">
        <v>0</v>
      </c>
    </row>
    <row r="585" spans="1:15" x14ac:dyDescent="0.25">
      <c r="A585">
        <v>361</v>
      </c>
      <c r="B585">
        <v>2021</v>
      </c>
      <c r="C585">
        <v>181</v>
      </c>
      <c r="D585">
        <v>0</v>
      </c>
      <c r="E585">
        <v>0</v>
      </c>
      <c r="F585" t="str" cm="1">
        <f t="array" ref="F585">_xlfn.XLOOKUP(A585&amp;B585,$L$2:$L$739&amp;$M$2:$M$739,$N$2:$N$739)</f>
        <v>Low</v>
      </c>
      <c r="G585">
        <f t="shared" si="9"/>
        <v>0</v>
      </c>
      <c r="H585" t="str">
        <f>_xlfn.XLOOKUP(A585,VE!$A$2:$A$247,VE!$B$2:$B$247)</f>
        <v>Salem_5</v>
      </c>
      <c r="I585" t="str" cm="1">
        <f t="array" ref="I585">_xlfn.IFS(OR(H585=$S$2,H585=$S$13,H585=$S$5),"Other",OR(H585=$S$3,H585=$S$4,H585=$S$7,H585=$S$10,H585=$S$11),"Salem",OR(H585=$S$6),"Keizer",OR(H585=$S$8,H585=$S$9,H585=$S$12),"Marion")</f>
        <v>Salem</v>
      </c>
      <c r="L585">
        <v>361</v>
      </c>
      <c r="M585">
        <v>2021</v>
      </c>
      <c r="N585" t="s">
        <v>45</v>
      </c>
      <c r="O585">
        <v>0</v>
      </c>
    </row>
    <row r="586" spans="1:15" x14ac:dyDescent="0.25">
      <c r="A586">
        <v>361</v>
      </c>
      <c r="B586">
        <v>2050</v>
      </c>
      <c r="C586">
        <v>181</v>
      </c>
      <c r="D586">
        <v>0</v>
      </c>
      <c r="E586">
        <v>0</v>
      </c>
      <c r="F586" t="str" cm="1">
        <f t="array" ref="F586">_xlfn.XLOOKUP(A586&amp;B586,$L$2:$L$739&amp;$M$2:$M$739,$N$2:$N$739)</f>
        <v>Low</v>
      </c>
      <c r="G586">
        <f t="shared" si="9"/>
        <v>0</v>
      </c>
      <c r="H586" t="str">
        <f>_xlfn.XLOOKUP(A586,VE!$A$2:$A$247,VE!$B$2:$B$247)</f>
        <v>Salem_5</v>
      </c>
      <c r="I586" t="str" cm="1">
        <f t="array" ref="I586">_xlfn.IFS(OR(H586=$S$2,H586=$S$13,H586=$S$5),"Other",OR(H586=$S$3,H586=$S$4,H586=$S$7,H586=$S$10,H586=$S$11),"Salem",OR(H586=$S$6),"Keizer",OR(H586=$S$8,H586=$S$9,H586=$S$12),"Marion")</f>
        <v>Salem</v>
      </c>
      <c r="L586">
        <v>361</v>
      </c>
      <c r="M586">
        <v>2050</v>
      </c>
      <c r="N586" t="s">
        <v>45</v>
      </c>
      <c r="O586">
        <v>0</v>
      </c>
    </row>
    <row r="587" spans="1:15" x14ac:dyDescent="0.25">
      <c r="A587">
        <v>362</v>
      </c>
      <c r="B587">
        <v>2005</v>
      </c>
      <c r="C587">
        <v>1</v>
      </c>
      <c r="D587">
        <v>1</v>
      </c>
      <c r="E587">
        <v>0</v>
      </c>
      <c r="F587" t="str" cm="1">
        <f t="array" ref="F587">_xlfn.XLOOKUP(A587&amp;B587,$L$2:$L$739&amp;$M$2:$M$739,$N$2:$N$739)</f>
        <v>Low</v>
      </c>
      <c r="G587">
        <f t="shared" si="9"/>
        <v>0</v>
      </c>
      <c r="H587" t="str">
        <f>_xlfn.XLOOKUP(A587,VE!$A$2:$A$247,VE!$B$2:$B$247)</f>
        <v>Salem_5</v>
      </c>
      <c r="I587" t="str" cm="1">
        <f t="array" ref="I587">_xlfn.IFS(OR(H587=$S$2,H587=$S$13,H587=$S$5),"Other",OR(H587=$S$3,H587=$S$4,H587=$S$7,H587=$S$10,H587=$S$11),"Salem",OR(H587=$S$6),"Keizer",OR(H587=$S$8,H587=$S$9,H587=$S$12),"Marion")</f>
        <v>Salem</v>
      </c>
      <c r="L587">
        <v>362</v>
      </c>
      <c r="M587">
        <v>2005</v>
      </c>
      <c r="N587" t="s">
        <v>45</v>
      </c>
      <c r="O587">
        <v>0</v>
      </c>
    </row>
    <row r="588" spans="1:15" x14ac:dyDescent="0.25">
      <c r="A588">
        <v>362</v>
      </c>
      <c r="B588">
        <v>2021</v>
      </c>
      <c r="C588">
        <v>3</v>
      </c>
      <c r="D588">
        <v>0</v>
      </c>
      <c r="E588">
        <v>0</v>
      </c>
      <c r="F588" t="str" cm="1">
        <f t="array" ref="F588">_xlfn.XLOOKUP(A588&amp;B588,$L$2:$L$739&amp;$M$2:$M$739,$N$2:$N$739)</f>
        <v>Low</v>
      </c>
      <c r="G588">
        <f t="shared" si="9"/>
        <v>0</v>
      </c>
      <c r="H588" t="str">
        <f>_xlfn.XLOOKUP(A588,VE!$A$2:$A$247,VE!$B$2:$B$247)</f>
        <v>Salem_5</v>
      </c>
      <c r="I588" t="str" cm="1">
        <f t="array" ref="I588">_xlfn.IFS(OR(H588=$S$2,H588=$S$13,H588=$S$5),"Other",OR(H588=$S$3,H588=$S$4,H588=$S$7,H588=$S$10,H588=$S$11),"Salem",OR(H588=$S$6),"Keizer",OR(H588=$S$8,H588=$S$9,H588=$S$12),"Marion")</f>
        <v>Salem</v>
      </c>
      <c r="L588">
        <v>362</v>
      </c>
      <c r="M588">
        <v>2021</v>
      </c>
      <c r="N588" t="s">
        <v>45</v>
      </c>
      <c r="O588">
        <v>0</v>
      </c>
    </row>
    <row r="589" spans="1:15" x14ac:dyDescent="0.25">
      <c r="A589">
        <v>362</v>
      </c>
      <c r="B589">
        <v>2050</v>
      </c>
      <c r="C589">
        <v>0</v>
      </c>
      <c r="D589">
        <v>1</v>
      </c>
      <c r="E589">
        <v>0</v>
      </c>
      <c r="F589" t="str" cm="1">
        <f t="array" ref="F589">_xlfn.XLOOKUP(A589&amp;B589,$L$2:$L$739&amp;$M$2:$M$739,$N$2:$N$739)</f>
        <v>Low</v>
      </c>
      <c r="G589">
        <f t="shared" si="9"/>
        <v>0</v>
      </c>
      <c r="H589" t="str">
        <f>_xlfn.XLOOKUP(A589,VE!$A$2:$A$247,VE!$B$2:$B$247)</f>
        <v>Salem_5</v>
      </c>
      <c r="I589" t="str" cm="1">
        <f t="array" ref="I589">_xlfn.IFS(OR(H589=$S$2,H589=$S$13,H589=$S$5),"Other",OR(H589=$S$3,H589=$S$4,H589=$S$7,H589=$S$10,H589=$S$11),"Salem",OR(H589=$S$6),"Keizer",OR(H589=$S$8,H589=$S$9,H589=$S$12),"Marion")</f>
        <v>Salem</v>
      </c>
      <c r="L589">
        <v>362</v>
      </c>
      <c r="M589">
        <v>2050</v>
      </c>
      <c r="N589" t="s">
        <v>45</v>
      </c>
      <c r="O589">
        <v>0</v>
      </c>
    </row>
    <row r="590" spans="1:15" x14ac:dyDescent="0.25">
      <c r="A590">
        <v>363</v>
      </c>
      <c r="B590">
        <v>2005</v>
      </c>
      <c r="C590">
        <v>719</v>
      </c>
      <c r="D590">
        <v>191</v>
      </c>
      <c r="E590">
        <v>0</v>
      </c>
      <c r="F590" t="str" cm="1">
        <f t="array" ref="F590">_xlfn.XLOOKUP(A590&amp;B590,$L$2:$L$739&amp;$M$2:$M$739,$N$2:$N$739)</f>
        <v>Low</v>
      </c>
      <c r="G590">
        <f t="shared" si="9"/>
        <v>0</v>
      </c>
      <c r="H590" t="str">
        <f>_xlfn.XLOOKUP(A590,VE!$A$2:$A$247,VE!$B$2:$B$247)</f>
        <v>Salem_5</v>
      </c>
      <c r="I590" t="str" cm="1">
        <f t="array" ref="I590">_xlfn.IFS(OR(H590=$S$2,H590=$S$13,H590=$S$5),"Other",OR(H590=$S$3,H590=$S$4,H590=$S$7,H590=$S$10,H590=$S$11),"Salem",OR(H590=$S$6),"Keizer",OR(H590=$S$8,H590=$S$9,H590=$S$12),"Marion")</f>
        <v>Salem</v>
      </c>
      <c r="L590">
        <v>363</v>
      </c>
      <c r="M590">
        <v>2005</v>
      </c>
      <c r="N590" t="s">
        <v>45</v>
      </c>
      <c r="O590">
        <v>0</v>
      </c>
    </row>
    <row r="591" spans="1:15" x14ac:dyDescent="0.25">
      <c r="A591">
        <v>363</v>
      </c>
      <c r="B591">
        <v>2021</v>
      </c>
      <c r="C591">
        <v>676</v>
      </c>
      <c r="D591">
        <v>237</v>
      </c>
      <c r="E591">
        <v>0</v>
      </c>
      <c r="F591" t="str" cm="1">
        <f t="array" ref="F591">_xlfn.XLOOKUP(A591&amp;B591,$L$2:$L$739&amp;$M$2:$M$739,$N$2:$N$739)</f>
        <v>Low</v>
      </c>
      <c r="G591">
        <f t="shared" si="9"/>
        <v>0</v>
      </c>
      <c r="H591" t="str">
        <f>_xlfn.XLOOKUP(A591,VE!$A$2:$A$247,VE!$B$2:$B$247)</f>
        <v>Salem_5</v>
      </c>
      <c r="I591" t="str" cm="1">
        <f t="array" ref="I591">_xlfn.IFS(OR(H591=$S$2,H591=$S$13,H591=$S$5),"Other",OR(H591=$S$3,H591=$S$4,H591=$S$7,H591=$S$10,H591=$S$11),"Salem",OR(H591=$S$6),"Keizer",OR(H591=$S$8,H591=$S$9,H591=$S$12),"Marion")</f>
        <v>Salem</v>
      </c>
      <c r="L591">
        <v>363</v>
      </c>
      <c r="M591">
        <v>2021</v>
      </c>
      <c r="N591" t="s">
        <v>45</v>
      </c>
      <c r="O591">
        <v>0</v>
      </c>
    </row>
    <row r="592" spans="1:15" x14ac:dyDescent="0.25">
      <c r="A592">
        <v>363</v>
      </c>
      <c r="B592">
        <v>2050</v>
      </c>
      <c r="C592">
        <v>674</v>
      </c>
      <c r="D592">
        <v>268</v>
      </c>
      <c r="E592">
        <v>0</v>
      </c>
      <c r="F592" t="str" cm="1">
        <f t="array" ref="F592">_xlfn.XLOOKUP(A592&amp;B592,$L$2:$L$739&amp;$M$2:$M$739,$N$2:$N$739)</f>
        <v>Low</v>
      </c>
      <c r="G592">
        <f t="shared" si="9"/>
        <v>0</v>
      </c>
      <c r="H592" t="str">
        <f>_xlfn.XLOOKUP(A592,VE!$A$2:$A$247,VE!$B$2:$B$247)</f>
        <v>Salem_5</v>
      </c>
      <c r="I592" t="str" cm="1">
        <f t="array" ref="I592">_xlfn.IFS(OR(H592=$S$2,H592=$S$13,H592=$S$5),"Other",OR(H592=$S$3,H592=$S$4,H592=$S$7,H592=$S$10,H592=$S$11),"Salem",OR(H592=$S$6),"Keizer",OR(H592=$S$8,H592=$S$9,H592=$S$12),"Marion")</f>
        <v>Salem</v>
      </c>
      <c r="L592">
        <v>363</v>
      </c>
      <c r="M592">
        <v>2050</v>
      </c>
      <c r="N592" t="s">
        <v>45</v>
      </c>
      <c r="O592">
        <v>0</v>
      </c>
    </row>
    <row r="593" spans="1:15" x14ac:dyDescent="0.25">
      <c r="A593">
        <v>365</v>
      </c>
      <c r="B593">
        <v>2005</v>
      </c>
      <c r="C593">
        <v>185</v>
      </c>
      <c r="D593">
        <v>87</v>
      </c>
      <c r="E593">
        <v>0</v>
      </c>
      <c r="F593" t="str" cm="1">
        <f t="array" ref="F593">_xlfn.XLOOKUP(A593&amp;B593,$L$2:$L$739&amp;$M$2:$M$739,$N$2:$N$739)</f>
        <v>Low</v>
      </c>
      <c r="G593">
        <f t="shared" si="9"/>
        <v>0</v>
      </c>
      <c r="H593" t="str">
        <f>_xlfn.XLOOKUP(A593,VE!$A$2:$A$247,VE!$B$2:$B$247)</f>
        <v>Salem_5</v>
      </c>
      <c r="I593" t="str" cm="1">
        <f t="array" ref="I593">_xlfn.IFS(OR(H593=$S$2,H593=$S$13,H593=$S$5),"Other",OR(H593=$S$3,H593=$S$4,H593=$S$7,H593=$S$10,H593=$S$11),"Salem",OR(H593=$S$6),"Keizer",OR(H593=$S$8,H593=$S$9,H593=$S$12),"Marion")</f>
        <v>Salem</v>
      </c>
      <c r="L593">
        <v>365</v>
      </c>
      <c r="M593">
        <v>2005</v>
      </c>
      <c r="N593" t="s">
        <v>45</v>
      </c>
      <c r="O593">
        <v>0</v>
      </c>
    </row>
    <row r="594" spans="1:15" x14ac:dyDescent="0.25">
      <c r="A594">
        <v>365</v>
      </c>
      <c r="B594">
        <v>2021</v>
      </c>
      <c r="C594">
        <v>192</v>
      </c>
      <c r="D594">
        <v>103</v>
      </c>
      <c r="E594">
        <v>0</v>
      </c>
      <c r="F594" t="str" cm="1">
        <f t="array" ref="F594">_xlfn.XLOOKUP(A594&amp;B594,$L$2:$L$739&amp;$M$2:$M$739,$N$2:$N$739)</f>
        <v>Low</v>
      </c>
      <c r="G594">
        <f t="shared" si="9"/>
        <v>0</v>
      </c>
      <c r="H594" t="str">
        <f>_xlfn.XLOOKUP(A594,VE!$A$2:$A$247,VE!$B$2:$B$247)</f>
        <v>Salem_5</v>
      </c>
      <c r="I594" t="str" cm="1">
        <f t="array" ref="I594">_xlfn.IFS(OR(H594=$S$2,H594=$S$13,H594=$S$5),"Other",OR(H594=$S$3,H594=$S$4,H594=$S$7,H594=$S$10,H594=$S$11),"Salem",OR(H594=$S$6),"Keizer",OR(H594=$S$8,H594=$S$9,H594=$S$12),"Marion")</f>
        <v>Salem</v>
      </c>
      <c r="L594">
        <v>365</v>
      </c>
      <c r="M594">
        <v>2021</v>
      </c>
      <c r="N594" t="s">
        <v>45</v>
      </c>
      <c r="O594">
        <v>0</v>
      </c>
    </row>
    <row r="595" spans="1:15" x14ac:dyDescent="0.25">
      <c r="A595">
        <v>365</v>
      </c>
      <c r="B595">
        <v>2050</v>
      </c>
      <c r="C595">
        <v>191</v>
      </c>
      <c r="D595">
        <v>103</v>
      </c>
      <c r="E595">
        <v>0</v>
      </c>
      <c r="F595" t="str" cm="1">
        <f t="array" ref="F595">_xlfn.XLOOKUP(A595&amp;B595,$L$2:$L$739&amp;$M$2:$M$739,$N$2:$N$739)</f>
        <v>Low</v>
      </c>
      <c r="G595">
        <f t="shared" si="9"/>
        <v>0</v>
      </c>
      <c r="H595" t="str">
        <f>_xlfn.XLOOKUP(A595,VE!$A$2:$A$247,VE!$B$2:$B$247)</f>
        <v>Salem_5</v>
      </c>
      <c r="I595" t="str" cm="1">
        <f t="array" ref="I595">_xlfn.IFS(OR(H595=$S$2,H595=$S$13,H595=$S$5),"Other",OR(H595=$S$3,H595=$S$4,H595=$S$7,H595=$S$10,H595=$S$11),"Salem",OR(H595=$S$6),"Keizer",OR(H595=$S$8,H595=$S$9,H595=$S$12),"Marion")</f>
        <v>Salem</v>
      </c>
      <c r="L595">
        <v>365</v>
      </c>
      <c r="M595">
        <v>2050</v>
      </c>
      <c r="N595" t="s">
        <v>45</v>
      </c>
      <c r="O595">
        <v>0</v>
      </c>
    </row>
    <row r="596" spans="1:15" x14ac:dyDescent="0.25">
      <c r="A596">
        <v>366</v>
      </c>
      <c r="B596">
        <v>2005</v>
      </c>
      <c r="C596">
        <v>410</v>
      </c>
      <c r="D596">
        <v>378</v>
      </c>
      <c r="E596">
        <v>0</v>
      </c>
      <c r="F596" t="str" cm="1">
        <f t="array" ref="F596">_xlfn.XLOOKUP(A596&amp;B596,$L$2:$L$739&amp;$M$2:$M$739,$N$2:$N$739)</f>
        <v>Low</v>
      </c>
      <c r="G596">
        <f t="shared" si="9"/>
        <v>0</v>
      </c>
      <c r="H596" t="str">
        <f>_xlfn.XLOOKUP(A596,VE!$A$2:$A$247,VE!$B$2:$B$247)</f>
        <v>Salem_5</v>
      </c>
      <c r="I596" t="str" cm="1">
        <f t="array" ref="I596">_xlfn.IFS(OR(H596=$S$2,H596=$S$13,H596=$S$5),"Other",OR(H596=$S$3,H596=$S$4,H596=$S$7,H596=$S$10,H596=$S$11),"Salem",OR(H596=$S$6),"Keizer",OR(H596=$S$8,H596=$S$9,H596=$S$12),"Marion")</f>
        <v>Salem</v>
      </c>
      <c r="L596">
        <v>366</v>
      </c>
      <c r="M596">
        <v>2005</v>
      </c>
      <c r="N596" t="s">
        <v>45</v>
      </c>
      <c r="O596">
        <v>0</v>
      </c>
    </row>
    <row r="597" spans="1:15" x14ac:dyDescent="0.25">
      <c r="A597">
        <v>366</v>
      </c>
      <c r="B597">
        <v>2021</v>
      </c>
      <c r="C597">
        <v>347</v>
      </c>
      <c r="D597">
        <v>737</v>
      </c>
      <c r="E597">
        <v>0</v>
      </c>
      <c r="F597" t="str" cm="1">
        <f t="array" ref="F597">_xlfn.XLOOKUP(A597&amp;B597,$L$2:$L$739&amp;$M$2:$M$739,$N$2:$N$739)</f>
        <v>High</v>
      </c>
      <c r="G597">
        <f t="shared" si="9"/>
        <v>1084</v>
      </c>
      <c r="H597" t="str">
        <f>_xlfn.XLOOKUP(A597,VE!$A$2:$A$247,VE!$B$2:$B$247)</f>
        <v>Salem_5</v>
      </c>
      <c r="I597" t="str" cm="1">
        <f t="array" ref="I597">_xlfn.IFS(OR(H597=$S$2,H597=$S$13,H597=$S$5),"Other",OR(H597=$S$3,H597=$S$4,H597=$S$7,H597=$S$10,H597=$S$11),"Salem",OR(H597=$S$6),"Keizer",OR(H597=$S$8,H597=$S$9,H597=$S$12),"Marion")</f>
        <v>Salem</v>
      </c>
      <c r="L597">
        <v>366</v>
      </c>
      <c r="M597">
        <v>2021</v>
      </c>
      <c r="N597" t="s">
        <v>46</v>
      </c>
      <c r="O597">
        <v>1</v>
      </c>
    </row>
    <row r="598" spans="1:15" x14ac:dyDescent="0.25">
      <c r="A598">
        <v>366</v>
      </c>
      <c r="B598">
        <v>2050</v>
      </c>
      <c r="C598">
        <v>341</v>
      </c>
      <c r="D598">
        <v>800</v>
      </c>
      <c r="E598">
        <v>0</v>
      </c>
      <c r="F598" t="str" cm="1">
        <f t="array" ref="F598">_xlfn.XLOOKUP(A598&amp;B598,$L$2:$L$739&amp;$M$2:$M$739,$N$2:$N$739)</f>
        <v>High</v>
      </c>
      <c r="G598">
        <f t="shared" si="9"/>
        <v>1141</v>
      </c>
      <c r="H598" t="str">
        <f>_xlfn.XLOOKUP(A598,VE!$A$2:$A$247,VE!$B$2:$B$247)</f>
        <v>Salem_5</v>
      </c>
      <c r="I598" t="str" cm="1">
        <f t="array" ref="I598">_xlfn.IFS(OR(H598=$S$2,H598=$S$13,H598=$S$5),"Other",OR(H598=$S$3,H598=$S$4,H598=$S$7,H598=$S$10,H598=$S$11),"Salem",OR(H598=$S$6),"Keizer",OR(H598=$S$8,H598=$S$9,H598=$S$12),"Marion")</f>
        <v>Salem</v>
      </c>
      <c r="L598">
        <v>366</v>
      </c>
      <c r="M598">
        <v>2050</v>
      </c>
      <c r="N598" t="s">
        <v>46</v>
      </c>
      <c r="O598">
        <v>1</v>
      </c>
    </row>
    <row r="599" spans="1:15" x14ac:dyDescent="0.25">
      <c r="A599">
        <v>368</v>
      </c>
      <c r="B599">
        <v>2005</v>
      </c>
      <c r="C599">
        <v>727</v>
      </c>
      <c r="D599">
        <v>409</v>
      </c>
      <c r="E599">
        <v>0</v>
      </c>
      <c r="F599" t="str" cm="1">
        <f t="array" ref="F599">_xlfn.XLOOKUP(A599&amp;B599,$L$2:$L$739&amp;$M$2:$M$739,$N$2:$N$739)</f>
        <v>Low</v>
      </c>
      <c r="G599">
        <f t="shared" si="9"/>
        <v>0</v>
      </c>
      <c r="H599" t="str">
        <f>_xlfn.XLOOKUP(A599,VE!$A$2:$A$247,VE!$B$2:$B$247)</f>
        <v>Salem_5</v>
      </c>
      <c r="I599" t="str" cm="1">
        <f t="array" ref="I599">_xlfn.IFS(OR(H599=$S$2,H599=$S$13,H599=$S$5),"Other",OR(H599=$S$3,H599=$S$4,H599=$S$7,H599=$S$10,H599=$S$11),"Salem",OR(H599=$S$6),"Keizer",OR(H599=$S$8,H599=$S$9,H599=$S$12),"Marion")</f>
        <v>Salem</v>
      </c>
      <c r="L599">
        <v>368</v>
      </c>
      <c r="M599">
        <v>2005</v>
      </c>
      <c r="N599" t="s">
        <v>45</v>
      </c>
      <c r="O599">
        <v>0</v>
      </c>
    </row>
    <row r="600" spans="1:15" x14ac:dyDescent="0.25">
      <c r="A600">
        <v>368</v>
      </c>
      <c r="B600">
        <v>2021</v>
      </c>
      <c r="C600">
        <v>727</v>
      </c>
      <c r="D600">
        <v>409</v>
      </c>
      <c r="E600">
        <v>0</v>
      </c>
      <c r="F600" t="str" cm="1">
        <f t="array" ref="F600">_xlfn.XLOOKUP(A600&amp;B600,$L$2:$L$739&amp;$M$2:$M$739,$N$2:$N$739)</f>
        <v>Low</v>
      </c>
      <c r="G600">
        <f t="shared" si="9"/>
        <v>0</v>
      </c>
      <c r="H600" t="str">
        <f>_xlfn.XLOOKUP(A600,VE!$A$2:$A$247,VE!$B$2:$B$247)</f>
        <v>Salem_5</v>
      </c>
      <c r="I600" t="str" cm="1">
        <f t="array" ref="I600">_xlfn.IFS(OR(H600=$S$2,H600=$S$13,H600=$S$5),"Other",OR(H600=$S$3,H600=$S$4,H600=$S$7,H600=$S$10,H600=$S$11),"Salem",OR(H600=$S$6),"Keizer",OR(H600=$S$8,H600=$S$9,H600=$S$12),"Marion")</f>
        <v>Salem</v>
      </c>
      <c r="L600">
        <v>368</v>
      </c>
      <c r="M600">
        <v>2021</v>
      </c>
      <c r="N600" t="s">
        <v>45</v>
      </c>
      <c r="O600">
        <v>0</v>
      </c>
    </row>
    <row r="601" spans="1:15" x14ac:dyDescent="0.25">
      <c r="A601">
        <v>368</v>
      </c>
      <c r="B601">
        <v>2050</v>
      </c>
      <c r="C601">
        <v>730</v>
      </c>
      <c r="D601">
        <v>477</v>
      </c>
      <c r="E601">
        <v>0</v>
      </c>
      <c r="F601" t="str" cm="1">
        <f t="array" ref="F601">_xlfn.XLOOKUP(A601&amp;B601,$L$2:$L$739&amp;$M$2:$M$739,$N$2:$N$739)</f>
        <v>High</v>
      </c>
      <c r="G601">
        <f t="shared" si="9"/>
        <v>1207</v>
      </c>
      <c r="H601" t="str">
        <f>_xlfn.XLOOKUP(A601,VE!$A$2:$A$247,VE!$B$2:$B$247)</f>
        <v>Salem_5</v>
      </c>
      <c r="I601" t="str" cm="1">
        <f t="array" ref="I601">_xlfn.IFS(OR(H601=$S$2,H601=$S$13,H601=$S$5),"Other",OR(H601=$S$3,H601=$S$4,H601=$S$7,H601=$S$10,H601=$S$11),"Salem",OR(H601=$S$6),"Keizer",OR(H601=$S$8,H601=$S$9,H601=$S$12),"Marion")</f>
        <v>Salem</v>
      </c>
      <c r="L601">
        <v>368</v>
      </c>
      <c r="M601">
        <v>2050</v>
      </c>
      <c r="N601" t="s">
        <v>46</v>
      </c>
      <c r="O601">
        <v>1</v>
      </c>
    </row>
    <row r="602" spans="1:15" x14ac:dyDescent="0.25">
      <c r="A602">
        <v>373</v>
      </c>
      <c r="B602">
        <v>2005</v>
      </c>
      <c r="C602">
        <v>608</v>
      </c>
      <c r="D602">
        <v>141</v>
      </c>
      <c r="E602">
        <v>0</v>
      </c>
      <c r="F602" t="str" cm="1">
        <f t="array" ref="F602">_xlfn.XLOOKUP(A602&amp;B602,$L$2:$L$739&amp;$M$2:$M$739,$N$2:$N$739)</f>
        <v>Low</v>
      </c>
      <c r="G602">
        <f t="shared" si="9"/>
        <v>0</v>
      </c>
      <c r="H602" t="str">
        <f>_xlfn.XLOOKUP(A602,VE!$A$2:$A$247,VE!$B$2:$B$247)</f>
        <v>Salem_5</v>
      </c>
      <c r="I602" t="str" cm="1">
        <f t="array" ref="I602">_xlfn.IFS(OR(H602=$S$2,H602=$S$13,H602=$S$5),"Other",OR(H602=$S$3,H602=$S$4,H602=$S$7,H602=$S$10,H602=$S$11),"Salem",OR(H602=$S$6),"Keizer",OR(H602=$S$8,H602=$S$9,H602=$S$12),"Marion")</f>
        <v>Salem</v>
      </c>
      <c r="L602">
        <v>373</v>
      </c>
      <c r="M602">
        <v>2005</v>
      </c>
      <c r="N602" t="s">
        <v>45</v>
      </c>
      <c r="O602">
        <v>0</v>
      </c>
    </row>
    <row r="603" spans="1:15" x14ac:dyDescent="0.25">
      <c r="A603">
        <v>373</v>
      </c>
      <c r="B603">
        <v>2021</v>
      </c>
      <c r="C603">
        <v>797</v>
      </c>
      <c r="D603">
        <v>89</v>
      </c>
      <c r="E603">
        <v>0</v>
      </c>
      <c r="F603" t="str" cm="1">
        <f t="array" ref="F603">_xlfn.XLOOKUP(A603&amp;B603,$L$2:$L$739&amp;$M$2:$M$739,$N$2:$N$739)</f>
        <v>Low</v>
      </c>
      <c r="G603">
        <f t="shared" si="9"/>
        <v>0</v>
      </c>
      <c r="H603" t="str">
        <f>_xlfn.XLOOKUP(A603,VE!$A$2:$A$247,VE!$B$2:$B$247)</f>
        <v>Salem_5</v>
      </c>
      <c r="I603" t="str" cm="1">
        <f t="array" ref="I603">_xlfn.IFS(OR(H603=$S$2,H603=$S$13,H603=$S$5),"Other",OR(H603=$S$3,H603=$S$4,H603=$S$7,H603=$S$10,H603=$S$11),"Salem",OR(H603=$S$6),"Keizer",OR(H603=$S$8,H603=$S$9,H603=$S$12),"Marion")</f>
        <v>Salem</v>
      </c>
      <c r="L603">
        <v>373</v>
      </c>
      <c r="M603">
        <v>2021</v>
      </c>
      <c r="N603" t="s">
        <v>45</v>
      </c>
      <c r="O603">
        <v>0</v>
      </c>
    </row>
    <row r="604" spans="1:15" x14ac:dyDescent="0.25">
      <c r="A604">
        <v>373</v>
      </c>
      <c r="B604">
        <v>2050</v>
      </c>
      <c r="C604">
        <v>1346</v>
      </c>
      <c r="D604">
        <v>348</v>
      </c>
      <c r="E604">
        <v>0</v>
      </c>
      <c r="F604" t="str" cm="1">
        <f t="array" ref="F604">_xlfn.XLOOKUP(A604&amp;B604,$L$2:$L$739&amp;$M$2:$M$739,$N$2:$N$739)</f>
        <v>High</v>
      </c>
      <c r="G604">
        <f t="shared" si="9"/>
        <v>1694</v>
      </c>
      <c r="H604" t="str">
        <f>_xlfn.XLOOKUP(A604,VE!$A$2:$A$247,VE!$B$2:$B$247)</f>
        <v>Salem_5</v>
      </c>
      <c r="I604" t="str" cm="1">
        <f t="array" ref="I604">_xlfn.IFS(OR(H604=$S$2,H604=$S$13,H604=$S$5),"Other",OR(H604=$S$3,H604=$S$4,H604=$S$7,H604=$S$10,H604=$S$11),"Salem",OR(H604=$S$6),"Keizer",OR(H604=$S$8,H604=$S$9,H604=$S$12),"Marion")</f>
        <v>Salem</v>
      </c>
      <c r="L604">
        <v>373</v>
      </c>
      <c r="M604">
        <v>2050</v>
      </c>
      <c r="N604" t="s">
        <v>46</v>
      </c>
      <c r="O604">
        <v>1</v>
      </c>
    </row>
    <row r="605" spans="1:15" x14ac:dyDescent="0.25">
      <c r="A605">
        <v>374</v>
      </c>
      <c r="B605">
        <v>2005</v>
      </c>
      <c r="C605">
        <v>356</v>
      </c>
      <c r="D605">
        <v>19</v>
      </c>
      <c r="E605">
        <v>0</v>
      </c>
      <c r="F605" t="str" cm="1">
        <f t="array" ref="F605">_xlfn.XLOOKUP(A605&amp;B605,$L$2:$L$739&amp;$M$2:$M$739,$N$2:$N$739)</f>
        <v>Low</v>
      </c>
      <c r="G605">
        <f t="shared" si="9"/>
        <v>0</v>
      </c>
      <c r="H605" t="str">
        <f>_xlfn.XLOOKUP(A605,VE!$A$2:$A$247,VE!$B$2:$B$247)</f>
        <v>Salem_5</v>
      </c>
      <c r="I605" t="str" cm="1">
        <f t="array" ref="I605">_xlfn.IFS(OR(H605=$S$2,H605=$S$13,H605=$S$5),"Other",OR(H605=$S$3,H605=$S$4,H605=$S$7,H605=$S$10,H605=$S$11),"Salem",OR(H605=$S$6),"Keizer",OR(H605=$S$8,H605=$S$9,H605=$S$12),"Marion")</f>
        <v>Salem</v>
      </c>
      <c r="L605">
        <v>374</v>
      </c>
      <c r="M605">
        <v>2005</v>
      </c>
      <c r="N605" t="s">
        <v>45</v>
      </c>
      <c r="O605">
        <v>0</v>
      </c>
    </row>
    <row r="606" spans="1:15" x14ac:dyDescent="0.25">
      <c r="A606">
        <v>374</v>
      </c>
      <c r="B606">
        <v>2021</v>
      </c>
      <c r="C606">
        <v>487</v>
      </c>
      <c r="D606">
        <v>306</v>
      </c>
      <c r="E606">
        <v>0</v>
      </c>
      <c r="F606" t="str" cm="1">
        <f t="array" ref="F606">_xlfn.XLOOKUP(A606&amp;B606,$L$2:$L$739&amp;$M$2:$M$739,$N$2:$N$739)</f>
        <v>Low</v>
      </c>
      <c r="G606">
        <f t="shared" si="9"/>
        <v>0</v>
      </c>
      <c r="H606" t="str">
        <f>_xlfn.XLOOKUP(A606,VE!$A$2:$A$247,VE!$B$2:$B$247)</f>
        <v>Salem_5</v>
      </c>
      <c r="I606" t="str" cm="1">
        <f t="array" ref="I606">_xlfn.IFS(OR(H606=$S$2,H606=$S$13,H606=$S$5),"Other",OR(H606=$S$3,H606=$S$4,H606=$S$7,H606=$S$10,H606=$S$11),"Salem",OR(H606=$S$6),"Keizer",OR(H606=$S$8,H606=$S$9,H606=$S$12),"Marion")</f>
        <v>Salem</v>
      </c>
      <c r="L606">
        <v>374</v>
      </c>
      <c r="M606">
        <v>2021</v>
      </c>
      <c r="N606" t="s">
        <v>45</v>
      </c>
      <c r="O606">
        <v>0</v>
      </c>
    </row>
    <row r="607" spans="1:15" x14ac:dyDescent="0.25">
      <c r="A607">
        <v>374</v>
      </c>
      <c r="B607">
        <v>2050</v>
      </c>
      <c r="C607">
        <v>502</v>
      </c>
      <c r="D607">
        <v>598</v>
      </c>
      <c r="E607">
        <v>0</v>
      </c>
      <c r="F607" t="str" cm="1">
        <f t="array" ref="F607">_xlfn.XLOOKUP(A607&amp;B607,$L$2:$L$739&amp;$M$2:$M$739,$N$2:$N$739)</f>
        <v>High</v>
      </c>
      <c r="G607">
        <f t="shared" si="9"/>
        <v>1100</v>
      </c>
      <c r="H607" t="str">
        <f>_xlfn.XLOOKUP(A607,VE!$A$2:$A$247,VE!$B$2:$B$247)</f>
        <v>Salem_5</v>
      </c>
      <c r="I607" t="str" cm="1">
        <f t="array" ref="I607">_xlfn.IFS(OR(H607=$S$2,H607=$S$13,H607=$S$5),"Other",OR(H607=$S$3,H607=$S$4,H607=$S$7,H607=$S$10,H607=$S$11),"Salem",OR(H607=$S$6),"Keizer",OR(H607=$S$8,H607=$S$9,H607=$S$12),"Marion")</f>
        <v>Salem</v>
      </c>
      <c r="L607">
        <v>374</v>
      </c>
      <c r="M607">
        <v>2050</v>
      </c>
      <c r="N607" t="s">
        <v>46</v>
      </c>
      <c r="O607">
        <v>1</v>
      </c>
    </row>
    <row r="608" spans="1:15" x14ac:dyDescent="0.25">
      <c r="A608">
        <v>376</v>
      </c>
      <c r="B608">
        <v>2005</v>
      </c>
      <c r="C608">
        <v>264</v>
      </c>
      <c r="D608">
        <v>224</v>
      </c>
      <c r="E608">
        <v>0</v>
      </c>
      <c r="F608" t="str" cm="1">
        <f t="array" ref="F608">_xlfn.XLOOKUP(A608&amp;B608,$L$2:$L$739&amp;$M$2:$M$739,$N$2:$N$739)</f>
        <v>Low</v>
      </c>
      <c r="G608">
        <f t="shared" si="9"/>
        <v>0</v>
      </c>
      <c r="H608" t="str">
        <f>_xlfn.XLOOKUP(A608,VE!$A$2:$A$247,VE!$B$2:$B$247)</f>
        <v>Salem_5</v>
      </c>
      <c r="I608" t="str" cm="1">
        <f t="array" ref="I608">_xlfn.IFS(OR(H608=$S$2,H608=$S$13,H608=$S$5),"Other",OR(H608=$S$3,H608=$S$4,H608=$S$7,H608=$S$10,H608=$S$11),"Salem",OR(H608=$S$6),"Keizer",OR(H608=$S$8,H608=$S$9,H608=$S$12),"Marion")</f>
        <v>Salem</v>
      </c>
      <c r="L608">
        <v>376</v>
      </c>
      <c r="M608">
        <v>2005</v>
      </c>
      <c r="N608" t="s">
        <v>45</v>
      </c>
      <c r="O608">
        <v>0</v>
      </c>
    </row>
    <row r="609" spans="1:15" x14ac:dyDescent="0.25">
      <c r="A609">
        <v>376</v>
      </c>
      <c r="B609">
        <v>2021</v>
      </c>
      <c r="C609">
        <v>226</v>
      </c>
      <c r="D609">
        <v>299</v>
      </c>
      <c r="E609">
        <v>0</v>
      </c>
      <c r="F609" t="str" cm="1">
        <f t="array" ref="F609">_xlfn.XLOOKUP(A609&amp;B609,$L$2:$L$739&amp;$M$2:$M$739,$N$2:$N$739)</f>
        <v>High</v>
      </c>
      <c r="G609">
        <f t="shared" si="9"/>
        <v>525</v>
      </c>
      <c r="H609" t="str">
        <f>_xlfn.XLOOKUP(A609,VE!$A$2:$A$247,VE!$B$2:$B$247)</f>
        <v>Salem_5</v>
      </c>
      <c r="I609" t="str" cm="1">
        <f t="array" ref="I609">_xlfn.IFS(OR(H609=$S$2,H609=$S$13,H609=$S$5),"Other",OR(H609=$S$3,H609=$S$4,H609=$S$7,H609=$S$10,H609=$S$11),"Salem",OR(H609=$S$6),"Keizer",OR(H609=$S$8,H609=$S$9,H609=$S$12),"Marion")</f>
        <v>Salem</v>
      </c>
      <c r="L609">
        <v>376</v>
      </c>
      <c r="M609">
        <v>2021</v>
      </c>
      <c r="N609" t="s">
        <v>46</v>
      </c>
      <c r="O609">
        <v>1</v>
      </c>
    </row>
    <row r="610" spans="1:15" x14ac:dyDescent="0.25">
      <c r="A610">
        <v>376</v>
      </c>
      <c r="B610">
        <v>2050</v>
      </c>
      <c r="C610">
        <v>227</v>
      </c>
      <c r="D610">
        <v>301</v>
      </c>
      <c r="E610">
        <v>0</v>
      </c>
      <c r="F610" t="str" cm="1">
        <f t="array" ref="F610">_xlfn.XLOOKUP(A610&amp;B610,$L$2:$L$739&amp;$M$2:$M$739,$N$2:$N$739)</f>
        <v>High</v>
      </c>
      <c r="G610">
        <f t="shared" si="9"/>
        <v>528</v>
      </c>
      <c r="H610" t="str">
        <f>_xlfn.XLOOKUP(A610,VE!$A$2:$A$247,VE!$B$2:$B$247)</f>
        <v>Salem_5</v>
      </c>
      <c r="I610" t="str" cm="1">
        <f t="array" ref="I610">_xlfn.IFS(OR(H610=$S$2,H610=$S$13,H610=$S$5),"Other",OR(H610=$S$3,H610=$S$4,H610=$S$7,H610=$S$10,H610=$S$11),"Salem",OR(H610=$S$6),"Keizer",OR(H610=$S$8,H610=$S$9,H610=$S$12),"Marion")</f>
        <v>Salem</v>
      </c>
      <c r="L610">
        <v>376</v>
      </c>
      <c r="M610">
        <v>2050</v>
      </c>
      <c r="N610" t="s">
        <v>46</v>
      </c>
      <c r="O610">
        <v>1</v>
      </c>
    </row>
    <row r="611" spans="1:15" x14ac:dyDescent="0.25">
      <c r="A611">
        <v>378</v>
      </c>
      <c r="B611">
        <v>2005</v>
      </c>
      <c r="C611">
        <v>562</v>
      </c>
      <c r="D611">
        <v>56</v>
      </c>
      <c r="E611">
        <v>0</v>
      </c>
      <c r="F611" t="str" cm="1">
        <f t="array" ref="F611">_xlfn.XLOOKUP(A611&amp;B611,$L$2:$L$739&amp;$M$2:$M$739,$N$2:$N$739)</f>
        <v>Low</v>
      </c>
      <c r="G611">
        <f t="shared" si="9"/>
        <v>0</v>
      </c>
      <c r="H611" t="str">
        <f>_xlfn.XLOOKUP(A611,VE!$A$2:$A$247,VE!$B$2:$B$247)</f>
        <v>Salem_5</v>
      </c>
      <c r="I611" t="str" cm="1">
        <f t="array" ref="I611">_xlfn.IFS(OR(H611=$S$2,H611=$S$13,H611=$S$5),"Other",OR(H611=$S$3,H611=$S$4,H611=$S$7,H611=$S$10,H611=$S$11),"Salem",OR(H611=$S$6),"Keizer",OR(H611=$S$8,H611=$S$9,H611=$S$12),"Marion")</f>
        <v>Salem</v>
      </c>
      <c r="L611">
        <v>378</v>
      </c>
      <c r="M611">
        <v>2005</v>
      </c>
      <c r="N611" t="s">
        <v>45</v>
      </c>
      <c r="O611">
        <v>0</v>
      </c>
    </row>
    <row r="612" spans="1:15" x14ac:dyDescent="0.25">
      <c r="A612">
        <v>378</v>
      </c>
      <c r="B612">
        <v>2021</v>
      </c>
      <c r="C612">
        <v>742</v>
      </c>
      <c r="D612">
        <v>0</v>
      </c>
      <c r="E612">
        <v>0</v>
      </c>
      <c r="F612" t="str" cm="1">
        <f t="array" ref="F612">_xlfn.XLOOKUP(A612&amp;B612,$L$2:$L$739&amp;$M$2:$M$739,$N$2:$N$739)</f>
        <v>Low</v>
      </c>
      <c r="G612">
        <f t="shared" si="9"/>
        <v>0</v>
      </c>
      <c r="H612" t="str">
        <f>_xlfn.XLOOKUP(A612,VE!$A$2:$A$247,VE!$B$2:$B$247)</f>
        <v>Salem_5</v>
      </c>
      <c r="I612" t="str" cm="1">
        <f t="array" ref="I612">_xlfn.IFS(OR(H612=$S$2,H612=$S$13,H612=$S$5),"Other",OR(H612=$S$3,H612=$S$4,H612=$S$7,H612=$S$10,H612=$S$11),"Salem",OR(H612=$S$6),"Keizer",OR(H612=$S$8,H612=$S$9,H612=$S$12),"Marion")</f>
        <v>Salem</v>
      </c>
      <c r="L612">
        <v>378</v>
      </c>
      <c r="M612">
        <v>2021</v>
      </c>
      <c r="N612" t="s">
        <v>45</v>
      </c>
      <c r="O612">
        <v>0</v>
      </c>
    </row>
    <row r="613" spans="1:15" x14ac:dyDescent="0.25">
      <c r="A613">
        <v>378</v>
      </c>
      <c r="B613">
        <v>2050</v>
      </c>
      <c r="C613">
        <v>757</v>
      </c>
      <c r="D613">
        <v>0</v>
      </c>
      <c r="E613">
        <v>0</v>
      </c>
      <c r="F613" t="str" cm="1">
        <f t="array" ref="F613">_xlfn.XLOOKUP(A613&amp;B613,$L$2:$L$739&amp;$M$2:$M$739,$N$2:$N$739)</f>
        <v>Low</v>
      </c>
      <c r="G613">
        <f t="shared" si="9"/>
        <v>0</v>
      </c>
      <c r="H613" t="str">
        <f>_xlfn.XLOOKUP(A613,VE!$A$2:$A$247,VE!$B$2:$B$247)</f>
        <v>Salem_5</v>
      </c>
      <c r="I613" t="str" cm="1">
        <f t="array" ref="I613">_xlfn.IFS(OR(H613=$S$2,H613=$S$13,H613=$S$5),"Other",OR(H613=$S$3,H613=$S$4,H613=$S$7,H613=$S$10,H613=$S$11),"Salem",OR(H613=$S$6),"Keizer",OR(H613=$S$8,H613=$S$9,H613=$S$12),"Marion")</f>
        <v>Salem</v>
      </c>
      <c r="L613">
        <v>378</v>
      </c>
      <c r="M613">
        <v>2050</v>
      </c>
      <c r="N613" t="s">
        <v>45</v>
      </c>
      <c r="O613">
        <v>0</v>
      </c>
    </row>
    <row r="614" spans="1:15" x14ac:dyDescent="0.25">
      <c r="A614">
        <v>379</v>
      </c>
      <c r="B614">
        <v>2005</v>
      </c>
      <c r="C614">
        <v>464</v>
      </c>
      <c r="D614">
        <v>14</v>
      </c>
      <c r="E614">
        <v>0</v>
      </c>
      <c r="F614" t="str" cm="1">
        <f t="array" ref="F614">_xlfn.XLOOKUP(A614&amp;B614,$L$2:$L$739&amp;$M$2:$M$739,$N$2:$N$739)</f>
        <v>Low</v>
      </c>
      <c r="G614">
        <f t="shared" si="9"/>
        <v>0</v>
      </c>
      <c r="H614" t="str">
        <f>_xlfn.XLOOKUP(A614,VE!$A$2:$A$247,VE!$B$2:$B$247)</f>
        <v>Salem_5</v>
      </c>
      <c r="I614" t="str" cm="1">
        <f t="array" ref="I614">_xlfn.IFS(OR(H614=$S$2,H614=$S$13,H614=$S$5),"Other",OR(H614=$S$3,H614=$S$4,H614=$S$7,H614=$S$10,H614=$S$11),"Salem",OR(H614=$S$6),"Keizer",OR(H614=$S$8,H614=$S$9,H614=$S$12),"Marion")</f>
        <v>Salem</v>
      </c>
      <c r="L614">
        <v>379</v>
      </c>
      <c r="M614">
        <v>2005</v>
      </c>
      <c r="N614" t="s">
        <v>45</v>
      </c>
      <c r="O614">
        <v>0</v>
      </c>
    </row>
    <row r="615" spans="1:15" x14ac:dyDescent="0.25">
      <c r="A615">
        <v>379</v>
      </c>
      <c r="B615">
        <v>2021</v>
      </c>
      <c r="C615">
        <v>464</v>
      </c>
      <c r="D615">
        <v>14</v>
      </c>
      <c r="E615">
        <v>0</v>
      </c>
      <c r="F615" t="str" cm="1">
        <f t="array" ref="F615">_xlfn.XLOOKUP(A615&amp;B615,$L$2:$L$739&amp;$M$2:$M$739,$N$2:$N$739)</f>
        <v>Low</v>
      </c>
      <c r="G615">
        <f t="shared" si="9"/>
        <v>0</v>
      </c>
      <c r="H615" t="str">
        <f>_xlfn.XLOOKUP(A615,VE!$A$2:$A$247,VE!$B$2:$B$247)</f>
        <v>Salem_5</v>
      </c>
      <c r="I615" t="str" cm="1">
        <f t="array" ref="I615">_xlfn.IFS(OR(H615=$S$2,H615=$S$13,H615=$S$5),"Other",OR(H615=$S$3,H615=$S$4,H615=$S$7,H615=$S$10,H615=$S$11),"Salem",OR(H615=$S$6),"Keizer",OR(H615=$S$8,H615=$S$9,H615=$S$12),"Marion")</f>
        <v>Salem</v>
      </c>
      <c r="L615">
        <v>379</v>
      </c>
      <c r="M615">
        <v>2021</v>
      </c>
      <c r="N615" t="s">
        <v>45</v>
      </c>
      <c r="O615">
        <v>0</v>
      </c>
    </row>
    <row r="616" spans="1:15" x14ac:dyDescent="0.25">
      <c r="A616">
        <v>379</v>
      </c>
      <c r="B616">
        <v>2050</v>
      </c>
      <c r="C616">
        <v>464</v>
      </c>
      <c r="D616">
        <v>14</v>
      </c>
      <c r="E616">
        <v>0</v>
      </c>
      <c r="F616" t="str" cm="1">
        <f t="array" ref="F616">_xlfn.XLOOKUP(A616&amp;B616,$L$2:$L$739&amp;$M$2:$M$739,$N$2:$N$739)</f>
        <v>Low</v>
      </c>
      <c r="G616">
        <f t="shared" si="9"/>
        <v>0</v>
      </c>
      <c r="H616" t="str">
        <f>_xlfn.XLOOKUP(A616,VE!$A$2:$A$247,VE!$B$2:$B$247)</f>
        <v>Salem_5</v>
      </c>
      <c r="I616" t="str" cm="1">
        <f t="array" ref="I616">_xlfn.IFS(OR(H616=$S$2,H616=$S$13,H616=$S$5),"Other",OR(H616=$S$3,H616=$S$4,H616=$S$7,H616=$S$10,H616=$S$11),"Salem",OR(H616=$S$6),"Keizer",OR(H616=$S$8,H616=$S$9,H616=$S$12),"Marion")</f>
        <v>Salem</v>
      </c>
      <c r="L616">
        <v>379</v>
      </c>
      <c r="M616">
        <v>2050</v>
      </c>
      <c r="N616" t="s">
        <v>45</v>
      </c>
      <c r="O616">
        <v>0</v>
      </c>
    </row>
    <row r="617" spans="1:15" x14ac:dyDescent="0.25">
      <c r="A617">
        <v>380</v>
      </c>
      <c r="B617">
        <v>2005</v>
      </c>
      <c r="C617">
        <v>953</v>
      </c>
      <c r="D617">
        <v>130</v>
      </c>
      <c r="E617">
        <v>0</v>
      </c>
      <c r="F617" t="str" cm="1">
        <f t="array" ref="F617">_xlfn.XLOOKUP(A617&amp;B617,$L$2:$L$739&amp;$M$2:$M$739,$N$2:$N$739)</f>
        <v>Low</v>
      </c>
      <c r="G617">
        <f t="shared" si="9"/>
        <v>0</v>
      </c>
      <c r="H617" t="str">
        <f>_xlfn.XLOOKUP(A617,VE!$A$2:$A$247,VE!$B$2:$B$247)</f>
        <v>Salem_5</v>
      </c>
      <c r="I617" t="str" cm="1">
        <f t="array" ref="I617">_xlfn.IFS(OR(H617=$S$2,H617=$S$13,H617=$S$5),"Other",OR(H617=$S$3,H617=$S$4,H617=$S$7,H617=$S$10,H617=$S$11),"Salem",OR(H617=$S$6),"Keizer",OR(H617=$S$8,H617=$S$9,H617=$S$12),"Marion")</f>
        <v>Salem</v>
      </c>
      <c r="L617">
        <v>380</v>
      </c>
      <c r="M617">
        <v>2005</v>
      </c>
      <c r="N617" t="s">
        <v>45</v>
      </c>
      <c r="O617">
        <v>0</v>
      </c>
    </row>
    <row r="618" spans="1:15" x14ac:dyDescent="0.25">
      <c r="A618">
        <v>380</v>
      </c>
      <c r="B618">
        <v>2021</v>
      </c>
      <c r="C618">
        <v>974</v>
      </c>
      <c r="D618">
        <v>146</v>
      </c>
      <c r="E618">
        <v>0</v>
      </c>
      <c r="F618" t="str" cm="1">
        <f t="array" ref="F618">_xlfn.XLOOKUP(A618&amp;B618,$L$2:$L$739&amp;$M$2:$M$739,$N$2:$N$739)</f>
        <v>Low</v>
      </c>
      <c r="G618">
        <f t="shared" si="9"/>
        <v>0</v>
      </c>
      <c r="H618" t="str">
        <f>_xlfn.XLOOKUP(A618,VE!$A$2:$A$247,VE!$B$2:$B$247)</f>
        <v>Salem_5</v>
      </c>
      <c r="I618" t="str" cm="1">
        <f t="array" ref="I618">_xlfn.IFS(OR(H618=$S$2,H618=$S$13,H618=$S$5),"Other",OR(H618=$S$3,H618=$S$4,H618=$S$7,H618=$S$10,H618=$S$11),"Salem",OR(H618=$S$6),"Keizer",OR(H618=$S$8,H618=$S$9,H618=$S$12),"Marion")</f>
        <v>Salem</v>
      </c>
      <c r="L618">
        <v>380</v>
      </c>
      <c r="M618">
        <v>2021</v>
      </c>
      <c r="N618" t="s">
        <v>45</v>
      </c>
      <c r="O618">
        <v>0</v>
      </c>
    </row>
    <row r="619" spans="1:15" x14ac:dyDescent="0.25">
      <c r="A619">
        <v>380</v>
      </c>
      <c r="B619">
        <v>2050</v>
      </c>
      <c r="C619">
        <v>994</v>
      </c>
      <c r="D619">
        <v>149</v>
      </c>
      <c r="E619">
        <v>0</v>
      </c>
      <c r="F619" t="str" cm="1">
        <f t="array" ref="F619">_xlfn.XLOOKUP(A619&amp;B619,$L$2:$L$739&amp;$M$2:$M$739,$N$2:$N$739)</f>
        <v>Low</v>
      </c>
      <c r="G619">
        <f t="shared" si="9"/>
        <v>0</v>
      </c>
      <c r="H619" t="str">
        <f>_xlfn.XLOOKUP(A619,VE!$A$2:$A$247,VE!$B$2:$B$247)</f>
        <v>Salem_5</v>
      </c>
      <c r="I619" t="str" cm="1">
        <f t="array" ref="I619">_xlfn.IFS(OR(H619=$S$2,H619=$S$13,H619=$S$5),"Other",OR(H619=$S$3,H619=$S$4,H619=$S$7,H619=$S$10,H619=$S$11),"Salem",OR(H619=$S$6),"Keizer",OR(H619=$S$8,H619=$S$9,H619=$S$12),"Marion")</f>
        <v>Salem</v>
      </c>
      <c r="L619">
        <v>380</v>
      </c>
      <c r="M619">
        <v>2050</v>
      </c>
      <c r="N619" t="s">
        <v>45</v>
      </c>
      <c r="O619">
        <v>0</v>
      </c>
    </row>
    <row r="620" spans="1:15" x14ac:dyDescent="0.25">
      <c r="A620">
        <v>381</v>
      </c>
      <c r="B620">
        <v>2005</v>
      </c>
      <c r="C620">
        <v>0</v>
      </c>
      <c r="D620">
        <v>47</v>
      </c>
      <c r="E620">
        <v>0</v>
      </c>
      <c r="F620" t="str" cm="1">
        <f t="array" ref="F620">_xlfn.XLOOKUP(A620&amp;B620,$L$2:$L$739&amp;$M$2:$M$739,$N$2:$N$739)</f>
        <v>Low</v>
      </c>
      <c r="G620">
        <f t="shared" si="9"/>
        <v>0</v>
      </c>
      <c r="H620" t="str">
        <f>_xlfn.XLOOKUP(A620,VE!$A$2:$A$247,VE!$B$2:$B$247)</f>
        <v>Salem_5</v>
      </c>
      <c r="I620" t="str" cm="1">
        <f t="array" ref="I620">_xlfn.IFS(OR(H620=$S$2,H620=$S$13,H620=$S$5),"Other",OR(H620=$S$3,H620=$S$4,H620=$S$7,H620=$S$10,H620=$S$11),"Salem",OR(H620=$S$6),"Keizer",OR(H620=$S$8,H620=$S$9,H620=$S$12),"Marion")</f>
        <v>Salem</v>
      </c>
      <c r="L620">
        <v>381</v>
      </c>
      <c r="M620">
        <v>2005</v>
      </c>
      <c r="N620" t="s">
        <v>45</v>
      </c>
      <c r="O620">
        <v>0</v>
      </c>
    </row>
    <row r="621" spans="1:15" x14ac:dyDescent="0.25">
      <c r="A621">
        <v>381</v>
      </c>
      <c r="B621">
        <v>2021</v>
      </c>
      <c r="C621">
        <v>0</v>
      </c>
      <c r="D621">
        <v>47</v>
      </c>
      <c r="E621">
        <v>0</v>
      </c>
      <c r="F621" t="str" cm="1">
        <f t="array" ref="F621">_xlfn.XLOOKUP(A621&amp;B621,$L$2:$L$739&amp;$M$2:$M$739,$N$2:$N$739)</f>
        <v>High</v>
      </c>
      <c r="G621">
        <f t="shared" si="9"/>
        <v>47</v>
      </c>
      <c r="H621" t="str">
        <f>_xlfn.XLOOKUP(A621,VE!$A$2:$A$247,VE!$B$2:$B$247)</f>
        <v>Salem_5</v>
      </c>
      <c r="I621" t="str" cm="1">
        <f t="array" ref="I621">_xlfn.IFS(OR(H621=$S$2,H621=$S$13,H621=$S$5),"Other",OR(H621=$S$3,H621=$S$4,H621=$S$7,H621=$S$10,H621=$S$11),"Salem",OR(H621=$S$6),"Keizer",OR(H621=$S$8,H621=$S$9,H621=$S$12),"Marion")</f>
        <v>Salem</v>
      </c>
      <c r="L621">
        <v>381</v>
      </c>
      <c r="M621">
        <v>2021</v>
      </c>
      <c r="N621" t="s">
        <v>46</v>
      </c>
      <c r="O621">
        <v>1</v>
      </c>
    </row>
    <row r="622" spans="1:15" x14ac:dyDescent="0.25">
      <c r="A622">
        <v>381</v>
      </c>
      <c r="B622">
        <v>2050</v>
      </c>
      <c r="C622">
        <v>0</v>
      </c>
      <c r="D622">
        <v>92</v>
      </c>
      <c r="E622">
        <v>0</v>
      </c>
      <c r="F622" t="str" cm="1">
        <f t="array" ref="F622">_xlfn.XLOOKUP(A622&amp;B622,$L$2:$L$739&amp;$M$2:$M$739,$N$2:$N$739)</f>
        <v>High</v>
      </c>
      <c r="G622">
        <f t="shared" si="9"/>
        <v>92</v>
      </c>
      <c r="H622" t="str">
        <f>_xlfn.XLOOKUP(A622,VE!$A$2:$A$247,VE!$B$2:$B$247)</f>
        <v>Salem_5</v>
      </c>
      <c r="I622" t="str" cm="1">
        <f t="array" ref="I622">_xlfn.IFS(OR(H622=$S$2,H622=$S$13,H622=$S$5),"Other",OR(H622=$S$3,H622=$S$4,H622=$S$7,H622=$S$10,H622=$S$11),"Salem",OR(H622=$S$6),"Keizer",OR(H622=$S$8,H622=$S$9,H622=$S$12),"Marion")</f>
        <v>Salem</v>
      </c>
      <c r="L622">
        <v>381</v>
      </c>
      <c r="M622">
        <v>2050</v>
      </c>
      <c r="N622" t="s">
        <v>46</v>
      </c>
      <c r="O622">
        <v>1</v>
      </c>
    </row>
    <row r="623" spans="1:15" x14ac:dyDescent="0.25">
      <c r="A623">
        <v>382</v>
      </c>
      <c r="B623">
        <v>2005</v>
      </c>
      <c r="C623">
        <v>124</v>
      </c>
      <c r="D623">
        <v>2</v>
      </c>
      <c r="E623">
        <v>0</v>
      </c>
      <c r="F623" t="str" cm="1">
        <f t="array" ref="F623">_xlfn.XLOOKUP(A623&amp;B623,$L$2:$L$739&amp;$M$2:$M$739,$N$2:$N$739)</f>
        <v>Low</v>
      </c>
      <c r="G623">
        <f t="shared" si="9"/>
        <v>0</v>
      </c>
      <c r="H623" t="str">
        <f>_xlfn.XLOOKUP(A623,VE!$A$2:$A$247,VE!$B$2:$B$247)</f>
        <v>Salem_5</v>
      </c>
      <c r="I623" t="str" cm="1">
        <f t="array" ref="I623">_xlfn.IFS(OR(H623=$S$2,H623=$S$13,H623=$S$5),"Other",OR(H623=$S$3,H623=$S$4,H623=$S$7,H623=$S$10,H623=$S$11),"Salem",OR(H623=$S$6),"Keizer",OR(H623=$S$8,H623=$S$9,H623=$S$12),"Marion")</f>
        <v>Salem</v>
      </c>
      <c r="L623">
        <v>382</v>
      </c>
      <c r="M623">
        <v>2005</v>
      </c>
      <c r="N623" t="s">
        <v>45</v>
      </c>
      <c r="O623">
        <v>0</v>
      </c>
    </row>
    <row r="624" spans="1:15" x14ac:dyDescent="0.25">
      <c r="A624">
        <v>382</v>
      </c>
      <c r="B624">
        <v>2021</v>
      </c>
      <c r="C624">
        <v>629</v>
      </c>
      <c r="D624">
        <v>6</v>
      </c>
      <c r="E624">
        <v>0</v>
      </c>
      <c r="F624" t="str" cm="1">
        <f t="array" ref="F624">_xlfn.XLOOKUP(A624&amp;B624,$L$2:$L$739&amp;$M$2:$M$739,$N$2:$N$739)</f>
        <v>Low</v>
      </c>
      <c r="G624">
        <f t="shared" si="9"/>
        <v>0</v>
      </c>
      <c r="H624" t="str">
        <f>_xlfn.XLOOKUP(A624,VE!$A$2:$A$247,VE!$B$2:$B$247)</f>
        <v>Salem_5</v>
      </c>
      <c r="I624" t="str" cm="1">
        <f t="array" ref="I624">_xlfn.IFS(OR(H624=$S$2,H624=$S$13,H624=$S$5),"Other",OR(H624=$S$3,H624=$S$4,H624=$S$7,H624=$S$10,H624=$S$11),"Salem",OR(H624=$S$6),"Keizer",OR(H624=$S$8,H624=$S$9,H624=$S$12),"Marion")</f>
        <v>Salem</v>
      </c>
      <c r="L624">
        <v>382</v>
      </c>
      <c r="M624">
        <v>2021</v>
      </c>
      <c r="N624" t="s">
        <v>45</v>
      </c>
      <c r="O624">
        <v>0</v>
      </c>
    </row>
    <row r="625" spans="1:15" x14ac:dyDescent="0.25">
      <c r="A625">
        <v>382</v>
      </c>
      <c r="B625">
        <v>2050</v>
      </c>
      <c r="C625">
        <v>852</v>
      </c>
      <c r="D625">
        <v>150</v>
      </c>
      <c r="E625">
        <v>0</v>
      </c>
      <c r="F625" t="str" cm="1">
        <f t="array" ref="F625">_xlfn.XLOOKUP(A625&amp;B625,$L$2:$L$739&amp;$M$2:$M$739,$N$2:$N$739)</f>
        <v>Low</v>
      </c>
      <c r="G625">
        <f t="shared" si="9"/>
        <v>0</v>
      </c>
      <c r="H625" t="str">
        <f>_xlfn.XLOOKUP(A625,VE!$A$2:$A$247,VE!$B$2:$B$247)</f>
        <v>Salem_5</v>
      </c>
      <c r="I625" t="str" cm="1">
        <f t="array" ref="I625">_xlfn.IFS(OR(H625=$S$2,H625=$S$13,H625=$S$5),"Other",OR(H625=$S$3,H625=$S$4,H625=$S$7,H625=$S$10,H625=$S$11),"Salem",OR(H625=$S$6),"Keizer",OR(H625=$S$8,H625=$S$9,H625=$S$12),"Marion")</f>
        <v>Salem</v>
      </c>
      <c r="L625">
        <v>382</v>
      </c>
      <c r="M625">
        <v>2050</v>
      </c>
      <c r="N625" t="s">
        <v>45</v>
      </c>
      <c r="O625">
        <v>0</v>
      </c>
    </row>
    <row r="626" spans="1:15" x14ac:dyDescent="0.25">
      <c r="A626">
        <v>383</v>
      </c>
      <c r="B626">
        <v>2005</v>
      </c>
      <c r="C626">
        <v>259</v>
      </c>
      <c r="D626">
        <v>19</v>
      </c>
      <c r="E626">
        <v>0</v>
      </c>
      <c r="F626" t="str" cm="1">
        <f t="array" ref="F626">_xlfn.XLOOKUP(A626&amp;B626,$L$2:$L$739&amp;$M$2:$M$739,$N$2:$N$739)</f>
        <v>Low</v>
      </c>
      <c r="G626">
        <f t="shared" si="9"/>
        <v>0</v>
      </c>
      <c r="H626" t="str">
        <f>_xlfn.XLOOKUP(A626,VE!$A$2:$A$247,VE!$B$2:$B$247)</f>
        <v>Salem_5</v>
      </c>
      <c r="I626" t="str" cm="1">
        <f t="array" ref="I626">_xlfn.IFS(OR(H626=$S$2,H626=$S$13,H626=$S$5),"Other",OR(H626=$S$3,H626=$S$4,H626=$S$7,H626=$S$10,H626=$S$11),"Salem",OR(H626=$S$6),"Keizer",OR(H626=$S$8,H626=$S$9,H626=$S$12),"Marion")</f>
        <v>Salem</v>
      </c>
      <c r="L626">
        <v>383</v>
      </c>
      <c r="M626">
        <v>2005</v>
      </c>
      <c r="N626" t="s">
        <v>45</v>
      </c>
      <c r="O626">
        <v>0</v>
      </c>
    </row>
    <row r="627" spans="1:15" x14ac:dyDescent="0.25">
      <c r="A627">
        <v>383</v>
      </c>
      <c r="B627">
        <v>2021</v>
      </c>
      <c r="C627">
        <v>591</v>
      </c>
      <c r="D627">
        <v>0</v>
      </c>
      <c r="E627">
        <v>0</v>
      </c>
      <c r="F627" t="str" cm="1">
        <f t="array" ref="F627">_xlfn.XLOOKUP(A627&amp;B627,$L$2:$L$739&amp;$M$2:$M$739,$N$2:$N$739)</f>
        <v>Low</v>
      </c>
      <c r="G627">
        <f t="shared" si="9"/>
        <v>0</v>
      </c>
      <c r="H627" t="str">
        <f>_xlfn.XLOOKUP(A627,VE!$A$2:$A$247,VE!$B$2:$B$247)</f>
        <v>Salem_5</v>
      </c>
      <c r="I627" t="str" cm="1">
        <f t="array" ref="I627">_xlfn.IFS(OR(H627=$S$2,H627=$S$13,H627=$S$5),"Other",OR(H627=$S$3,H627=$S$4,H627=$S$7,H627=$S$10,H627=$S$11),"Salem",OR(H627=$S$6),"Keizer",OR(H627=$S$8,H627=$S$9,H627=$S$12),"Marion")</f>
        <v>Salem</v>
      </c>
      <c r="L627">
        <v>383</v>
      </c>
      <c r="M627">
        <v>2021</v>
      </c>
      <c r="N627" t="s">
        <v>45</v>
      </c>
      <c r="O627">
        <v>0</v>
      </c>
    </row>
    <row r="628" spans="1:15" x14ac:dyDescent="0.25">
      <c r="A628">
        <v>383</v>
      </c>
      <c r="B628">
        <v>2050</v>
      </c>
      <c r="C628">
        <v>850</v>
      </c>
      <c r="D628">
        <v>0</v>
      </c>
      <c r="E628">
        <v>0</v>
      </c>
      <c r="F628" t="str" cm="1">
        <f t="array" ref="F628">_xlfn.XLOOKUP(A628&amp;B628,$L$2:$L$739&amp;$M$2:$M$739,$N$2:$N$739)</f>
        <v>Low</v>
      </c>
      <c r="G628">
        <f t="shared" si="9"/>
        <v>0</v>
      </c>
      <c r="H628" t="str">
        <f>_xlfn.XLOOKUP(A628,VE!$A$2:$A$247,VE!$B$2:$B$247)</f>
        <v>Salem_5</v>
      </c>
      <c r="I628" t="str" cm="1">
        <f t="array" ref="I628">_xlfn.IFS(OR(H628=$S$2,H628=$S$13,H628=$S$5),"Other",OR(H628=$S$3,H628=$S$4,H628=$S$7,H628=$S$10,H628=$S$11),"Salem",OR(H628=$S$6),"Keizer",OR(H628=$S$8,H628=$S$9,H628=$S$12),"Marion")</f>
        <v>Salem</v>
      </c>
      <c r="L628">
        <v>383</v>
      </c>
      <c r="M628">
        <v>2050</v>
      </c>
      <c r="N628" t="s">
        <v>45</v>
      </c>
      <c r="O628">
        <v>0</v>
      </c>
    </row>
    <row r="629" spans="1:15" x14ac:dyDescent="0.25">
      <c r="A629">
        <v>384</v>
      </c>
      <c r="B629">
        <v>2005</v>
      </c>
      <c r="C629">
        <v>414</v>
      </c>
      <c r="D629">
        <v>223</v>
      </c>
      <c r="E629">
        <v>0</v>
      </c>
      <c r="F629" t="str" cm="1">
        <f t="array" ref="F629">_xlfn.XLOOKUP(A629&amp;B629,$L$2:$L$739&amp;$M$2:$M$739,$N$2:$N$739)</f>
        <v>Low</v>
      </c>
      <c r="G629">
        <f t="shared" si="9"/>
        <v>0</v>
      </c>
      <c r="H629" t="str">
        <f>_xlfn.XLOOKUP(A629,VE!$A$2:$A$247,VE!$B$2:$B$247)</f>
        <v>Salem_5</v>
      </c>
      <c r="I629" t="str" cm="1">
        <f t="array" ref="I629">_xlfn.IFS(OR(H629=$S$2,H629=$S$13,H629=$S$5),"Other",OR(H629=$S$3,H629=$S$4,H629=$S$7,H629=$S$10,H629=$S$11),"Salem",OR(H629=$S$6),"Keizer",OR(H629=$S$8,H629=$S$9,H629=$S$12),"Marion")</f>
        <v>Salem</v>
      </c>
      <c r="L629">
        <v>384</v>
      </c>
      <c r="M629">
        <v>2005</v>
      </c>
      <c r="N629" t="s">
        <v>45</v>
      </c>
      <c r="O629">
        <v>0</v>
      </c>
    </row>
    <row r="630" spans="1:15" x14ac:dyDescent="0.25">
      <c r="A630">
        <v>384</v>
      </c>
      <c r="B630">
        <v>2021</v>
      </c>
      <c r="C630">
        <v>440</v>
      </c>
      <c r="D630">
        <v>206</v>
      </c>
      <c r="E630">
        <v>0</v>
      </c>
      <c r="F630" t="str" cm="1">
        <f t="array" ref="F630">_xlfn.XLOOKUP(A630&amp;B630,$L$2:$L$739&amp;$M$2:$M$739,$N$2:$N$739)</f>
        <v>Low</v>
      </c>
      <c r="G630">
        <f t="shared" si="9"/>
        <v>0</v>
      </c>
      <c r="H630" t="str">
        <f>_xlfn.XLOOKUP(A630,VE!$A$2:$A$247,VE!$B$2:$B$247)</f>
        <v>Salem_5</v>
      </c>
      <c r="I630" t="str" cm="1">
        <f t="array" ref="I630">_xlfn.IFS(OR(H630=$S$2,H630=$S$13,H630=$S$5),"Other",OR(H630=$S$3,H630=$S$4,H630=$S$7,H630=$S$10,H630=$S$11),"Salem",OR(H630=$S$6),"Keizer",OR(H630=$S$8,H630=$S$9,H630=$S$12),"Marion")</f>
        <v>Salem</v>
      </c>
      <c r="L630">
        <v>384</v>
      </c>
      <c r="M630">
        <v>2021</v>
      </c>
      <c r="N630" t="s">
        <v>45</v>
      </c>
      <c r="O630">
        <v>0</v>
      </c>
    </row>
    <row r="631" spans="1:15" x14ac:dyDescent="0.25">
      <c r="A631">
        <v>384</v>
      </c>
      <c r="B631">
        <v>2050</v>
      </c>
      <c r="C631">
        <v>438</v>
      </c>
      <c r="D631">
        <v>347</v>
      </c>
      <c r="E631">
        <v>0</v>
      </c>
      <c r="F631" t="str" cm="1">
        <f t="array" ref="F631">_xlfn.XLOOKUP(A631&amp;B631,$L$2:$L$739&amp;$M$2:$M$739,$N$2:$N$739)</f>
        <v>High</v>
      </c>
      <c r="G631">
        <f t="shared" si="9"/>
        <v>785</v>
      </c>
      <c r="H631" t="str">
        <f>_xlfn.XLOOKUP(A631,VE!$A$2:$A$247,VE!$B$2:$B$247)</f>
        <v>Salem_5</v>
      </c>
      <c r="I631" t="str" cm="1">
        <f t="array" ref="I631">_xlfn.IFS(OR(H631=$S$2,H631=$S$13,H631=$S$5),"Other",OR(H631=$S$3,H631=$S$4,H631=$S$7,H631=$S$10,H631=$S$11),"Salem",OR(H631=$S$6),"Keizer",OR(H631=$S$8,H631=$S$9,H631=$S$12),"Marion")</f>
        <v>Salem</v>
      </c>
      <c r="L631">
        <v>384</v>
      </c>
      <c r="M631">
        <v>2050</v>
      </c>
      <c r="N631" t="s">
        <v>46</v>
      </c>
      <c r="O631">
        <v>1</v>
      </c>
    </row>
    <row r="632" spans="1:15" x14ac:dyDescent="0.25">
      <c r="A632">
        <v>388</v>
      </c>
      <c r="B632">
        <v>2005</v>
      </c>
      <c r="C632">
        <v>10</v>
      </c>
      <c r="D632">
        <v>2</v>
      </c>
      <c r="E632">
        <v>0</v>
      </c>
      <c r="F632" t="str" cm="1">
        <f t="array" ref="F632">_xlfn.XLOOKUP(A632&amp;B632,$L$2:$L$739&amp;$M$2:$M$739,$N$2:$N$739)</f>
        <v>Low</v>
      </c>
      <c r="G632">
        <f t="shared" si="9"/>
        <v>0</v>
      </c>
      <c r="H632" t="str">
        <f>_xlfn.XLOOKUP(A632,VE!$A$2:$A$247,VE!$B$2:$B$247)</f>
        <v>Salem_5</v>
      </c>
      <c r="I632" t="str" cm="1">
        <f t="array" ref="I632">_xlfn.IFS(OR(H632=$S$2,H632=$S$13,H632=$S$5),"Other",OR(H632=$S$3,H632=$S$4,H632=$S$7,H632=$S$10,H632=$S$11),"Salem",OR(H632=$S$6),"Keizer",OR(H632=$S$8,H632=$S$9,H632=$S$12),"Marion")</f>
        <v>Salem</v>
      </c>
      <c r="L632">
        <v>388</v>
      </c>
      <c r="M632">
        <v>2005</v>
      </c>
      <c r="N632" t="s">
        <v>45</v>
      </c>
      <c r="O632">
        <v>0</v>
      </c>
    </row>
    <row r="633" spans="1:15" x14ac:dyDescent="0.25">
      <c r="A633">
        <v>388</v>
      </c>
      <c r="B633">
        <v>2021</v>
      </c>
      <c r="C633">
        <v>121</v>
      </c>
      <c r="D633">
        <v>1</v>
      </c>
      <c r="E633">
        <v>0</v>
      </c>
      <c r="F633" t="str" cm="1">
        <f t="array" ref="F633">_xlfn.XLOOKUP(A633&amp;B633,$L$2:$L$739&amp;$M$2:$M$739,$N$2:$N$739)</f>
        <v>Low</v>
      </c>
      <c r="G633">
        <f t="shared" si="9"/>
        <v>0</v>
      </c>
      <c r="H633" t="str">
        <f>_xlfn.XLOOKUP(A633,VE!$A$2:$A$247,VE!$B$2:$B$247)</f>
        <v>Salem_5</v>
      </c>
      <c r="I633" t="str" cm="1">
        <f t="array" ref="I633">_xlfn.IFS(OR(H633=$S$2,H633=$S$13,H633=$S$5),"Other",OR(H633=$S$3,H633=$S$4,H633=$S$7,H633=$S$10,H633=$S$11),"Salem",OR(H633=$S$6),"Keizer",OR(H633=$S$8,H633=$S$9,H633=$S$12),"Marion")</f>
        <v>Salem</v>
      </c>
      <c r="L633">
        <v>388</v>
      </c>
      <c r="M633">
        <v>2021</v>
      </c>
      <c r="N633" t="s">
        <v>45</v>
      </c>
      <c r="O633">
        <v>0</v>
      </c>
    </row>
    <row r="634" spans="1:15" x14ac:dyDescent="0.25">
      <c r="A634">
        <v>388</v>
      </c>
      <c r="B634">
        <v>2050</v>
      </c>
      <c r="C634">
        <v>318</v>
      </c>
      <c r="D634">
        <v>186</v>
      </c>
      <c r="E634">
        <v>0</v>
      </c>
      <c r="F634" t="str" cm="1">
        <f t="array" ref="F634">_xlfn.XLOOKUP(A634&amp;B634,$L$2:$L$739&amp;$M$2:$M$739,$N$2:$N$739)</f>
        <v>Low</v>
      </c>
      <c r="G634">
        <f t="shared" si="9"/>
        <v>0</v>
      </c>
      <c r="H634" t="str">
        <f>_xlfn.XLOOKUP(A634,VE!$A$2:$A$247,VE!$B$2:$B$247)</f>
        <v>Salem_5</v>
      </c>
      <c r="I634" t="str" cm="1">
        <f t="array" ref="I634">_xlfn.IFS(OR(H634=$S$2,H634=$S$13,H634=$S$5),"Other",OR(H634=$S$3,H634=$S$4,H634=$S$7,H634=$S$10,H634=$S$11),"Salem",OR(H634=$S$6),"Keizer",OR(H634=$S$8,H634=$S$9,H634=$S$12),"Marion")</f>
        <v>Salem</v>
      </c>
      <c r="L634">
        <v>388</v>
      </c>
      <c r="M634">
        <v>2050</v>
      </c>
      <c r="N634" t="s">
        <v>45</v>
      </c>
      <c r="O634">
        <v>0</v>
      </c>
    </row>
    <row r="635" spans="1:15" x14ac:dyDescent="0.25">
      <c r="A635">
        <v>389</v>
      </c>
      <c r="B635">
        <v>2005</v>
      </c>
      <c r="C635">
        <v>63</v>
      </c>
      <c r="D635">
        <v>798</v>
      </c>
      <c r="E635">
        <v>0</v>
      </c>
      <c r="F635" t="str" cm="1">
        <f t="array" ref="F635">_xlfn.XLOOKUP(A635&amp;B635,$L$2:$L$739&amp;$M$2:$M$739,$N$2:$N$739)</f>
        <v>Low</v>
      </c>
      <c r="G635">
        <f t="shared" si="9"/>
        <v>0</v>
      </c>
      <c r="H635" t="str">
        <f>_xlfn.XLOOKUP(A635,VE!$A$2:$A$247,VE!$B$2:$B$247)</f>
        <v>Salem_5</v>
      </c>
      <c r="I635" t="str" cm="1">
        <f t="array" ref="I635">_xlfn.IFS(OR(H635=$S$2,H635=$S$13,H635=$S$5),"Other",OR(H635=$S$3,H635=$S$4,H635=$S$7,H635=$S$10,H635=$S$11),"Salem",OR(H635=$S$6),"Keizer",OR(H635=$S$8,H635=$S$9,H635=$S$12),"Marion")</f>
        <v>Salem</v>
      </c>
      <c r="L635">
        <v>389</v>
      </c>
      <c r="M635">
        <v>2005</v>
      </c>
      <c r="N635" t="s">
        <v>45</v>
      </c>
      <c r="O635">
        <v>0</v>
      </c>
    </row>
    <row r="636" spans="1:15" x14ac:dyDescent="0.25">
      <c r="A636">
        <v>389</v>
      </c>
      <c r="B636">
        <v>2021</v>
      </c>
      <c r="C636">
        <v>274</v>
      </c>
      <c r="D636">
        <v>869</v>
      </c>
      <c r="E636">
        <v>0</v>
      </c>
      <c r="F636" t="str" cm="1">
        <f t="array" ref="F636">_xlfn.XLOOKUP(A636&amp;B636,$L$2:$L$739&amp;$M$2:$M$739,$N$2:$N$739)</f>
        <v>High</v>
      </c>
      <c r="G636">
        <f t="shared" si="9"/>
        <v>1143</v>
      </c>
      <c r="H636" t="str">
        <f>_xlfn.XLOOKUP(A636,VE!$A$2:$A$247,VE!$B$2:$B$247)</f>
        <v>Salem_5</v>
      </c>
      <c r="I636" t="str" cm="1">
        <f t="array" ref="I636">_xlfn.IFS(OR(H636=$S$2,H636=$S$13,H636=$S$5),"Other",OR(H636=$S$3,H636=$S$4,H636=$S$7,H636=$S$10,H636=$S$11),"Salem",OR(H636=$S$6),"Keizer",OR(H636=$S$8,H636=$S$9,H636=$S$12),"Marion")</f>
        <v>Salem</v>
      </c>
      <c r="L636">
        <v>389</v>
      </c>
      <c r="M636">
        <v>2021</v>
      </c>
      <c r="N636" t="s">
        <v>46</v>
      </c>
      <c r="O636">
        <v>1</v>
      </c>
    </row>
    <row r="637" spans="1:15" x14ac:dyDescent="0.25">
      <c r="A637">
        <v>389</v>
      </c>
      <c r="B637">
        <v>2050</v>
      </c>
      <c r="C637">
        <v>401</v>
      </c>
      <c r="D637">
        <v>937</v>
      </c>
      <c r="E637">
        <v>0</v>
      </c>
      <c r="F637" t="str" cm="1">
        <f t="array" ref="F637">_xlfn.XLOOKUP(A637&amp;B637,$L$2:$L$739&amp;$M$2:$M$739,$N$2:$N$739)</f>
        <v>High</v>
      </c>
      <c r="G637">
        <f t="shared" si="9"/>
        <v>1338</v>
      </c>
      <c r="H637" t="str">
        <f>_xlfn.XLOOKUP(A637,VE!$A$2:$A$247,VE!$B$2:$B$247)</f>
        <v>Salem_5</v>
      </c>
      <c r="I637" t="str" cm="1">
        <f t="array" ref="I637">_xlfn.IFS(OR(H637=$S$2,H637=$S$13,H637=$S$5),"Other",OR(H637=$S$3,H637=$S$4,H637=$S$7,H637=$S$10,H637=$S$11),"Salem",OR(H637=$S$6),"Keizer",OR(H637=$S$8,H637=$S$9,H637=$S$12),"Marion")</f>
        <v>Salem</v>
      </c>
      <c r="L637">
        <v>389</v>
      </c>
      <c r="M637">
        <v>2050</v>
      </c>
      <c r="N637" t="s">
        <v>46</v>
      </c>
      <c r="O637">
        <v>1</v>
      </c>
    </row>
    <row r="638" spans="1:15" x14ac:dyDescent="0.25">
      <c r="A638">
        <v>390</v>
      </c>
      <c r="B638">
        <v>2005</v>
      </c>
      <c r="C638">
        <v>622</v>
      </c>
      <c r="D638">
        <v>646</v>
      </c>
      <c r="E638">
        <v>0</v>
      </c>
      <c r="F638" t="str" cm="1">
        <f t="array" ref="F638">_xlfn.XLOOKUP(A638&amp;B638,$L$2:$L$739&amp;$M$2:$M$739,$N$2:$N$739)</f>
        <v>Low</v>
      </c>
      <c r="G638">
        <f t="shared" si="9"/>
        <v>0</v>
      </c>
      <c r="H638" t="str">
        <f>_xlfn.XLOOKUP(A638,VE!$A$2:$A$247,VE!$B$2:$B$247)</f>
        <v>Salem_5</v>
      </c>
      <c r="I638" t="str" cm="1">
        <f t="array" ref="I638">_xlfn.IFS(OR(H638=$S$2,H638=$S$13,H638=$S$5),"Other",OR(H638=$S$3,H638=$S$4,H638=$S$7,H638=$S$10,H638=$S$11),"Salem",OR(H638=$S$6),"Keizer",OR(H638=$S$8,H638=$S$9,H638=$S$12),"Marion")</f>
        <v>Salem</v>
      </c>
      <c r="L638">
        <v>390</v>
      </c>
      <c r="M638">
        <v>2005</v>
      </c>
      <c r="N638" t="s">
        <v>45</v>
      </c>
      <c r="O638">
        <v>0</v>
      </c>
    </row>
    <row r="639" spans="1:15" x14ac:dyDescent="0.25">
      <c r="A639">
        <v>390</v>
      </c>
      <c r="B639">
        <v>2021</v>
      </c>
      <c r="C639">
        <v>802</v>
      </c>
      <c r="D639">
        <v>656</v>
      </c>
      <c r="E639">
        <v>0</v>
      </c>
      <c r="F639" t="str" cm="1">
        <f t="array" ref="F639">_xlfn.XLOOKUP(A639&amp;B639,$L$2:$L$739&amp;$M$2:$M$739,$N$2:$N$739)</f>
        <v>Low</v>
      </c>
      <c r="G639">
        <f t="shared" si="9"/>
        <v>0</v>
      </c>
      <c r="H639" t="str">
        <f>_xlfn.XLOOKUP(A639,VE!$A$2:$A$247,VE!$B$2:$B$247)</f>
        <v>Salem_5</v>
      </c>
      <c r="I639" t="str" cm="1">
        <f t="array" ref="I639">_xlfn.IFS(OR(H639=$S$2,H639=$S$13,H639=$S$5),"Other",OR(H639=$S$3,H639=$S$4,H639=$S$7,H639=$S$10,H639=$S$11),"Salem",OR(H639=$S$6),"Keizer",OR(H639=$S$8,H639=$S$9,H639=$S$12),"Marion")</f>
        <v>Salem</v>
      </c>
      <c r="L639">
        <v>390</v>
      </c>
      <c r="M639">
        <v>2021</v>
      </c>
      <c r="N639" t="s">
        <v>45</v>
      </c>
      <c r="O639">
        <v>0</v>
      </c>
    </row>
    <row r="640" spans="1:15" x14ac:dyDescent="0.25">
      <c r="A640">
        <v>390</v>
      </c>
      <c r="B640">
        <v>2050</v>
      </c>
      <c r="C640">
        <v>805</v>
      </c>
      <c r="D640">
        <v>658</v>
      </c>
      <c r="E640">
        <v>0</v>
      </c>
      <c r="F640" t="str" cm="1">
        <f t="array" ref="F640">_xlfn.XLOOKUP(A640&amp;B640,$L$2:$L$739&amp;$M$2:$M$739,$N$2:$N$739)</f>
        <v>Low</v>
      </c>
      <c r="G640">
        <f t="shared" si="9"/>
        <v>0</v>
      </c>
      <c r="H640" t="str">
        <f>_xlfn.XLOOKUP(A640,VE!$A$2:$A$247,VE!$B$2:$B$247)</f>
        <v>Salem_5</v>
      </c>
      <c r="I640" t="str" cm="1">
        <f t="array" ref="I640">_xlfn.IFS(OR(H640=$S$2,H640=$S$13,H640=$S$5),"Other",OR(H640=$S$3,H640=$S$4,H640=$S$7,H640=$S$10,H640=$S$11),"Salem",OR(H640=$S$6),"Keizer",OR(H640=$S$8,H640=$S$9,H640=$S$12),"Marion")</f>
        <v>Salem</v>
      </c>
      <c r="L640">
        <v>390</v>
      </c>
      <c r="M640">
        <v>2050</v>
      </c>
      <c r="N640" t="s">
        <v>45</v>
      </c>
      <c r="O640">
        <v>0</v>
      </c>
    </row>
    <row r="641" spans="1:15" x14ac:dyDescent="0.25">
      <c r="A641">
        <v>395</v>
      </c>
      <c r="B641">
        <v>2005</v>
      </c>
      <c r="C641">
        <v>67</v>
      </c>
      <c r="D641">
        <v>11</v>
      </c>
      <c r="E641">
        <v>653</v>
      </c>
      <c r="F641" t="str" cm="1">
        <f t="array" ref="F641">_xlfn.XLOOKUP(A641&amp;B641,$L$2:$L$739&amp;$M$2:$M$739,$N$2:$N$739)</f>
        <v>Low</v>
      </c>
      <c r="G641">
        <f t="shared" si="9"/>
        <v>0</v>
      </c>
      <c r="H641" t="str">
        <f>_xlfn.XLOOKUP(A641,VE!$A$2:$A$247,VE!$B$2:$B$247)</f>
        <v>Salem_5</v>
      </c>
      <c r="I641" t="str" cm="1">
        <f t="array" ref="I641">_xlfn.IFS(OR(H641=$S$2,H641=$S$13,H641=$S$5),"Other",OR(H641=$S$3,H641=$S$4,H641=$S$7,H641=$S$10,H641=$S$11),"Salem",OR(H641=$S$6),"Keizer",OR(H641=$S$8,H641=$S$9,H641=$S$12),"Marion")</f>
        <v>Salem</v>
      </c>
      <c r="L641">
        <v>395</v>
      </c>
      <c r="M641">
        <v>2005</v>
      </c>
      <c r="N641" t="s">
        <v>45</v>
      </c>
      <c r="O641">
        <v>0</v>
      </c>
    </row>
    <row r="642" spans="1:15" x14ac:dyDescent="0.25">
      <c r="A642">
        <v>395</v>
      </c>
      <c r="B642">
        <v>2021</v>
      </c>
      <c r="C642">
        <v>14</v>
      </c>
      <c r="D642">
        <v>97</v>
      </c>
      <c r="E642">
        <v>754</v>
      </c>
      <c r="F642" t="str" cm="1">
        <f t="array" ref="F642">_xlfn.XLOOKUP(A642&amp;B642,$L$2:$L$739&amp;$M$2:$M$739,$N$2:$N$739)</f>
        <v>Low</v>
      </c>
      <c r="G642">
        <f t="shared" si="9"/>
        <v>0</v>
      </c>
      <c r="H642" t="str">
        <f>_xlfn.XLOOKUP(A642,VE!$A$2:$A$247,VE!$B$2:$B$247)</f>
        <v>Salem_5</v>
      </c>
      <c r="I642" t="str" cm="1">
        <f t="array" ref="I642">_xlfn.IFS(OR(H642=$S$2,H642=$S$13,H642=$S$5),"Other",OR(H642=$S$3,H642=$S$4,H642=$S$7,H642=$S$10,H642=$S$11),"Salem",OR(H642=$S$6),"Keizer",OR(H642=$S$8,H642=$S$9,H642=$S$12),"Marion")</f>
        <v>Salem</v>
      </c>
      <c r="L642">
        <v>395</v>
      </c>
      <c r="M642">
        <v>2021</v>
      </c>
      <c r="N642" t="s">
        <v>45</v>
      </c>
      <c r="O642">
        <v>0</v>
      </c>
    </row>
    <row r="643" spans="1:15" x14ac:dyDescent="0.25">
      <c r="A643">
        <v>395</v>
      </c>
      <c r="B643">
        <v>2050</v>
      </c>
      <c r="C643">
        <v>8</v>
      </c>
      <c r="D643">
        <v>165</v>
      </c>
      <c r="E643">
        <v>1057</v>
      </c>
      <c r="F643" t="str" cm="1">
        <f t="array" ref="F643">_xlfn.XLOOKUP(A643&amp;B643,$L$2:$L$739&amp;$M$2:$M$739,$N$2:$N$739)</f>
        <v>Low</v>
      </c>
      <c r="G643">
        <f t="shared" ref="G643:G706" si="10">IF(F643="High",SUM(C643:D643),0)</f>
        <v>0</v>
      </c>
      <c r="H643" t="str">
        <f>_xlfn.XLOOKUP(A643,VE!$A$2:$A$247,VE!$B$2:$B$247)</f>
        <v>Salem_5</v>
      </c>
      <c r="I643" t="str" cm="1">
        <f t="array" ref="I643">_xlfn.IFS(OR(H643=$S$2,H643=$S$13,H643=$S$5),"Other",OR(H643=$S$3,H643=$S$4,H643=$S$7,H643=$S$10,H643=$S$11),"Salem",OR(H643=$S$6),"Keizer",OR(H643=$S$8,H643=$S$9,H643=$S$12),"Marion")</f>
        <v>Salem</v>
      </c>
      <c r="L643">
        <v>395</v>
      </c>
      <c r="M643">
        <v>2050</v>
      </c>
      <c r="N643" t="s">
        <v>45</v>
      </c>
      <c r="O643">
        <v>0</v>
      </c>
    </row>
    <row r="644" spans="1:15" x14ac:dyDescent="0.25">
      <c r="A644">
        <v>396</v>
      </c>
      <c r="B644">
        <v>2005</v>
      </c>
      <c r="C644">
        <v>213</v>
      </c>
      <c r="D644">
        <v>757</v>
      </c>
      <c r="E644">
        <v>0</v>
      </c>
      <c r="F644" t="str" cm="1">
        <f t="array" ref="F644">_xlfn.XLOOKUP(A644&amp;B644,$L$2:$L$739&amp;$M$2:$M$739,$N$2:$N$739)</f>
        <v>Low</v>
      </c>
      <c r="G644">
        <f t="shared" si="10"/>
        <v>0</v>
      </c>
      <c r="H644" t="str">
        <f>_xlfn.XLOOKUP(A644,VE!$A$2:$A$247,VE!$B$2:$B$247)</f>
        <v>Salem_5</v>
      </c>
      <c r="I644" t="str" cm="1">
        <f t="array" ref="I644">_xlfn.IFS(OR(H644=$S$2,H644=$S$13,H644=$S$5),"Other",OR(H644=$S$3,H644=$S$4,H644=$S$7,H644=$S$10,H644=$S$11),"Salem",OR(H644=$S$6),"Keizer",OR(H644=$S$8,H644=$S$9,H644=$S$12),"Marion")</f>
        <v>Salem</v>
      </c>
      <c r="L644">
        <v>396</v>
      </c>
      <c r="M644">
        <v>2005</v>
      </c>
      <c r="N644" t="s">
        <v>45</v>
      </c>
      <c r="O644">
        <v>0</v>
      </c>
    </row>
    <row r="645" spans="1:15" x14ac:dyDescent="0.25">
      <c r="A645">
        <v>396</v>
      </c>
      <c r="B645">
        <v>2021</v>
      </c>
      <c r="C645">
        <v>213</v>
      </c>
      <c r="D645">
        <v>757</v>
      </c>
      <c r="E645">
        <v>0</v>
      </c>
      <c r="F645" t="str" cm="1">
        <f t="array" ref="F645">_xlfn.XLOOKUP(A645&amp;B645,$L$2:$L$739&amp;$M$2:$M$739,$N$2:$N$739)</f>
        <v>Low</v>
      </c>
      <c r="G645">
        <f t="shared" si="10"/>
        <v>0</v>
      </c>
      <c r="H645" t="str">
        <f>_xlfn.XLOOKUP(A645,VE!$A$2:$A$247,VE!$B$2:$B$247)</f>
        <v>Salem_5</v>
      </c>
      <c r="I645" t="str" cm="1">
        <f t="array" ref="I645">_xlfn.IFS(OR(H645=$S$2,H645=$S$13,H645=$S$5),"Other",OR(H645=$S$3,H645=$S$4,H645=$S$7,H645=$S$10,H645=$S$11),"Salem",OR(H645=$S$6),"Keizer",OR(H645=$S$8,H645=$S$9,H645=$S$12),"Marion")</f>
        <v>Salem</v>
      </c>
      <c r="L645">
        <v>396</v>
      </c>
      <c r="M645">
        <v>2021</v>
      </c>
      <c r="N645" t="s">
        <v>45</v>
      </c>
      <c r="O645">
        <v>0</v>
      </c>
    </row>
    <row r="646" spans="1:15" x14ac:dyDescent="0.25">
      <c r="A646">
        <v>396</v>
      </c>
      <c r="B646">
        <v>2050</v>
      </c>
      <c r="C646">
        <v>214</v>
      </c>
      <c r="D646">
        <v>759</v>
      </c>
      <c r="E646">
        <v>0</v>
      </c>
      <c r="F646" t="str" cm="1">
        <f t="array" ref="F646">_xlfn.XLOOKUP(A646&amp;B646,$L$2:$L$739&amp;$M$2:$M$739,$N$2:$N$739)</f>
        <v>Low</v>
      </c>
      <c r="G646">
        <f t="shared" si="10"/>
        <v>0</v>
      </c>
      <c r="H646" t="str">
        <f>_xlfn.XLOOKUP(A646,VE!$A$2:$A$247,VE!$B$2:$B$247)</f>
        <v>Salem_5</v>
      </c>
      <c r="I646" t="str" cm="1">
        <f t="array" ref="I646">_xlfn.IFS(OR(H646=$S$2,H646=$S$13,H646=$S$5),"Other",OR(H646=$S$3,H646=$S$4,H646=$S$7,H646=$S$10,H646=$S$11),"Salem",OR(H646=$S$6),"Keizer",OR(H646=$S$8,H646=$S$9,H646=$S$12),"Marion")</f>
        <v>Salem</v>
      </c>
      <c r="L646">
        <v>396</v>
      </c>
      <c r="M646">
        <v>2050</v>
      </c>
      <c r="N646" t="s">
        <v>45</v>
      </c>
      <c r="O646">
        <v>0</v>
      </c>
    </row>
    <row r="647" spans="1:15" x14ac:dyDescent="0.25">
      <c r="A647">
        <v>411</v>
      </c>
      <c r="B647">
        <v>2005</v>
      </c>
      <c r="C647">
        <v>27</v>
      </c>
      <c r="D647">
        <v>6</v>
      </c>
      <c r="E647">
        <v>0</v>
      </c>
      <c r="F647" t="str" cm="1">
        <f t="array" ref="F647">_xlfn.XLOOKUP(A647&amp;B647,$L$2:$L$739&amp;$M$2:$M$739,$N$2:$N$739)</f>
        <v>Low</v>
      </c>
      <c r="G647">
        <f t="shared" si="10"/>
        <v>0</v>
      </c>
      <c r="H647" t="str">
        <f>_xlfn.XLOOKUP(A647,VE!$A$2:$A$247,VE!$B$2:$B$247)</f>
        <v>Marion_Inside_UGB_3</v>
      </c>
      <c r="I647" t="str" cm="1">
        <f t="array" ref="I647">_xlfn.IFS(OR(H647=$S$2,H647=$S$13,H647=$S$5),"Other",OR(H647=$S$3,H647=$S$4,H647=$S$7,H647=$S$10,H647=$S$11),"Salem",OR(H647=$S$6),"Keizer",OR(H647=$S$8,H647=$S$9,H647=$S$12),"Marion")</f>
        <v>Marion</v>
      </c>
      <c r="L647">
        <v>411</v>
      </c>
      <c r="M647">
        <v>2005</v>
      </c>
      <c r="N647" t="s">
        <v>45</v>
      </c>
      <c r="O647">
        <v>0</v>
      </c>
    </row>
    <row r="648" spans="1:15" x14ac:dyDescent="0.25">
      <c r="A648">
        <v>411</v>
      </c>
      <c r="B648">
        <v>2021</v>
      </c>
      <c r="C648">
        <v>27</v>
      </c>
      <c r="D648">
        <v>6</v>
      </c>
      <c r="E648">
        <v>0</v>
      </c>
      <c r="F648" t="str" cm="1">
        <f t="array" ref="F648">_xlfn.XLOOKUP(A648&amp;B648,$L$2:$L$739&amp;$M$2:$M$739,$N$2:$N$739)</f>
        <v>Low</v>
      </c>
      <c r="G648">
        <f t="shared" si="10"/>
        <v>0</v>
      </c>
      <c r="H648" t="str">
        <f>_xlfn.XLOOKUP(A648,VE!$A$2:$A$247,VE!$B$2:$B$247)</f>
        <v>Marion_Inside_UGB_3</v>
      </c>
      <c r="I648" t="str" cm="1">
        <f t="array" ref="I648">_xlfn.IFS(OR(H648=$S$2,H648=$S$13,H648=$S$5),"Other",OR(H648=$S$3,H648=$S$4,H648=$S$7,H648=$S$10,H648=$S$11),"Salem",OR(H648=$S$6),"Keizer",OR(H648=$S$8,H648=$S$9,H648=$S$12),"Marion")</f>
        <v>Marion</v>
      </c>
      <c r="L648">
        <v>411</v>
      </c>
      <c r="M648">
        <v>2021</v>
      </c>
      <c r="N648" t="s">
        <v>45</v>
      </c>
      <c r="O648">
        <v>0</v>
      </c>
    </row>
    <row r="649" spans="1:15" x14ac:dyDescent="0.25">
      <c r="A649">
        <v>411</v>
      </c>
      <c r="B649">
        <v>2050</v>
      </c>
      <c r="C649">
        <v>679</v>
      </c>
      <c r="D649">
        <v>110</v>
      </c>
      <c r="E649">
        <v>0</v>
      </c>
      <c r="F649" t="str" cm="1">
        <f t="array" ref="F649">_xlfn.XLOOKUP(A649&amp;B649,$L$2:$L$739&amp;$M$2:$M$739,$N$2:$N$739)</f>
        <v>High</v>
      </c>
      <c r="G649">
        <f t="shared" si="10"/>
        <v>789</v>
      </c>
      <c r="H649" t="str">
        <f>_xlfn.XLOOKUP(A649,VE!$A$2:$A$247,VE!$B$2:$B$247)</f>
        <v>Marion_Inside_UGB_3</v>
      </c>
      <c r="I649" t="str" cm="1">
        <f t="array" ref="I649">_xlfn.IFS(OR(H649=$S$2,H649=$S$13,H649=$S$5),"Other",OR(H649=$S$3,H649=$S$4,H649=$S$7,H649=$S$10,H649=$S$11),"Salem",OR(H649=$S$6),"Keizer",OR(H649=$S$8,H649=$S$9,H649=$S$12),"Marion")</f>
        <v>Marion</v>
      </c>
      <c r="L649">
        <v>411</v>
      </c>
      <c r="M649">
        <v>2050</v>
      </c>
      <c r="N649" t="s">
        <v>46</v>
      </c>
      <c r="O649">
        <v>1</v>
      </c>
    </row>
    <row r="650" spans="1:15" x14ac:dyDescent="0.25">
      <c r="A650">
        <v>414</v>
      </c>
      <c r="B650">
        <v>2005</v>
      </c>
      <c r="C650">
        <v>96</v>
      </c>
      <c r="D650">
        <v>0</v>
      </c>
      <c r="E650">
        <v>0</v>
      </c>
      <c r="F650" t="str" cm="1">
        <f t="array" ref="F650">_xlfn.XLOOKUP(A650&amp;B650,$L$2:$L$739&amp;$M$2:$M$739,$N$2:$N$739)</f>
        <v>Low</v>
      </c>
      <c r="G650">
        <f t="shared" si="10"/>
        <v>0</v>
      </c>
      <c r="H650" t="str">
        <f>_xlfn.XLOOKUP(A650,VE!$A$2:$A$247,VE!$B$2:$B$247)</f>
        <v>Marion_Outside_UGB</v>
      </c>
      <c r="I650" t="str" cm="1">
        <f t="array" ref="I650">_xlfn.IFS(OR(H650=$S$2,H650=$S$13,H650=$S$5),"Other",OR(H650=$S$3,H650=$S$4,H650=$S$7,H650=$S$10,H650=$S$11),"Salem",OR(H650=$S$6),"Keizer",OR(H650=$S$8,H650=$S$9,H650=$S$12),"Marion")</f>
        <v>Other</v>
      </c>
      <c r="L650">
        <v>414</v>
      </c>
      <c r="M650">
        <v>2005</v>
      </c>
      <c r="N650" t="s">
        <v>45</v>
      </c>
      <c r="O650">
        <v>0</v>
      </c>
    </row>
    <row r="651" spans="1:15" x14ac:dyDescent="0.25">
      <c r="A651">
        <v>414</v>
      </c>
      <c r="B651">
        <v>2021</v>
      </c>
      <c r="C651">
        <v>99</v>
      </c>
      <c r="D651">
        <v>15</v>
      </c>
      <c r="E651">
        <v>0</v>
      </c>
      <c r="F651" t="str" cm="1">
        <f t="array" ref="F651">_xlfn.XLOOKUP(A651&amp;B651,$L$2:$L$739&amp;$M$2:$M$739,$N$2:$N$739)</f>
        <v>Low</v>
      </c>
      <c r="G651">
        <f t="shared" si="10"/>
        <v>0</v>
      </c>
      <c r="H651" t="str">
        <f>_xlfn.XLOOKUP(A651,VE!$A$2:$A$247,VE!$B$2:$B$247)</f>
        <v>Marion_Outside_UGB</v>
      </c>
      <c r="I651" t="str" cm="1">
        <f t="array" ref="I651">_xlfn.IFS(OR(H651=$S$2,H651=$S$13,H651=$S$5),"Other",OR(H651=$S$3,H651=$S$4,H651=$S$7,H651=$S$10,H651=$S$11),"Salem",OR(H651=$S$6),"Keizer",OR(H651=$S$8,H651=$S$9,H651=$S$12),"Marion")</f>
        <v>Other</v>
      </c>
      <c r="L651">
        <v>414</v>
      </c>
      <c r="M651">
        <v>2021</v>
      </c>
      <c r="N651" t="s">
        <v>45</v>
      </c>
      <c r="O651">
        <v>0</v>
      </c>
    </row>
    <row r="652" spans="1:15" x14ac:dyDescent="0.25">
      <c r="A652">
        <v>414</v>
      </c>
      <c r="B652">
        <v>2050</v>
      </c>
      <c r="C652">
        <v>111</v>
      </c>
      <c r="D652">
        <v>15</v>
      </c>
      <c r="E652">
        <v>0</v>
      </c>
      <c r="F652" t="str" cm="1">
        <f t="array" ref="F652">_xlfn.XLOOKUP(A652&amp;B652,$L$2:$L$739&amp;$M$2:$M$739,$N$2:$N$739)</f>
        <v>Low</v>
      </c>
      <c r="G652">
        <f t="shared" si="10"/>
        <v>0</v>
      </c>
      <c r="H652" t="str">
        <f>_xlfn.XLOOKUP(A652,VE!$A$2:$A$247,VE!$B$2:$B$247)</f>
        <v>Marion_Outside_UGB</v>
      </c>
      <c r="I652" t="str" cm="1">
        <f t="array" ref="I652">_xlfn.IFS(OR(H652=$S$2,H652=$S$13,H652=$S$5),"Other",OR(H652=$S$3,H652=$S$4,H652=$S$7,H652=$S$10,H652=$S$11),"Salem",OR(H652=$S$6),"Keizer",OR(H652=$S$8,H652=$S$9,H652=$S$12),"Marion")</f>
        <v>Other</v>
      </c>
      <c r="L652">
        <v>414</v>
      </c>
      <c r="M652">
        <v>2050</v>
      </c>
      <c r="N652" t="s">
        <v>45</v>
      </c>
      <c r="O652">
        <v>0</v>
      </c>
    </row>
    <row r="653" spans="1:15" x14ac:dyDescent="0.25">
      <c r="A653">
        <v>415</v>
      </c>
      <c r="B653">
        <v>2005</v>
      </c>
      <c r="C653">
        <v>201</v>
      </c>
      <c r="D653">
        <v>0</v>
      </c>
      <c r="E653">
        <v>0</v>
      </c>
      <c r="F653" t="str" cm="1">
        <f t="array" ref="F653">_xlfn.XLOOKUP(A653&amp;B653,$L$2:$L$739&amp;$M$2:$M$739,$N$2:$N$739)</f>
        <v>Low</v>
      </c>
      <c r="G653">
        <f t="shared" si="10"/>
        <v>0</v>
      </c>
      <c r="H653" t="str">
        <f>_xlfn.XLOOKUP(A653,VE!$A$2:$A$247,VE!$B$2:$B$247)</f>
        <v>Marion_Outside_UGB</v>
      </c>
      <c r="I653" t="str" cm="1">
        <f t="array" ref="I653">_xlfn.IFS(OR(H653=$S$2,H653=$S$13,H653=$S$5),"Other",OR(H653=$S$3,H653=$S$4,H653=$S$7,H653=$S$10,H653=$S$11),"Salem",OR(H653=$S$6),"Keizer",OR(H653=$S$8,H653=$S$9,H653=$S$12),"Marion")</f>
        <v>Other</v>
      </c>
      <c r="L653">
        <v>415</v>
      </c>
      <c r="M653">
        <v>2005</v>
      </c>
      <c r="N653" t="s">
        <v>45</v>
      </c>
      <c r="O653">
        <v>0</v>
      </c>
    </row>
    <row r="654" spans="1:15" x14ac:dyDescent="0.25">
      <c r="A654">
        <v>415</v>
      </c>
      <c r="B654">
        <v>2021</v>
      </c>
      <c r="C654">
        <v>277</v>
      </c>
      <c r="D654">
        <v>18</v>
      </c>
      <c r="E654">
        <v>0</v>
      </c>
      <c r="F654" t="str" cm="1">
        <f t="array" ref="F654">_xlfn.XLOOKUP(A654&amp;B654,$L$2:$L$739&amp;$M$2:$M$739,$N$2:$N$739)</f>
        <v>Low</v>
      </c>
      <c r="G654">
        <f t="shared" si="10"/>
        <v>0</v>
      </c>
      <c r="H654" t="str">
        <f>_xlfn.XLOOKUP(A654,VE!$A$2:$A$247,VE!$B$2:$B$247)</f>
        <v>Marion_Outside_UGB</v>
      </c>
      <c r="I654" t="str" cm="1">
        <f t="array" ref="I654">_xlfn.IFS(OR(H654=$S$2,H654=$S$13,H654=$S$5),"Other",OR(H654=$S$3,H654=$S$4,H654=$S$7,H654=$S$10,H654=$S$11),"Salem",OR(H654=$S$6),"Keizer",OR(H654=$S$8,H654=$S$9,H654=$S$12),"Marion")</f>
        <v>Other</v>
      </c>
      <c r="L654">
        <v>415</v>
      </c>
      <c r="M654">
        <v>2021</v>
      </c>
      <c r="N654" t="s">
        <v>45</v>
      </c>
      <c r="O654">
        <v>0</v>
      </c>
    </row>
    <row r="655" spans="1:15" x14ac:dyDescent="0.25">
      <c r="A655">
        <v>415</v>
      </c>
      <c r="B655">
        <v>2050</v>
      </c>
      <c r="C655">
        <v>392</v>
      </c>
      <c r="D655">
        <v>21</v>
      </c>
      <c r="E655">
        <v>0</v>
      </c>
      <c r="F655" t="str" cm="1">
        <f t="array" ref="F655">_xlfn.XLOOKUP(A655&amp;B655,$L$2:$L$739&amp;$M$2:$M$739,$N$2:$N$739)</f>
        <v>Low</v>
      </c>
      <c r="G655">
        <f t="shared" si="10"/>
        <v>0</v>
      </c>
      <c r="H655" t="str">
        <f>_xlfn.XLOOKUP(A655,VE!$A$2:$A$247,VE!$B$2:$B$247)</f>
        <v>Marion_Outside_UGB</v>
      </c>
      <c r="I655" t="str" cm="1">
        <f t="array" ref="I655">_xlfn.IFS(OR(H655=$S$2,H655=$S$13,H655=$S$5),"Other",OR(H655=$S$3,H655=$S$4,H655=$S$7,H655=$S$10,H655=$S$11),"Salem",OR(H655=$S$6),"Keizer",OR(H655=$S$8,H655=$S$9,H655=$S$12),"Marion")</f>
        <v>Other</v>
      </c>
      <c r="L655">
        <v>415</v>
      </c>
      <c r="M655">
        <v>2050</v>
      </c>
      <c r="N655" t="s">
        <v>45</v>
      </c>
      <c r="O655">
        <v>0</v>
      </c>
    </row>
    <row r="656" spans="1:15" x14ac:dyDescent="0.25">
      <c r="A656">
        <v>416</v>
      </c>
      <c r="B656">
        <v>2005</v>
      </c>
      <c r="C656">
        <v>439</v>
      </c>
      <c r="D656">
        <v>19</v>
      </c>
      <c r="E656">
        <v>0</v>
      </c>
      <c r="F656" t="str" cm="1">
        <f t="array" ref="F656">_xlfn.XLOOKUP(A656&amp;B656,$L$2:$L$739&amp;$M$2:$M$739,$N$2:$N$739)</f>
        <v>Low</v>
      </c>
      <c r="G656">
        <f t="shared" si="10"/>
        <v>0</v>
      </c>
      <c r="H656" t="str">
        <f>_xlfn.XLOOKUP(A656,VE!$A$2:$A$247,VE!$B$2:$B$247)</f>
        <v>Turner</v>
      </c>
      <c r="I656" t="str" cm="1">
        <f t="array" ref="I656">_xlfn.IFS(OR(H656=$S$2,H656=$S$13,H656=$S$5),"Other",OR(H656=$S$3,H656=$S$4,H656=$S$7,H656=$S$10,H656=$S$11),"Salem",OR(H656=$S$6),"Keizer",OR(H656=$S$8,H656=$S$9,H656=$S$12),"Marion")</f>
        <v>Other</v>
      </c>
      <c r="L656">
        <v>416</v>
      </c>
      <c r="M656">
        <v>2005</v>
      </c>
      <c r="N656" t="s">
        <v>45</v>
      </c>
      <c r="O656">
        <v>0</v>
      </c>
    </row>
    <row r="657" spans="1:15" x14ac:dyDescent="0.25">
      <c r="A657">
        <v>416</v>
      </c>
      <c r="B657">
        <v>2021</v>
      </c>
      <c r="C657">
        <v>623</v>
      </c>
      <c r="D657">
        <v>197</v>
      </c>
      <c r="E657">
        <v>0</v>
      </c>
      <c r="F657" t="str" cm="1">
        <f t="array" ref="F657">_xlfn.XLOOKUP(A657&amp;B657,$L$2:$L$739&amp;$M$2:$M$739,$N$2:$N$739)</f>
        <v>Low</v>
      </c>
      <c r="G657">
        <f t="shared" si="10"/>
        <v>0</v>
      </c>
      <c r="H657" t="str">
        <f>_xlfn.XLOOKUP(A657,VE!$A$2:$A$247,VE!$B$2:$B$247)</f>
        <v>Turner</v>
      </c>
      <c r="I657" t="str" cm="1">
        <f t="array" ref="I657">_xlfn.IFS(OR(H657=$S$2,H657=$S$13,H657=$S$5),"Other",OR(H657=$S$3,H657=$S$4,H657=$S$7,H657=$S$10,H657=$S$11),"Salem",OR(H657=$S$6),"Keizer",OR(H657=$S$8,H657=$S$9,H657=$S$12),"Marion")</f>
        <v>Other</v>
      </c>
      <c r="L657">
        <v>416</v>
      </c>
      <c r="M657">
        <v>2021</v>
      </c>
      <c r="N657" t="s">
        <v>45</v>
      </c>
      <c r="O657">
        <v>0</v>
      </c>
    </row>
    <row r="658" spans="1:15" x14ac:dyDescent="0.25">
      <c r="A658">
        <v>416</v>
      </c>
      <c r="B658">
        <v>2050</v>
      </c>
      <c r="C658">
        <v>1000</v>
      </c>
      <c r="D658">
        <v>333</v>
      </c>
      <c r="E658">
        <v>0</v>
      </c>
      <c r="F658" t="str" cm="1">
        <f t="array" ref="F658">_xlfn.XLOOKUP(A658&amp;B658,$L$2:$L$739&amp;$M$2:$M$739,$N$2:$N$739)</f>
        <v>Low</v>
      </c>
      <c r="G658">
        <f t="shared" si="10"/>
        <v>0</v>
      </c>
      <c r="H658" t="str">
        <f>_xlfn.XLOOKUP(A658,VE!$A$2:$A$247,VE!$B$2:$B$247)</f>
        <v>Turner</v>
      </c>
      <c r="I658" t="str" cm="1">
        <f t="array" ref="I658">_xlfn.IFS(OR(H658=$S$2,H658=$S$13,H658=$S$5),"Other",OR(H658=$S$3,H658=$S$4,H658=$S$7,H658=$S$10,H658=$S$11),"Salem",OR(H658=$S$6),"Keizer",OR(H658=$S$8,H658=$S$9,H658=$S$12),"Marion")</f>
        <v>Other</v>
      </c>
      <c r="L658">
        <v>416</v>
      </c>
      <c r="M658">
        <v>2050</v>
      </c>
      <c r="N658" t="s">
        <v>45</v>
      </c>
      <c r="O658">
        <v>0</v>
      </c>
    </row>
    <row r="659" spans="1:15" x14ac:dyDescent="0.25">
      <c r="A659">
        <v>417</v>
      </c>
      <c r="B659">
        <v>2005</v>
      </c>
      <c r="C659">
        <v>131</v>
      </c>
      <c r="D659">
        <v>0</v>
      </c>
      <c r="E659">
        <v>0</v>
      </c>
      <c r="F659" t="str" cm="1">
        <f t="array" ref="F659">_xlfn.XLOOKUP(A659&amp;B659,$L$2:$L$739&amp;$M$2:$M$739,$N$2:$N$739)</f>
        <v>Low</v>
      </c>
      <c r="G659">
        <f t="shared" si="10"/>
        <v>0</v>
      </c>
      <c r="H659" t="str">
        <f>_xlfn.XLOOKUP(A659,VE!$A$2:$A$247,VE!$B$2:$B$247)</f>
        <v>Turner</v>
      </c>
      <c r="I659" t="str" cm="1">
        <f t="array" ref="I659">_xlfn.IFS(OR(H659=$S$2,H659=$S$13,H659=$S$5),"Other",OR(H659=$S$3,H659=$S$4,H659=$S$7,H659=$S$10,H659=$S$11),"Salem",OR(H659=$S$6),"Keizer",OR(H659=$S$8,H659=$S$9,H659=$S$12),"Marion")</f>
        <v>Other</v>
      </c>
      <c r="L659">
        <v>417</v>
      </c>
      <c r="M659">
        <v>2005</v>
      </c>
      <c r="N659" t="s">
        <v>45</v>
      </c>
      <c r="O659">
        <v>0</v>
      </c>
    </row>
    <row r="660" spans="1:15" x14ac:dyDescent="0.25">
      <c r="A660">
        <v>417</v>
      </c>
      <c r="B660">
        <v>2021</v>
      </c>
      <c r="C660">
        <v>221</v>
      </c>
      <c r="D660">
        <v>45</v>
      </c>
      <c r="E660">
        <v>0</v>
      </c>
      <c r="F660" t="str" cm="1">
        <f t="array" ref="F660">_xlfn.XLOOKUP(A660&amp;B660,$L$2:$L$739&amp;$M$2:$M$739,$N$2:$N$739)</f>
        <v>Low</v>
      </c>
      <c r="G660">
        <f t="shared" si="10"/>
        <v>0</v>
      </c>
      <c r="H660" t="str">
        <f>_xlfn.XLOOKUP(A660,VE!$A$2:$A$247,VE!$B$2:$B$247)</f>
        <v>Turner</v>
      </c>
      <c r="I660" t="str" cm="1">
        <f t="array" ref="I660">_xlfn.IFS(OR(H660=$S$2,H660=$S$13,H660=$S$5),"Other",OR(H660=$S$3,H660=$S$4,H660=$S$7,H660=$S$10,H660=$S$11),"Salem",OR(H660=$S$6),"Keizer",OR(H660=$S$8,H660=$S$9,H660=$S$12),"Marion")</f>
        <v>Other</v>
      </c>
      <c r="L660">
        <v>417</v>
      </c>
      <c r="M660">
        <v>2021</v>
      </c>
      <c r="N660" t="s">
        <v>45</v>
      </c>
      <c r="O660">
        <v>0</v>
      </c>
    </row>
    <row r="661" spans="1:15" x14ac:dyDescent="0.25">
      <c r="A661">
        <v>417</v>
      </c>
      <c r="B661">
        <v>2050</v>
      </c>
      <c r="C661">
        <v>229</v>
      </c>
      <c r="D661">
        <v>44</v>
      </c>
      <c r="E661">
        <v>0</v>
      </c>
      <c r="F661" t="str" cm="1">
        <f t="array" ref="F661">_xlfn.XLOOKUP(A661&amp;B661,$L$2:$L$739&amp;$M$2:$M$739,$N$2:$N$739)</f>
        <v>Low</v>
      </c>
      <c r="G661">
        <f t="shared" si="10"/>
        <v>0</v>
      </c>
      <c r="H661" t="str">
        <f>_xlfn.XLOOKUP(A661,VE!$A$2:$A$247,VE!$B$2:$B$247)</f>
        <v>Turner</v>
      </c>
      <c r="I661" t="str" cm="1">
        <f t="array" ref="I661">_xlfn.IFS(OR(H661=$S$2,H661=$S$13,H661=$S$5),"Other",OR(H661=$S$3,H661=$S$4,H661=$S$7,H661=$S$10,H661=$S$11),"Salem",OR(H661=$S$6),"Keizer",OR(H661=$S$8,H661=$S$9,H661=$S$12),"Marion")</f>
        <v>Other</v>
      </c>
      <c r="L661">
        <v>417</v>
      </c>
      <c r="M661">
        <v>2050</v>
      </c>
      <c r="N661" t="s">
        <v>45</v>
      </c>
      <c r="O661">
        <v>0</v>
      </c>
    </row>
    <row r="662" spans="1:15" x14ac:dyDescent="0.25">
      <c r="A662">
        <v>418</v>
      </c>
      <c r="B662">
        <v>2005</v>
      </c>
      <c r="C662">
        <v>0</v>
      </c>
      <c r="D662">
        <v>1</v>
      </c>
      <c r="E662">
        <v>0</v>
      </c>
      <c r="F662" t="str" cm="1">
        <f t="array" ref="F662">_xlfn.XLOOKUP(A662&amp;B662,$L$2:$L$739&amp;$M$2:$M$739,$N$2:$N$739)</f>
        <v>Low</v>
      </c>
      <c r="G662">
        <f t="shared" si="10"/>
        <v>0</v>
      </c>
      <c r="H662" t="str">
        <f>_xlfn.XLOOKUP(A662,VE!$A$2:$A$247,VE!$B$2:$B$247)</f>
        <v>Marion_Outside_UGB</v>
      </c>
      <c r="I662" t="str" cm="1">
        <f t="array" ref="I662">_xlfn.IFS(OR(H662=$S$2,H662=$S$13,H662=$S$5),"Other",OR(H662=$S$3,H662=$S$4,H662=$S$7,H662=$S$10,H662=$S$11),"Salem",OR(H662=$S$6),"Keizer",OR(H662=$S$8,H662=$S$9,H662=$S$12),"Marion")</f>
        <v>Other</v>
      </c>
      <c r="L662">
        <v>418</v>
      </c>
      <c r="M662">
        <v>2005</v>
      </c>
      <c r="N662" t="s">
        <v>45</v>
      </c>
      <c r="O662">
        <v>0</v>
      </c>
    </row>
    <row r="663" spans="1:15" x14ac:dyDescent="0.25">
      <c r="A663">
        <v>418</v>
      </c>
      <c r="B663">
        <v>2021</v>
      </c>
      <c r="C663">
        <v>173</v>
      </c>
      <c r="D663">
        <v>21</v>
      </c>
      <c r="E663">
        <v>0</v>
      </c>
      <c r="F663" t="str" cm="1">
        <f t="array" ref="F663">_xlfn.XLOOKUP(A663&amp;B663,$L$2:$L$739&amp;$M$2:$M$739,$N$2:$N$739)</f>
        <v>Low</v>
      </c>
      <c r="G663">
        <f t="shared" si="10"/>
        <v>0</v>
      </c>
      <c r="H663" t="str">
        <f>_xlfn.XLOOKUP(A663,VE!$A$2:$A$247,VE!$B$2:$B$247)</f>
        <v>Marion_Outside_UGB</v>
      </c>
      <c r="I663" t="str" cm="1">
        <f t="array" ref="I663">_xlfn.IFS(OR(H663=$S$2,H663=$S$13,H663=$S$5),"Other",OR(H663=$S$3,H663=$S$4,H663=$S$7,H663=$S$10,H663=$S$11),"Salem",OR(H663=$S$6),"Keizer",OR(H663=$S$8,H663=$S$9,H663=$S$12),"Marion")</f>
        <v>Other</v>
      </c>
      <c r="L663">
        <v>418</v>
      </c>
      <c r="M663">
        <v>2021</v>
      </c>
      <c r="N663" t="s">
        <v>45</v>
      </c>
      <c r="O663">
        <v>0</v>
      </c>
    </row>
    <row r="664" spans="1:15" x14ac:dyDescent="0.25">
      <c r="A664">
        <v>418</v>
      </c>
      <c r="B664">
        <v>2050</v>
      </c>
      <c r="C664">
        <v>186</v>
      </c>
      <c r="D664">
        <v>21</v>
      </c>
      <c r="E664">
        <v>0</v>
      </c>
      <c r="F664" t="str" cm="1">
        <f t="array" ref="F664">_xlfn.XLOOKUP(A664&amp;B664,$L$2:$L$739&amp;$M$2:$M$739,$N$2:$N$739)</f>
        <v>Low</v>
      </c>
      <c r="G664">
        <f t="shared" si="10"/>
        <v>0</v>
      </c>
      <c r="H664" t="str">
        <f>_xlfn.XLOOKUP(A664,VE!$A$2:$A$247,VE!$B$2:$B$247)</f>
        <v>Marion_Outside_UGB</v>
      </c>
      <c r="I664" t="str" cm="1">
        <f t="array" ref="I664">_xlfn.IFS(OR(H664=$S$2,H664=$S$13,H664=$S$5),"Other",OR(H664=$S$3,H664=$S$4,H664=$S$7,H664=$S$10,H664=$S$11),"Salem",OR(H664=$S$6),"Keizer",OR(H664=$S$8,H664=$S$9,H664=$S$12),"Marion")</f>
        <v>Other</v>
      </c>
      <c r="L664">
        <v>418</v>
      </c>
      <c r="M664">
        <v>2050</v>
      </c>
      <c r="N664" t="s">
        <v>45</v>
      </c>
      <c r="O664">
        <v>0</v>
      </c>
    </row>
    <row r="665" spans="1:15" x14ac:dyDescent="0.25">
      <c r="A665">
        <v>419</v>
      </c>
      <c r="B665">
        <v>2005</v>
      </c>
      <c r="C665">
        <v>69</v>
      </c>
      <c r="D665">
        <v>4</v>
      </c>
      <c r="E665">
        <v>0</v>
      </c>
      <c r="F665" t="str" cm="1">
        <f t="array" ref="F665">_xlfn.XLOOKUP(A665&amp;B665,$L$2:$L$739&amp;$M$2:$M$739,$N$2:$N$739)</f>
        <v>Low</v>
      </c>
      <c r="G665">
        <f t="shared" si="10"/>
        <v>0</v>
      </c>
      <c r="H665" t="str">
        <f>_xlfn.XLOOKUP(A665,VE!$A$2:$A$247,VE!$B$2:$B$247)</f>
        <v>Marion_Outside_UGB</v>
      </c>
      <c r="I665" t="str" cm="1">
        <f t="array" ref="I665">_xlfn.IFS(OR(H665=$S$2,H665=$S$13,H665=$S$5),"Other",OR(H665=$S$3,H665=$S$4,H665=$S$7,H665=$S$10,H665=$S$11),"Salem",OR(H665=$S$6),"Keizer",OR(H665=$S$8,H665=$S$9,H665=$S$12),"Marion")</f>
        <v>Other</v>
      </c>
      <c r="L665">
        <v>419</v>
      </c>
      <c r="M665">
        <v>2005</v>
      </c>
      <c r="N665" t="s">
        <v>45</v>
      </c>
      <c r="O665">
        <v>0</v>
      </c>
    </row>
    <row r="666" spans="1:15" x14ac:dyDescent="0.25">
      <c r="A666">
        <v>419</v>
      </c>
      <c r="B666">
        <v>2021</v>
      </c>
      <c r="C666">
        <v>69</v>
      </c>
      <c r="D666">
        <v>4</v>
      </c>
      <c r="E666">
        <v>0</v>
      </c>
      <c r="F666" t="str" cm="1">
        <f t="array" ref="F666">_xlfn.XLOOKUP(A666&amp;B666,$L$2:$L$739&amp;$M$2:$M$739,$N$2:$N$739)</f>
        <v>Low</v>
      </c>
      <c r="G666">
        <f t="shared" si="10"/>
        <v>0</v>
      </c>
      <c r="H666" t="str">
        <f>_xlfn.XLOOKUP(A666,VE!$A$2:$A$247,VE!$B$2:$B$247)</f>
        <v>Marion_Outside_UGB</v>
      </c>
      <c r="I666" t="str" cm="1">
        <f t="array" ref="I666">_xlfn.IFS(OR(H666=$S$2,H666=$S$13,H666=$S$5),"Other",OR(H666=$S$3,H666=$S$4,H666=$S$7,H666=$S$10,H666=$S$11),"Salem",OR(H666=$S$6),"Keizer",OR(H666=$S$8,H666=$S$9,H666=$S$12),"Marion")</f>
        <v>Other</v>
      </c>
      <c r="L666">
        <v>419</v>
      </c>
      <c r="M666">
        <v>2021</v>
      </c>
      <c r="N666" t="s">
        <v>45</v>
      </c>
      <c r="O666">
        <v>0</v>
      </c>
    </row>
    <row r="667" spans="1:15" x14ac:dyDescent="0.25">
      <c r="A667">
        <v>419</v>
      </c>
      <c r="B667">
        <v>2050</v>
      </c>
      <c r="C667">
        <v>81</v>
      </c>
      <c r="D667">
        <v>3</v>
      </c>
      <c r="E667">
        <v>0</v>
      </c>
      <c r="F667" t="str" cm="1">
        <f t="array" ref="F667">_xlfn.XLOOKUP(A667&amp;B667,$L$2:$L$739&amp;$M$2:$M$739,$N$2:$N$739)</f>
        <v>Low</v>
      </c>
      <c r="G667">
        <f t="shared" si="10"/>
        <v>0</v>
      </c>
      <c r="H667" t="str">
        <f>_xlfn.XLOOKUP(A667,VE!$A$2:$A$247,VE!$B$2:$B$247)</f>
        <v>Marion_Outside_UGB</v>
      </c>
      <c r="I667" t="str" cm="1">
        <f t="array" ref="I667">_xlfn.IFS(OR(H667=$S$2,H667=$S$13,H667=$S$5),"Other",OR(H667=$S$3,H667=$S$4,H667=$S$7,H667=$S$10,H667=$S$11),"Salem",OR(H667=$S$6),"Keizer",OR(H667=$S$8,H667=$S$9,H667=$S$12),"Marion")</f>
        <v>Other</v>
      </c>
      <c r="L667">
        <v>419</v>
      </c>
      <c r="M667">
        <v>2050</v>
      </c>
      <c r="N667" t="s">
        <v>45</v>
      </c>
      <c r="O667">
        <v>0</v>
      </c>
    </row>
    <row r="668" spans="1:15" x14ac:dyDescent="0.25">
      <c r="A668">
        <v>420</v>
      </c>
      <c r="B668">
        <v>2005</v>
      </c>
      <c r="C668">
        <v>114</v>
      </c>
      <c r="D668">
        <v>7</v>
      </c>
      <c r="E668">
        <v>0</v>
      </c>
      <c r="F668" t="str" cm="1">
        <f t="array" ref="F668">_xlfn.XLOOKUP(A668&amp;B668,$L$2:$L$739&amp;$M$2:$M$739,$N$2:$N$739)</f>
        <v>Low</v>
      </c>
      <c r="G668">
        <f t="shared" si="10"/>
        <v>0</v>
      </c>
      <c r="H668" t="str">
        <f>_xlfn.XLOOKUP(A668,VE!$A$2:$A$247,VE!$B$2:$B$247)</f>
        <v>Marion_Outside_UGB</v>
      </c>
      <c r="I668" t="str" cm="1">
        <f t="array" ref="I668">_xlfn.IFS(OR(H668=$S$2,H668=$S$13,H668=$S$5),"Other",OR(H668=$S$3,H668=$S$4,H668=$S$7,H668=$S$10,H668=$S$11),"Salem",OR(H668=$S$6),"Keizer",OR(H668=$S$8,H668=$S$9,H668=$S$12),"Marion")</f>
        <v>Other</v>
      </c>
      <c r="L668">
        <v>420</v>
      </c>
      <c r="M668">
        <v>2005</v>
      </c>
      <c r="N668" t="s">
        <v>45</v>
      </c>
      <c r="O668">
        <v>0</v>
      </c>
    </row>
    <row r="669" spans="1:15" x14ac:dyDescent="0.25">
      <c r="A669">
        <v>420</v>
      </c>
      <c r="B669">
        <v>2021</v>
      </c>
      <c r="C669">
        <v>199</v>
      </c>
      <c r="D669">
        <v>4</v>
      </c>
      <c r="E669">
        <v>0</v>
      </c>
      <c r="F669" t="str" cm="1">
        <f t="array" ref="F669">_xlfn.XLOOKUP(A669&amp;B669,$L$2:$L$739&amp;$M$2:$M$739,$N$2:$N$739)</f>
        <v>Low</v>
      </c>
      <c r="G669">
        <f t="shared" si="10"/>
        <v>0</v>
      </c>
      <c r="H669" t="str">
        <f>_xlfn.XLOOKUP(A669,VE!$A$2:$A$247,VE!$B$2:$B$247)</f>
        <v>Marion_Outside_UGB</v>
      </c>
      <c r="I669" t="str" cm="1">
        <f t="array" ref="I669">_xlfn.IFS(OR(H669=$S$2,H669=$S$13,H669=$S$5),"Other",OR(H669=$S$3,H669=$S$4,H669=$S$7,H669=$S$10,H669=$S$11),"Salem",OR(H669=$S$6),"Keizer",OR(H669=$S$8,H669=$S$9,H669=$S$12),"Marion")</f>
        <v>Other</v>
      </c>
      <c r="L669">
        <v>420</v>
      </c>
      <c r="M669">
        <v>2021</v>
      </c>
      <c r="N669" t="s">
        <v>45</v>
      </c>
      <c r="O669">
        <v>0</v>
      </c>
    </row>
    <row r="670" spans="1:15" x14ac:dyDescent="0.25">
      <c r="A670">
        <v>420</v>
      </c>
      <c r="B670">
        <v>2050</v>
      </c>
      <c r="C670">
        <v>242</v>
      </c>
      <c r="D670">
        <v>5</v>
      </c>
      <c r="E670">
        <v>0</v>
      </c>
      <c r="F670" t="str" cm="1">
        <f t="array" ref="F670">_xlfn.XLOOKUP(A670&amp;B670,$L$2:$L$739&amp;$M$2:$M$739,$N$2:$N$739)</f>
        <v>Low</v>
      </c>
      <c r="G670">
        <f t="shared" si="10"/>
        <v>0</v>
      </c>
      <c r="H670" t="str">
        <f>_xlfn.XLOOKUP(A670,VE!$A$2:$A$247,VE!$B$2:$B$247)</f>
        <v>Marion_Outside_UGB</v>
      </c>
      <c r="I670" t="str" cm="1">
        <f t="array" ref="I670">_xlfn.IFS(OR(H670=$S$2,H670=$S$13,H670=$S$5),"Other",OR(H670=$S$3,H670=$S$4,H670=$S$7,H670=$S$10,H670=$S$11),"Salem",OR(H670=$S$6),"Keizer",OR(H670=$S$8,H670=$S$9,H670=$S$12),"Marion")</f>
        <v>Other</v>
      </c>
      <c r="L670">
        <v>420</v>
      </c>
      <c r="M670">
        <v>2050</v>
      </c>
      <c r="N670" t="s">
        <v>45</v>
      </c>
      <c r="O670">
        <v>0</v>
      </c>
    </row>
    <row r="671" spans="1:15" x14ac:dyDescent="0.25">
      <c r="A671">
        <v>421</v>
      </c>
      <c r="B671">
        <v>2005</v>
      </c>
      <c r="C671">
        <v>111</v>
      </c>
      <c r="D671">
        <v>120</v>
      </c>
      <c r="E671">
        <v>0</v>
      </c>
      <c r="F671" t="str" cm="1">
        <f t="array" ref="F671">_xlfn.XLOOKUP(A671&amp;B671,$L$2:$L$739&amp;$M$2:$M$739,$N$2:$N$739)</f>
        <v>Low</v>
      </c>
      <c r="G671">
        <f t="shared" si="10"/>
        <v>0</v>
      </c>
      <c r="H671" t="str">
        <f>_xlfn.XLOOKUP(A671,VE!$A$2:$A$247,VE!$B$2:$B$247)</f>
        <v>Salem_5</v>
      </c>
      <c r="I671" t="str" cm="1">
        <f t="array" ref="I671">_xlfn.IFS(OR(H671=$S$2,H671=$S$13,H671=$S$5),"Other",OR(H671=$S$3,H671=$S$4,H671=$S$7,H671=$S$10,H671=$S$11),"Salem",OR(H671=$S$6),"Keizer",OR(H671=$S$8,H671=$S$9,H671=$S$12),"Marion")</f>
        <v>Salem</v>
      </c>
      <c r="L671">
        <v>421</v>
      </c>
      <c r="M671">
        <v>2005</v>
      </c>
      <c r="N671" t="s">
        <v>45</v>
      </c>
      <c r="O671">
        <v>0</v>
      </c>
    </row>
    <row r="672" spans="1:15" x14ac:dyDescent="0.25">
      <c r="A672">
        <v>421</v>
      </c>
      <c r="B672">
        <v>2021</v>
      </c>
      <c r="C672">
        <v>282</v>
      </c>
      <c r="D672">
        <v>294</v>
      </c>
      <c r="E672">
        <v>0</v>
      </c>
      <c r="F672" t="str" cm="1">
        <f t="array" ref="F672">_xlfn.XLOOKUP(A672&amp;B672,$L$2:$L$739&amp;$M$2:$M$739,$N$2:$N$739)</f>
        <v>Low</v>
      </c>
      <c r="G672">
        <f t="shared" si="10"/>
        <v>0</v>
      </c>
      <c r="H672" t="str">
        <f>_xlfn.XLOOKUP(A672,VE!$A$2:$A$247,VE!$B$2:$B$247)</f>
        <v>Salem_5</v>
      </c>
      <c r="I672" t="str" cm="1">
        <f t="array" ref="I672">_xlfn.IFS(OR(H672=$S$2,H672=$S$13,H672=$S$5),"Other",OR(H672=$S$3,H672=$S$4,H672=$S$7,H672=$S$10,H672=$S$11),"Salem",OR(H672=$S$6),"Keizer",OR(H672=$S$8,H672=$S$9,H672=$S$12),"Marion")</f>
        <v>Salem</v>
      </c>
      <c r="L672">
        <v>421</v>
      </c>
      <c r="M672">
        <v>2021</v>
      </c>
      <c r="N672" t="s">
        <v>45</v>
      </c>
      <c r="O672">
        <v>0</v>
      </c>
    </row>
    <row r="673" spans="1:15" x14ac:dyDescent="0.25">
      <c r="A673">
        <v>421</v>
      </c>
      <c r="B673">
        <v>2050</v>
      </c>
      <c r="C673">
        <v>403</v>
      </c>
      <c r="D673">
        <v>292</v>
      </c>
      <c r="E673">
        <v>0</v>
      </c>
      <c r="F673" t="str" cm="1">
        <f t="array" ref="F673">_xlfn.XLOOKUP(A673&amp;B673,$L$2:$L$739&amp;$M$2:$M$739,$N$2:$N$739)</f>
        <v>Low</v>
      </c>
      <c r="G673">
        <f t="shared" si="10"/>
        <v>0</v>
      </c>
      <c r="H673" t="str">
        <f>_xlfn.XLOOKUP(A673,VE!$A$2:$A$247,VE!$B$2:$B$247)</f>
        <v>Salem_5</v>
      </c>
      <c r="I673" t="str" cm="1">
        <f t="array" ref="I673">_xlfn.IFS(OR(H673=$S$2,H673=$S$13,H673=$S$5),"Other",OR(H673=$S$3,H673=$S$4,H673=$S$7,H673=$S$10,H673=$S$11),"Salem",OR(H673=$S$6),"Keizer",OR(H673=$S$8,H673=$S$9,H673=$S$12),"Marion")</f>
        <v>Salem</v>
      </c>
      <c r="L673">
        <v>421</v>
      </c>
      <c r="M673">
        <v>2050</v>
      </c>
      <c r="N673" t="s">
        <v>45</v>
      </c>
      <c r="O673">
        <v>0</v>
      </c>
    </row>
    <row r="674" spans="1:15" x14ac:dyDescent="0.25">
      <c r="A674">
        <v>422</v>
      </c>
      <c r="B674">
        <v>2005</v>
      </c>
      <c r="C674">
        <v>109</v>
      </c>
      <c r="D674">
        <v>2</v>
      </c>
      <c r="E674">
        <v>0</v>
      </c>
      <c r="F674" t="str" cm="1">
        <f t="array" ref="F674">_xlfn.XLOOKUP(A674&amp;B674,$L$2:$L$739&amp;$M$2:$M$739,$N$2:$N$739)</f>
        <v>Low</v>
      </c>
      <c r="G674">
        <f t="shared" si="10"/>
        <v>0</v>
      </c>
      <c r="H674" t="str">
        <f>_xlfn.XLOOKUP(A674,VE!$A$2:$A$247,VE!$B$2:$B$247)</f>
        <v>Marion_Outside_UGB</v>
      </c>
      <c r="I674" t="str" cm="1">
        <f t="array" ref="I674">_xlfn.IFS(OR(H674=$S$2,H674=$S$13,H674=$S$5),"Other",OR(H674=$S$3,H674=$S$4,H674=$S$7,H674=$S$10,H674=$S$11),"Salem",OR(H674=$S$6),"Keizer",OR(H674=$S$8,H674=$S$9,H674=$S$12),"Marion")</f>
        <v>Other</v>
      </c>
      <c r="L674">
        <v>422</v>
      </c>
      <c r="M674">
        <v>2005</v>
      </c>
      <c r="N674" t="s">
        <v>45</v>
      </c>
      <c r="O674">
        <v>0</v>
      </c>
    </row>
    <row r="675" spans="1:15" x14ac:dyDescent="0.25">
      <c r="A675">
        <v>422</v>
      </c>
      <c r="B675">
        <v>2021</v>
      </c>
      <c r="C675">
        <v>113</v>
      </c>
      <c r="D675">
        <v>3</v>
      </c>
      <c r="E675">
        <v>0</v>
      </c>
      <c r="F675" t="str" cm="1">
        <f t="array" ref="F675">_xlfn.XLOOKUP(A675&amp;B675,$L$2:$L$739&amp;$M$2:$M$739,$N$2:$N$739)</f>
        <v>Low</v>
      </c>
      <c r="G675">
        <f t="shared" si="10"/>
        <v>0</v>
      </c>
      <c r="H675" t="str">
        <f>_xlfn.XLOOKUP(A675,VE!$A$2:$A$247,VE!$B$2:$B$247)</f>
        <v>Marion_Outside_UGB</v>
      </c>
      <c r="I675" t="str" cm="1">
        <f t="array" ref="I675">_xlfn.IFS(OR(H675=$S$2,H675=$S$13,H675=$S$5),"Other",OR(H675=$S$3,H675=$S$4,H675=$S$7,H675=$S$10,H675=$S$11),"Salem",OR(H675=$S$6),"Keizer",OR(H675=$S$8,H675=$S$9,H675=$S$12),"Marion")</f>
        <v>Other</v>
      </c>
      <c r="L675">
        <v>422</v>
      </c>
      <c r="M675">
        <v>2021</v>
      </c>
      <c r="N675" t="s">
        <v>45</v>
      </c>
      <c r="O675">
        <v>0</v>
      </c>
    </row>
    <row r="676" spans="1:15" x14ac:dyDescent="0.25">
      <c r="A676">
        <v>422</v>
      </c>
      <c r="B676">
        <v>2050</v>
      </c>
      <c r="C676">
        <v>125</v>
      </c>
      <c r="D676">
        <v>4</v>
      </c>
      <c r="E676">
        <v>0</v>
      </c>
      <c r="F676" t="str" cm="1">
        <f t="array" ref="F676">_xlfn.XLOOKUP(A676&amp;B676,$L$2:$L$739&amp;$M$2:$M$739,$N$2:$N$739)</f>
        <v>Low</v>
      </c>
      <c r="G676">
        <f t="shared" si="10"/>
        <v>0</v>
      </c>
      <c r="H676" t="str">
        <f>_xlfn.XLOOKUP(A676,VE!$A$2:$A$247,VE!$B$2:$B$247)</f>
        <v>Marion_Outside_UGB</v>
      </c>
      <c r="I676" t="str" cm="1">
        <f t="array" ref="I676">_xlfn.IFS(OR(H676=$S$2,H676=$S$13,H676=$S$5),"Other",OR(H676=$S$3,H676=$S$4,H676=$S$7,H676=$S$10,H676=$S$11),"Salem",OR(H676=$S$6),"Keizer",OR(H676=$S$8,H676=$S$9,H676=$S$12),"Marion")</f>
        <v>Other</v>
      </c>
      <c r="L676">
        <v>422</v>
      </c>
      <c r="M676">
        <v>2050</v>
      </c>
      <c r="N676" t="s">
        <v>45</v>
      </c>
      <c r="O676">
        <v>0</v>
      </c>
    </row>
    <row r="677" spans="1:15" x14ac:dyDescent="0.25">
      <c r="A677">
        <v>423</v>
      </c>
      <c r="B677">
        <v>2005</v>
      </c>
      <c r="C677">
        <v>139</v>
      </c>
      <c r="D677">
        <v>0</v>
      </c>
      <c r="E677">
        <v>0</v>
      </c>
      <c r="F677" t="str" cm="1">
        <f t="array" ref="F677">_xlfn.XLOOKUP(A677&amp;B677,$L$2:$L$739&amp;$M$2:$M$739,$N$2:$N$739)</f>
        <v>Low</v>
      </c>
      <c r="G677">
        <f t="shared" si="10"/>
        <v>0</v>
      </c>
      <c r="H677" t="str">
        <f>_xlfn.XLOOKUP(A677,VE!$A$2:$A$247,VE!$B$2:$B$247)</f>
        <v>Marion_Outside_UGB</v>
      </c>
      <c r="I677" t="str" cm="1">
        <f t="array" ref="I677">_xlfn.IFS(OR(H677=$S$2,H677=$S$13,H677=$S$5),"Other",OR(H677=$S$3,H677=$S$4,H677=$S$7,H677=$S$10,H677=$S$11),"Salem",OR(H677=$S$6),"Keizer",OR(H677=$S$8,H677=$S$9,H677=$S$12),"Marion")</f>
        <v>Other</v>
      </c>
      <c r="L677">
        <v>423</v>
      </c>
      <c r="M677">
        <v>2005</v>
      </c>
      <c r="N677" t="s">
        <v>45</v>
      </c>
      <c r="O677">
        <v>0</v>
      </c>
    </row>
    <row r="678" spans="1:15" x14ac:dyDescent="0.25">
      <c r="A678">
        <v>423</v>
      </c>
      <c r="B678">
        <v>2021</v>
      </c>
      <c r="C678">
        <v>143</v>
      </c>
      <c r="D678">
        <v>19</v>
      </c>
      <c r="E678">
        <v>0</v>
      </c>
      <c r="F678" t="str" cm="1">
        <f t="array" ref="F678">_xlfn.XLOOKUP(A678&amp;B678,$L$2:$L$739&amp;$M$2:$M$739,$N$2:$N$739)</f>
        <v>Low</v>
      </c>
      <c r="G678">
        <f t="shared" si="10"/>
        <v>0</v>
      </c>
      <c r="H678" t="str">
        <f>_xlfn.XLOOKUP(A678,VE!$A$2:$A$247,VE!$B$2:$B$247)</f>
        <v>Marion_Outside_UGB</v>
      </c>
      <c r="I678" t="str" cm="1">
        <f t="array" ref="I678">_xlfn.IFS(OR(H678=$S$2,H678=$S$13,H678=$S$5),"Other",OR(H678=$S$3,H678=$S$4,H678=$S$7,H678=$S$10,H678=$S$11),"Salem",OR(H678=$S$6),"Keizer",OR(H678=$S$8,H678=$S$9,H678=$S$12),"Marion")</f>
        <v>Other</v>
      </c>
      <c r="L678">
        <v>423</v>
      </c>
      <c r="M678">
        <v>2021</v>
      </c>
      <c r="N678" t="s">
        <v>45</v>
      </c>
      <c r="O678">
        <v>0</v>
      </c>
    </row>
    <row r="679" spans="1:15" x14ac:dyDescent="0.25">
      <c r="A679">
        <v>423</v>
      </c>
      <c r="B679">
        <v>2050</v>
      </c>
      <c r="C679">
        <v>157</v>
      </c>
      <c r="D679">
        <v>20</v>
      </c>
      <c r="E679">
        <v>0</v>
      </c>
      <c r="F679" t="str" cm="1">
        <f t="array" ref="F679">_xlfn.XLOOKUP(A679&amp;B679,$L$2:$L$739&amp;$M$2:$M$739,$N$2:$N$739)</f>
        <v>Low</v>
      </c>
      <c r="G679">
        <f t="shared" si="10"/>
        <v>0</v>
      </c>
      <c r="H679" t="str">
        <f>_xlfn.XLOOKUP(A679,VE!$A$2:$A$247,VE!$B$2:$B$247)</f>
        <v>Marion_Outside_UGB</v>
      </c>
      <c r="I679" t="str" cm="1">
        <f t="array" ref="I679">_xlfn.IFS(OR(H679=$S$2,H679=$S$13,H679=$S$5),"Other",OR(H679=$S$3,H679=$S$4,H679=$S$7,H679=$S$10,H679=$S$11),"Salem",OR(H679=$S$6),"Keizer",OR(H679=$S$8,H679=$S$9,H679=$S$12),"Marion")</f>
        <v>Other</v>
      </c>
      <c r="L679">
        <v>423</v>
      </c>
      <c r="M679">
        <v>2050</v>
      </c>
      <c r="N679" t="s">
        <v>45</v>
      </c>
      <c r="O679">
        <v>0</v>
      </c>
    </row>
    <row r="680" spans="1:15" x14ac:dyDescent="0.25">
      <c r="A680">
        <v>424</v>
      </c>
      <c r="B680">
        <v>2005</v>
      </c>
      <c r="C680">
        <v>251</v>
      </c>
      <c r="D680">
        <v>13</v>
      </c>
      <c r="E680">
        <v>0</v>
      </c>
      <c r="F680" t="str" cm="1">
        <f t="array" ref="F680">_xlfn.XLOOKUP(A680&amp;B680,$L$2:$L$739&amp;$M$2:$M$739,$N$2:$N$739)</f>
        <v>Low</v>
      </c>
      <c r="G680">
        <f t="shared" si="10"/>
        <v>0</v>
      </c>
      <c r="H680" t="str">
        <f>_xlfn.XLOOKUP(A680,VE!$A$2:$A$247,VE!$B$2:$B$247)</f>
        <v>Marion_Outside_UGB</v>
      </c>
      <c r="I680" t="str" cm="1">
        <f t="array" ref="I680">_xlfn.IFS(OR(H680=$S$2,H680=$S$13,H680=$S$5),"Other",OR(H680=$S$3,H680=$S$4,H680=$S$7,H680=$S$10,H680=$S$11),"Salem",OR(H680=$S$6),"Keizer",OR(H680=$S$8,H680=$S$9,H680=$S$12),"Marion")</f>
        <v>Other</v>
      </c>
      <c r="L680">
        <v>424</v>
      </c>
      <c r="M680">
        <v>2005</v>
      </c>
      <c r="N680" t="s">
        <v>45</v>
      </c>
      <c r="O680">
        <v>0</v>
      </c>
    </row>
    <row r="681" spans="1:15" x14ac:dyDescent="0.25">
      <c r="A681">
        <v>424</v>
      </c>
      <c r="B681">
        <v>2021</v>
      </c>
      <c r="C681">
        <v>251</v>
      </c>
      <c r="D681">
        <v>16</v>
      </c>
      <c r="E681">
        <v>0</v>
      </c>
      <c r="F681" t="str" cm="1">
        <f t="array" ref="F681">_xlfn.XLOOKUP(A681&amp;B681,$L$2:$L$739&amp;$M$2:$M$739,$N$2:$N$739)</f>
        <v>Low</v>
      </c>
      <c r="G681">
        <f t="shared" si="10"/>
        <v>0</v>
      </c>
      <c r="H681" t="str">
        <f>_xlfn.XLOOKUP(A681,VE!$A$2:$A$247,VE!$B$2:$B$247)</f>
        <v>Marion_Outside_UGB</v>
      </c>
      <c r="I681" t="str" cm="1">
        <f t="array" ref="I681">_xlfn.IFS(OR(H681=$S$2,H681=$S$13,H681=$S$5),"Other",OR(H681=$S$3,H681=$S$4,H681=$S$7,H681=$S$10,H681=$S$11),"Salem",OR(H681=$S$6),"Keizer",OR(H681=$S$8,H681=$S$9,H681=$S$12),"Marion")</f>
        <v>Other</v>
      </c>
      <c r="L681">
        <v>424</v>
      </c>
      <c r="M681">
        <v>2021</v>
      </c>
      <c r="N681" t="s">
        <v>45</v>
      </c>
      <c r="O681">
        <v>0</v>
      </c>
    </row>
    <row r="682" spans="1:15" x14ac:dyDescent="0.25">
      <c r="A682">
        <v>424</v>
      </c>
      <c r="B682">
        <v>2050</v>
      </c>
      <c r="C682">
        <v>293</v>
      </c>
      <c r="D682">
        <v>15</v>
      </c>
      <c r="E682">
        <v>0</v>
      </c>
      <c r="F682" t="str" cm="1">
        <f t="array" ref="F682">_xlfn.XLOOKUP(A682&amp;B682,$L$2:$L$739&amp;$M$2:$M$739,$N$2:$N$739)</f>
        <v>Low</v>
      </c>
      <c r="G682">
        <f t="shared" si="10"/>
        <v>0</v>
      </c>
      <c r="H682" t="str">
        <f>_xlfn.XLOOKUP(A682,VE!$A$2:$A$247,VE!$B$2:$B$247)</f>
        <v>Marion_Outside_UGB</v>
      </c>
      <c r="I682" t="str" cm="1">
        <f t="array" ref="I682">_xlfn.IFS(OR(H682=$S$2,H682=$S$13,H682=$S$5),"Other",OR(H682=$S$3,H682=$S$4,H682=$S$7,H682=$S$10,H682=$S$11),"Salem",OR(H682=$S$6),"Keizer",OR(H682=$S$8,H682=$S$9,H682=$S$12),"Marion")</f>
        <v>Other</v>
      </c>
      <c r="L682">
        <v>424</v>
      </c>
      <c r="M682">
        <v>2050</v>
      </c>
      <c r="N682" t="s">
        <v>45</v>
      </c>
      <c r="O682">
        <v>0</v>
      </c>
    </row>
    <row r="683" spans="1:15" x14ac:dyDescent="0.25">
      <c r="A683">
        <v>426</v>
      </c>
      <c r="B683">
        <v>2005</v>
      </c>
      <c r="C683">
        <v>193</v>
      </c>
      <c r="D683">
        <v>12</v>
      </c>
      <c r="E683">
        <v>0</v>
      </c>
      <c r="F683" t="str" cm="1">
        <f t="array" ref="F683">_xlfn.XLOOKUP(A683&amp;B683,$L$2:$L$739&amp;$M$2:$M$739,$N$2:$N$739)</f>
        <v>Low</v>
      </c>
      <c r="G683">
        <f t="shared" si="10"/>
        <v>0</v>
      </c>
      <c r="H683" t="str">
        <f>_xlfn.XLOOKUP(A683,VE!$A$2:$A$247,VE!$B$2:$B$247)</f>
        <v>Salem_5</v>
      </c>
      <c r="I683" t="str" cm="1">
        <f t="array" ref="I683">_xlfn.IFS(OR(H683=$S$2,H683=$S$13,H683=$S$5),"Other",OR(H683=$S$3,H683=$S$4,H683=$S$7,H683=$S$10,H683=$S$11),"Salem",OR(H683=$S$6),"Keizer",OR(H683=$S$8,H683=$S$9,H683=$S$12),"Marion")</f>
        <v>Salem</v>
      </c>
      <c r="L683">
        <v>426</v>
      </c>
      <c r="M683">
        <v>2005</v>
      </c>
      <c r="N683" t="s">
        <v>45</v>
      </c>
      <c r="O683">
        <v>0</v>
      </c>
    </row>
    <row r="684" spans="1:15" x14ac:dyDescent="0.25">
      <c r="A684">
        <v>426</v>
      </c>
      <c r="B684">
        <v>2021</v>
      </c>
      <c r="C684">
        <v>193</v>
      </c>
      <c r="D684">
        <v>12</v>
      </c>
      <c r="E684">
        <v>0</v>
      </c>
      <c r="F684" t="str" cm="1">
        <f t="array" ref="F684">_xlfn.XLOOKUP(A684&amp;B684,$L$2:$L$739&amp;$M$2:$M$739,$N$2:$N$739)</f>
        <v>Low</v>
      </c>
      <c r="G684">
        <f t="shared" si="10"/>
        <v>0</v>
      </c>
      <c r="H684" t="str">
        <f>_xlfn.XLOOKUP(A684,VE!$A$2:$A$247,VE!$B$2:$B$247)</f>
        <v>Salem_5</v>
      </c>
      <c r="I684" t="str" cm="1">
        <f t="array" ref="I684">_xlfn.IFS(OR(H684=$S$2,H684=$S$13,H684=$S$5),"Other",OR(H684=$S$3,H684=$S$4,H684=$S$7,H684=$S$10,H684=$S$11),"Salem",OR(H684=$S$6),"Keizer",OR(H684=$S$8,H684=$S$9,H684=$S$12),"Marion")</f>
        <v>Salem</v>
      </c>
      <c r="L684">
        <v>426</v>
      </c>
      <c r="M684">
        <v>2021</v>
      </c>
      <c r="N684" t="s">
        <v>45</v>
      </c>
      <c r="O684">
        <v>0</v>
      </c>
    </row>
    <row r="685" spans="1:15" x14ac:dyDescent="0.25">
      <c r="A685">
        <v>426</v>
      </c>
      <c r="B685">
        <v>2050</v>
      </c>
      <c r="C685">
        <v>689</v>
      </c>
      <c r="D685">
        <v>14</v>
      </c>
      <c r="E685">
        <v>0</v>
      </c>
      <c r="F685" t="str" cm="1">
        <f t="array" ref="F685">_xlfn.XLOOKUP(A685&amp;B685,$L$2:$L$739&amp;$M$2:$M$739,$N$2:$N$739)</f>
        <v>Low</v>
      </c>
      <c r="G685">
        <f t="shared" si="10"/>
        <v>0</v>
      </c>
      <c r="H685" t="str">
        <f>_xlfn.XLOOKUP(A685,VE!$A$2:$A$247,VE!$B$2:$B$247)</f>
        <v>Salem_5</v>
      </c>
      <c r="I685" t="str" cm="1">
        <f t="array" ref="I685">_xlfn.IFS(OR(H685=$S$2,H685=$S$13,H685=$S$5),"Other",OR(H685=$S$3,H685=$S$4,H685=$S$7,H685=$S$10,H685=$S$11),"Salem",OR(H685=$S$6),"Keizer",OR(H685=$S$8,H685=$S$9,H685=$S$12),"Marion")</f>
        <v>Salem</v>
      </c>
      <c r="L685">
        <v>426</v>
      </c>
      <c r="M685">
        <v>2050</v>
      </c>
      <c r="N685" t="s">
        <v>45</v>
      </c>
      <c r="O685">
        <v>0</v>
      </c>
    </row>
    <row r="686" spans="1:15" x14ac:dyDescent="0.25">
      <c r="A686">
        <v>427</v>
      </c>
      <c r="B686">
        <v>2005</v>
      </c>
      <c r="C686">
        <v>26</v>
      </c>
      <c r="D686">
        <v>2</v>
      </c>
      <c r="E686">
        <v>0</v>
      </c>
      <c r="F686" t="str" cm="1">
        <f t="array" ref="F686">_xlfn.XLOOKUP(A686&amp;B686,$L$2:$L$739&amp;$M$2:$M$739,$N$2:$N$739)</f>
        <v>Low</v>
      </c>
      <c r="G686">
        <f t="shared" si="10"/>
        <v>0</v>
      </c>
      <c r="H686" t="str">
        <f>_xlfn.XLOOKUP(A686,VE!$A$2:$A$247,VE!$B$2:$B$247)</f>
        <v>Marion_Outside_UGB</v>
      </c>
      <c r="I686" t="str" cm="1">
        <f t="array" ref="I686">_xlfn.IFS(OR(H686=$S$2,H686=$S$13,H686=$S$5),"Other",OR(H686=$S$3,H686=$S$4,H686=$S$7,H686=$S$10,H686=$S$11),"Salem",OR(H686=$S$6),"Keizer",OR(H686=$S$8,H686=$S$9,H686=$S$12),"Marion")</f>
        <v>Other</v>
      </c>
      <c r="L686">
        <v>427</v>
      </c>
      <c r="M686">
        <v>2005</v>
      </c>
      <c r="N686" t="s">
        <v>45</v>
      </c>
      <c r="O686">
        <v>0</v>
      </c>
    </row>
    <row r="687" spans="1:15" x14ac:dyDescent="0.25">
      <c r="A687">
        <v>427</v>
      </c>
      <c r="B687">
        <v>2021</v>
      </c>
      <c r="C687">
        <v>26</v>
      </c>
      <c r="D687">
        <v>2</v>
      </c>
      <c r="E687">
        <v>0</v>
      </c>
      <c r="F687" t="str" cm="1">
        <f t="array" ref="F687">_xlfn.XLOOKUP(A687&amp;B687,$L$2:$L$739&amp;$M$2:$M$739,$N$2:$N$739)</f>
        <v>Low</v>
      </c>
      <c r="G687">
        <f t="shared" si="10"/>
        <v>0</v>
      </c>
      <c r="H687" t="str">
        <f>_xlfn.XLOOKUP(A687,VE!$A$2:$A$247,VE!$B$2:$B$247)</f>
        <v>Marion_Outside_UGB</v>
      </c>
      <c r="I687" t="str" cm="1">
        <f t="array" ref="I687">_xlfn.IFS(OR(H687=$S$2,H687=$S$13,H687=$S$5),"Other",OR(H687=$S$3,H687=$S$4,H687=$S$7,H687=$S$10,H687=$S$11),"Salem",OR(H687=$S$6),"Keizer",OR(H687=$S$8,H687=$S$9,H687=$S$12),"Marion")</f>
        <v>Other</v>
      </c>
      <c r="L687">
        <v>427</v>
      </c>
      <c r="M687">
        <v>2021</v>
      </c>
      <c r="N687" t="s">
        <v>45</v>
      </c>
      <c r="O687">
        <v>0</v>
      </c>
    </row>
    <row r="688" spans="1:15" x14ac:dyDescent="0.25">
      <c r="A688">
        <v>427</v>
      </c>
      <c r="B688">
        <v>2050</v>
      </c>
      <c r="C688">
        <v>25</v>
      </c>
      <c r="D688">
        <v>2</v>
      </c>
      <c r="E688">
        <v>0</v>
      </c>
      <c r="F688" t="str" cm="1">
        <f t="array" ref="F688">_xlfn.XLOOKUP(A688&amp;B688,$L$2:$L$739&amp;$M$2:$M$739,$N$2:$N$739)</f>
        <v>Low</v>
      </c>
      <c r="G688">
        <f t="shared" si="10"/>
        <v>0</v>
      </c>
      <c r="H688" t="str">
        <f>_xlfn.XLOOKUP(A688,VE!$A$2:$A$247,VE!$B$2:$B$247)</f>
        <v>Marion_Outside_UGB</v>
      </c>
      <c r="I688" t="str" cm="1">
        <f t="array" ref="I688">_xlfn.IFS(OR(H688=$S$2,H688=$S$13,H688=$S$5),"Other",OR(H688=$S$3,H688=$S$4,H688=$S$7,H688=$S$10,H688=$S$11),"Salem",OR(H688=$S$6),"Keizer",OR(H688=$S$8,H688=$S$9,H688=$S$12),"Marion")</f>
        <v>Other</v>
      </c>
      <c r="L688">
        <v>427</v>
      </c>
      <c r="M688">
        <v>2050</v>
      </c>
      <c r="N688" t="s">
        <v>45</v>
      </c>
      <c r="O688">
        <v>0</v>
      </c>
    </row>
    <row r="689" spans="1:15" x14ac:dyDescent="0.25">
      <c r="A689">
        <v>428</v>
      </c>
      <c r="B689">
        <v>2005</v>
      </c>
      <c r="C689">
        <v>38</v>
      </c>
      <c r="D689">
        <v>0</v>
      </c>
      <c r="E689">
        <v>0</v>
      </c>
      <c r="F689" t="str" cm="1">
        <f t="array" ref="F689">_xlfn.XLOOKUP(A689&amp;B689,$L$2:$L$739&amp;$M$2:$M$739,$N$2:$N$739)</f>
        <v>Low</v>
      </c>
      <c r="G689">
        <f t="shared" si="10"/>
        <v>0</v>
      </c>
      <c r="H689" t="str">
        <f>_xlfn.XLOOKUP(A689,VE!$A$2:$A$247,VE!$B$2:$B$247)</f>
        <v>Marion_Outside_UGB</v>
      </c>
      <c r="I689" t="str" cm="1">
        <f t="array" ref="I689">_xlfn.IFS(OR(H689=$S$2,H689=$S$13,H689=$S$5),"Other",OR(H689=$S$3,H689=$S$4,H689=$S$7,H689=$S$10,H689=$S$11),"Salem",OR(H689=$S$6),"Keizer",OR(H689=$S$8,H689=$S$9,H689=$S$12),"Marion")</f>
        <v>Other</v>
      </c>
      <c r="L689">
        <v>428</v>
      </c>
      <c r="M689">
        <v>2005</v>
      </c>
      <c r="N689" t="s">
        <v>45</v>
      </c>
      <c r="O689">
        <v>0</v>
      </c>
    </row>
    <row r="690" spans="1:15" x14ac:dyDescent="0.25">
      <c r="A690">
        <v>428</v>
      </c>
      <c r="B690">
        <v>2021</v>
      </c>
      <c r="C690">
        <v>60</v>
      </c>
      <c r="D690">
        <v>2</v>
      </c>
      <c r="E690">
        <v>0</v>
      </c>
      <c r="F690" t="str" cm="1">
        <f t="array" ref="F690">_xlfn.XLOOKUP(A690&amp;B690,$L$2:$L$739&amp;$M$2:$M$739,$N$2:$N$739)</f>
        <v>Low</v>
      </c>
      <c r="G690">
        <f t="shared" si="10"/>
        <v>0</v>
      </c>
      <c r="H690" t="str">
        <f>_xlfn.XLOOKUP(A690,VE!$A$2:$A$247,VE!$B$2:$B$247)</f>
        <v>Marion_Outside_UGB</v>
      </c>
      <c r="I690" t="str" cm="1">
        <f t="array" ref="I690">_xlfn.IFS(OR(H690=$S$2,H690=$S$13,H690=$S$5),"Other",OR(H690=$S$3,H690=$S$4,H690=$S$7,H690=$S$10,H690=$S$11),"Salem",OR(H690=$S$6),"Keizer",OR(H690=$S$8,H690=$S$9,H690=$S$12),"Marion")</f>
        <v>Other</v>
      </c>
      <c r="L690">
        <v>428</v>
      </c>
      <c r="M690">
        <v>2021</v>
      </c>
      <c r="N690" t="s">
        <v>45</v>
      </c>
      <c r="O690">
        <v>0</v>
      </c>
    </row>
    <row r="691" spans="1:15" x14ac:dyDescent="0.25">
      <c r="A691">
        <v>428</v>
      </c>
      <c r="B691">
        <v>2050</v>
      </c>
      <c r="C691">
        <v>76</v>
      </c>
      <c r="D691">
        <v>2</v>
      </c>
      <c r="E691">
        <v>0</v>
      </c>
      <c r="F691" t="str" cm="1">
        <f t="array" ref="F691">_xlfn.XLOOKUP(A691&amp;B691,$L$2:$L$739&amp;$M$2:$M$739,$N$2:$N$739)</f>
        <v>Low</v>
      </c>
      <c r="G691">
        <f t="shared" si="10"/>
        <v>0</v>
      </c>
      <c r="H691" t="str">
        <f>_xlfn.XLOOKUP(A691,VE!$A$2:$A$247,VE!$B$2:$B$247)</f>
        <v>Marion_Outside_UGB</v>
      </c>
      <c r="I691" t="str" cm="1">
        <f t="array" ref="I691">_xlfn.IFS(OR(H691=$S$2,H691=$S$13,H691=$S$5),"Other",OR(H691=$S$3,H691=$S$4,H691=$S$7,H691=$S$10,H691=$S$11),"Salem",OR(H691=$S$6),"Keizer",OR(H691=$S$8,H691=$S$9,H691=$S$12),"Marion")</f>
        <v>Other</v>
      </c>
      <c r="L691">
        <v>428</v>
      </c>
      <c r="M691">
        <v>2050</v>
      </c>
      <c r="N691" t="s">
        <v>45</v>
      </c>
      <c r="O691">
        <v>0</v>
      </c>
    </row>
    <row r="692" spans="1:15" x14ac:dyDescent="0.25">
      <c r="A692">
        <v>429</v>
      </c>
      <c r="B692">
        <v>2005</v>
      </c>
      <c r="C692">
        <v>21</v>
      </c>
      <c r="D692">
        <v>0</v>
      </c>
      <c r="E692">
        <v>0</v>
      </c>
      <c r="F692" t="str" cm="1">
        <f t="array" ref="F692">_xlfn.XLOOKUP(A692&amp;B692,$L$2:$L$739&amp;$M$2:$M$739,$N$2:$N$739)</f>
        <v>Low</v>
      </c>
      <c r="G692">
        <f t="shared" si="10"/>
        <v>0</v>
      </c>
      <c r="H692" t="str">
        <f>_xlfn.XLOOKUP(A692,VE!$A$2:$A$247,VE!$B$2:$B$247)</f>
        <v>Salem_5</v>
      </c>
      <c r="I692" t="str" cm="1">
        <f t="array" ref="I692">_xlfn.IFS(OR(H692=$S$2,H692=$S$13,H692=$S$5),"Other",OR(H692=$S$3,H692=$S$4,H692=$S$7,H692=$S$10,H692=$S$11),"Salem",OR(H692=$S$6),"Keizer",OR(H692=$S$8,H692=$S$9,H692=$S$12),"Marion")</f>
        <v>Salem</v>
      </c>
      <c r="L692">
        <v>429</v>
      </c>
      <c r="M692">
        <v>2005</v>
      </c>
      <c r="N692" t="s">
        <v>45</v>
      </c>
      <c r="O692">
        <v>0</v>
      </c>
    </row>
    <row r="693" spans="1:15" x14ac:dyDescent="0.25">
      <c r="A693">
        <v>429</v>
      </c>
      <c r="B693">
        <v>2021</v>
      </c>
      <c r="C693">
        <v>273</v>
      </c>
      <c r="D693">
        <v>129</v>
      </c>
      <c r="E693">
        <v>0</v>
      </c>
      <c r="F693" t="str" cm="1">
        <f t="array" ref="F693">_xlfn.XLOOKUP(A693&amp;B693,$L$2:$L$739&amp;$M$2:$M$739,$N$2:$N$739)</f>
        <v>Low</v>
      </c>
      <c r="G693">
        <f t="shared" si="10"/>
        <v>0</v>
      </c>
      <c r="H693" t="str">
        <f>_xlfn.XLOOKUP(A693,VE!$A$2:$A$247,VE!$B$2:$B$247)</f>
        <v>Salem_5</v>
      </c>
      <c r="I693" t="str" cm="1">
        <f t="array" ref="I693">_xlfn.IFS(OR(H693=$S$2,H693=$S$13,H693=$S$5),"Other",OR(H693=$S$3,H693=$S$4,H693=$S$7,H693=$S$10,H693=$S$11),"Salem",OR(H693=$S$6),"Keizer",OR(H693=$S$8,H693=$S$9,H693=$S$12),"Marion")</f>
        <v>Salem</v>
      </c>
      <c r="L693">
        <v>429</v>
      </c>
      <c r="M693">
        <v>2021</v>
      </c>
      <c r="N693" t="s">
        <v>45</v>
      </c>
      <c r="O693">
        <v>0</v>
      </c>
    </row>
    <row r="694" spans="1:15" x14ac:dyDescent="0.25">
      <c r="A694">
        <v>429</v>
      </c>
      <c r="B694">
        <v>2050</v>
      </c>
      <c r="C694">
        <v>601</v>
      </c>
      <c r="D694">
        <v>296</v>
      </c>
      <c r="E694">
        <v>0</v>
      </c>
      <c r="F694" t="str" cm="1">
        <f t="array" ref="F694">_xlfn.XLOOKUP(A694&amp;B694,$L$2:$L$739&amp;$M$2:$M$739,$N$2:$N$739)</f>
        <v>Low</v>
      </c>
      <c r="G694">
        <f t="shared" si="10"/>
        <v>0</v>
      </c>
      <c r="H694" t="str">
        <f>_xlfn.XLOOKUP(A694,VE!$A$2:$A$247,VE!$B$2:$B$247)</f>
        <v>Salem_5</v>
      </c>
      <c r="I694" t="str" cm="1">
        <f t="array" ref="I694">_xlfn.IFS(OR(H694=$S$2,H694=$S$13,H694=$S$5),"Other",OR(H694=$S$3,H694=$S$4,H694=$S$7,H694=$S$10,H694=$S$11),"Salem",OR(H694=$S$6),"Keizer",OR(H694=$S$8,H694=$S$9,H694=$S$12),"Marion")</f>
        <v>Salem</v>
      </c>
      <c r="L694">
        <v>429</v>
      </c>
      <c r="M694">
        <v>2050</v>
      </c>
      <c r="N694" t="s">
        <v>45</v>
      </c>
      <c r="O694">
        <v>0</v>
      </c>
    </row>
    <row r="695" spans="1:15" x14ac:dyDescent="0.25">
      <c r="A695">
        <v>430</v>
      </c>
      <c r="B695">
        <v>2005</v>
      </c>
      <c r="C695">
        <v>133</v>
      </c>
      <c r="D695">
        <v>1</v>
      </c>
      <c r="E695">
        <v>0</v>
      </c>
      <c r="F695" t="str" cm="1">
        <f t="array" ref="F695">_xlfn.XLOOKUP(A695&amp;B695,$L$2:$L$739&amp;$M$2:$M$739,$N$2:$N$739)</f>
        <v>Low</v>
      </c>
      <c r="G695">
        <f t="shared" si="10"/>
        <v>0</v>
      </c>
      <c r="H695" t="str">
        <f>_xlfn.XLOOKUP(A695,VE!$A$2:$A$247,VE!$B$2:$B$247)</f>
        <v>Salem_5</v>
      </c>
      <c r="I695" t="str" cm="1">
        <f t="array" ref="I695">_xlfn.IFS(OR(H695=$S$2,H695=$S$13,H695=$S$5),"Other",OR(H695=$S$3,H695=$S$4,H695=$S$7,H695=$S$10,H695=$S$11),"Salem",OR(H695=$S$6),"Keizer",OR(H695=$S$8,H695=$S$9,H695=$S$12),"Marion")</f>
        <v>Salem</v>
      </c>
      <c r="L695">
        <v>430</v>
      </c>
      <c r="M695">
        <v>2005</v>
      </c>
      <c r="N695" t="s">
        <v>45</v>
      </c>
      <c r="O695">
        <v>0</v>
      </c>
    </row>
    <row r="696" spans="1:15" x14ac:dyDescent="0.25">
      <c r="A696">
        <v>430</v>
      </c>
      <c r="B696">
        <v>2021</v>
      </c>
      <c r="C696">
        <v>149</v>
      </c>
      <c r="D696">
        <v>2</v>
      </c>
      <c r="E696">
        <v>0</v>
      </c>
      <c r="F696" t="str" cm="1">
        <f t="array" ref="F696">_xlfn.XLOOKUP(A696&amp;B696,$L$2:$L$739&amp;$M$2:$M$739,$N$2:$N$739)</f>
        <v>Low</v>
      </c>
      <c r="G696">
        <f t="shared" si="10"/>
        <v>0</v>
      </c>
      <c r="H696" t="str">
        <f>_xlfn.XLOOKUP(A696,VE!$A$2:$A$247,VE!$B$2:$B$247)</f>
        <v>Salem_5</v>
      </c>
      <c r="I696" t="str" cm="1">
        <f t="array" ref="I696">_xlfn.IFS(OR(H696=$S$2,H696=$S$13,H696=$S$5),"Other",OR(H696=$S$3,H696=$S$4,H696=$S$7,H696=$S$10,H696=$S$11),"Salem",OR(H696=$S$6),"Keizer",OR(H696=$S$8,H696=$S$9,H696=$S$12),"Marion")</f>
        <v>Salem</v>
      </c>
      <c r="L696">
        <v>430</v>
      </c>
      <c r="M696">
        <v>2021</v>
      </c>
      <c r="N696" t="s">
        <v>45</v>
      </c>
      <c r="O696">
        <v>0</v>
      </c>
    </row>
    <row r="697" spans="1:15" x14ac:dyDescent="0.25">
      <c r="A697">
        <v>430</v>
      </c>
      <c r="B697">
        <v>2050</v>
      </c>
      <c r="C697">
        <v>613</v>
      </c>
      <c r="D697">
        <v>39</v>
      </c>
      <c r="E697">
        <v>0</v>
      </c>
      <c r="F697" t="str" cm="1">
        <f t="array" ref="F697">_xlfn.XLOOKUP(A697&amp;B697,$L$2:$L$739&amp;$M$2:$M$739,$N$2:$N$739)</f>
        <v>Low</v>
      </c>
      <c r="G697">
        <f t="shared" si="10"/>
        <v>0</v>
      </c>
      <c r="H697" t="str">
        <f>_xlfn.XLOOKUP(A697,VE!$A$2:$A$247,VE!$B$2:$B$247)</f>
        <v>Salem_5</v>
      </c>
      <c r="I697" t="str" cm="1">
        <f t="array" ref="I697">_xlfn.IFS(OR(H697=$S$2,H697=$S$13,H697=$S$5),"Other",OR(H697=$S$3,H697=$S$4,H697=$S$7,H697=$S$10,H697=$S$11),"Salem",OR(H697=$S$6),"Keizer",OR(H697=$S$8,H697=$S$9,H697=$S$12),"Marion")</f>
        <v>Salem</v>
      </c>
      <c r="L697">
        <v>430</v>
      </c>
      <c r="M697">
        <v>2050</v>
      </c>
      <c r="N697" t="s">
        <v>45</v>
      </c>
      <c r="O697">
        <v>0</v>
      </c>
    </row>
    <row r="698" spans="1:15" x14ac:dyDescent="0.25">
      <c r="A698">
        <v>431</v>
      </c>
      <c r="B698">
        <v>2005</v>
      </c>
      <c r="C698">
        <v>206</v>
      </c>
      <c r="D698">
        <v>6</v>
      </c>
      <c r="E698">
        <v>0</v>
      </c>
      <c r="F698" t="str" cm="1">
        <f t="array" ref="F698">_xlfn.XLOOKUP(A698&amp;B698,$L$2:$L$739&amp;$M$2:$M$739,$N$2:$N$739)</f>
        <v>Low</v>
      </c>
      <c r="G698">
        <f t="shared" si="10"/>
        <v>0</v>
      </c>
      <c r="H698" t="str">
        <f>_xlfn.XLOOKUP(A698,VE!$A$2:$A$247,VE!$B$2:$B$247)</f>
        <v>Marion_Outside_UGB</v>
      </c>
      <c r="I698" t="str" cm="1">
        <f t="array" ref="I698">_xlfn.IFS(OR(H698=$S$2,H698=$S$13,H698=$S$5),"Other",OR(H698=$S$3,H698=$S$4,H698=$S$7,H698=$S$10,H698=$S$11),"Salem",OR(H698=$S$6),"Keizer",OR(H698=$S$8,H698=$S$9,H698=$S$12),"Marion")</f>
        <v>Other</v>
      </c>
      <c r="L698">
        <v>431</v>
      </c>
      <c r="M698">
        <v>2005</v>
      </c>
      <c r="N698" t="s">
        <v>45</v>
      </c>
      <c r="O698">
        <v>0</v>
      </c>
    </row>
    <row r="699" spans="1:15" x14ac:dyDescent="0.25">
      <c r="A699">
        <v>431</v>
      </c>
      <c r="B699">
        <v>2021</v>
      </c>
      <c r="C699">
        <v>233</v>
      </c>
      <c r="D699">
        <v>10</v>
      </c>
      <c r="E699">
        <v>0</v>
      </c>
      <c r="F699" t="str" cm="1">
        <f t="array" ref="F699">_xlfn.XLOOKUP(A699&amp;B699,$L$2:$L$739&amp;$M$2:$M$739,$N$2:$N$739)</f>
        <v>Low</v>
      </c>
      <c r="G699">
        <f t="shared" si="10"/>
        <v>0</v>
      </c>
      <c r="H699" t="str">
        <f>_xlfn.XLOOKUP(A699,VE!$A$2:$A$247,VE!$B$2:$B$247)</f>
        <v>Marion_Outside_UGB</v>
      </c>
      <c r="I699" t="str" cm="1">
        <f t="array" ref="I699">_xlfn.IFS(OR(H699=$S$2,H699=$S$13,H699=$S$5),"Other",OR(H699=$S$3,H699=$S$4,H699=$S$7,H699=$S$10,H699=$S$11),"Salem",OR(H699=$S$6),"Keizer",OR(H699=$S$8,H699=$S$9,H699=$S$12),"Marion")</f>
        <v>Other</v>
      </c>
      <c r="L699">
        <v>431</v>
      </c>
      <c r="M699">
        <v>2021</v>
      </c>
      <c r="N699" t="s">
        <v>45</v>
      </c>
      <c r="O699">
        <v>0</v>
      </c>
    </row>
    <row r="700" spans="1:15" x14ac:dyDescent="0.25">
      <c r="A700">
        <v>431</v>
      </c>
      <c r="B700">
        <v>2050</v>
      </c>
      <c r="C700">
        <v>421</v>
      </c>
      <c r="D700">
        <v>9</v>
      </c>
      <c r="E700">
        <v>0</v>
      </c>
      <c r="F700" t="str" cm="1">
        <f t="array" ref="F700">_xlfn.XLOOKUP(A700&amp;B700,$L$2:$L$739&amp;$M$2:$M$739,$N$2:$N$739)</f>
        <v>Low</v>
      </c>
      <c r="G700">
        <f t="shared" si="10"/>
        <v>0</v>
      </c>
      <c r="H700" t="str">
        <f>_xlfn.XLOOKUP(A700,VE!$A$2:$A$247,VE!$B$2:$B$247)</f>
        <v>Marion_Outside_UGB</v>
      </c>
      <c r="I700" t="str" cm="1">
        <f t="array" ref="I700">_xlfn.IFS(OR(H700=$S$2,H700=$S$13,H700=$S$5),"Other",OR(H700=$S$3,H700=$S$4,H700=$S$7,H700=$S$10,H700=$S$11),"Salem",OR(H700=$S$6),"Keizer",OR(H700=$S$8,H700=$S$9,H700=$S$12),"Marion")</f>
        <v>Other</v>
      </c>
      <c r="L700">
        <v>431</v>
      </c>
      <c r="M700">
        <v>2050</v>
      </c>
      <c r="N700" t="s">
        <v>45</v>
      </c>
      <c r="O700">
        <v>0</v>
      </c>
    </row>
    <row r="701" spans="1:15" x14ac:dyDescent="0.25">
      <c r="A701">
        <v>432</v>
      </c>
      <c r="B701">
        <v>2005</v>
      </c>
      <c r="C701">
        <v>109</v>
      </c>
      <c r="D701">
        <v>6</v>
      </c>
      <c r="E701">
        <v>0</v>
      </c>
      <c r="F701" t="str" cm="1">
        <f t="array" ref="F701">_xlfn.XLOOKUP(A701&amp;B701,$L$2:$L$739&amp;$M$2:$M$739,$N$2:$N$739)</f>
        <v>Low</v>
      </c>
      <c r="G701">
        <f t="shared" si="10"/>
        <v>0</v>
      </c>
      <c r="H701" t="str">
        <f>_xlfn.XLOOKUP(A701,VE!$A$2:$A$247,VE!$B$2:$B$247)</f>
        <v>Marion_Outside_UGB</v>
      </c>
      <c r="I701" t="str" cm="1">
        <f t="array" ref="I701">_xlfn.IFS(OR(H701=$S$2,H701=$S$13,H701=$S$5),"Other",OR(H701=$S$3,H701=$S$4,H701=$S$7,H701=$S$10,H701=$S$11),"Salem",OR(H701=$S$6),"Keizer",OR(H701=$S$8,H701=$S$9,H701=$S$12),"Marion")</f>
        <v>Other</v>
      </c>
      <c r="L701">
        <v>432</v>
      </c>
      <c r="M701">
        <v>2005</v>
      </c>
      <c r="N701" t="s">
        <v>45</v>
      </c>
      <c r="O701">
        <v>0</v>
      </c>
    </row>
    <row r="702" spans="1:15" x14ac:dyDescent="0.25">
      <c r="A702">
        <v>432</v>
      </c>
      <c r="B702">
        <v>2021</v>
      </c>
      <c r="C702">
        <v>109</v>
      </c>
      <c r="D702">
        <v>6</v>
      </c>
      <c r="E702">
        <v>0</v>
      </c>
      <c r="F702" t="str" cm="1">
        <f t="array" ref="F702">_xlfn.XLOOKUP(A702&amp;B702,$L$2:$L$739&amp;$M$2:$M$739,$N$2:$N$739)</f>
        <v>Low</v>
      </c>
      <c r="G702">
        <f t="shared" si="10"/>
        <v>0</v>
      </c>
      <c r="H702" t="str">
        <f>_xlfn.XLOOKUP(A702,VE!$A$2:$A$247,VE!$B$2:$B$247)</f>
        <v>Marion_Outside_UGB</v>
      </c>
      <c r="I702" t="str" cm="1">
        <f t="array" ref="I702">_xlfn.IFS(OR(H702=$S$2,H702=$S$13,H702=$S$5),"Other",OR(H702=$S$3,H702=$S$4,H702=$S$7,H702=$S$10,H702=$S$11),"Salem",OR(H702=$S$6),"Keizer",OR(H702=$S$8,H702=$S$9,H702=$S$12),"Marion")</f>
        <v>Other</v>
      </c>
      <c r="L702">
        <v>432</v>
      </c>
      <c r="M702">
        <v>2021</v>
      </c>
      <c r="N702" t="s">
        <v>45</v>
      </c>
      <c r="O702">
        <v>0</v>
      </c>
    </row>
    <row r="703" spans="1:15" x14ac:dyDescent="0.25">
      <c r="A703">
        <v>432</v>
      </c>
      <c r="B703">
        <v>2050</v>
      </c>
      <c r="C703">
        <v>175</v>
      </c>
      <c r="D703">
        <v>5</v>
      </c>
      <c r="E703">
        <v>0</v>
      </c>
      <c r="F703" t="str" cm="1">
        <f t="array" ref="F703">_xlfn.XLOOKUP(A703&amp;B703,$L$2:$L$739&amp;$M$2:$M$739,$N$2:$N$739)</f>
        <v>Low</v>
      </c>
      <c r="G703">
        <f t="shared" si="10"/>
        <v>0</v>
      </c>
      <c r="H703" t="str">
        <f>_xlfn.XLOOKUP(A703,VE!$A$2:$A$247,VE!$B$2:$B$247)</f>
        <v>Marion_Outside_UGB</v>
      </c>
      <c r="I703" t="str" cm="1">
        <f t="array" ref="I703">_xlfn.IFS(OR(H703=$S$2,H703=$S$13,H703=$S$5),"Other",OR(H703=$S$3,H703=$S$4,H703=$S$7,H703=$S$10,H703=$S$11),"Salem",OR(H703=$S$6),"Keizer",OR(H703=$S$8,H703=$S$9,H703=$S$12),"Marion")</f>
        <v>Other</v>
      </c>
      <c r="L703">
        <v>432</v>
      </c>
      <c r="M703">
        <v>2050</v>
      </c>
      <c r="N703" t="s">
        <v>45</v>
      </c>
      <c r="O703">
        <v>0</v>
      </c>
    </row>
    <row r="704" spans="1:15" x14ac:dyDescent="0.25">
      <c r="A704">
        <v>433</v>
      </c>
      <c r="B704">
        <v>2005</v>
      </c>
      <c r="C704">
        <v>156</v>
      </c>
      <c r="D704">
        <v>39</v>
      </c>
      <c r="E704">
        <v>0</v>
      </c>
      <c r="F704" t="str" cm="1">
        <f t="array" ref="F704">_xlfn.XLOOKUP(A704&amp;B704,$L$2:$L$739&amp;$M$2:$M$739,$N$2:$N$739)</f>
        <v>Low</v>
      </c>
      <c r="G704">
        <f t="shared" si="10"/>
        <v>0</v>
      </c>
      <c r="H704" t="str">
        <f>_xlfn.XLOOKUP(A704,VE!$A$2:$A$247,VE!$B$2:$B$247)</f>
        <v>Salem_5</v>
      </c>
      <c r="I704" t="str" cm="1">
        <f t="array" ref="I704">_xlfn.IFS(OR(H704=$S$2,H704=$S$13,H704=$S$5),"Other",OR(H704=$S$3,H704=$S$4,H704=$S$7,H704=$S$10,H704=$S$11),"Salem",OR(H704=$S$6),"Keizer",OR(H704=$S$8,H704=$S$9,H704=$S$12),"Marion")</f>
        <v>Salem</v>
      </c>
      <c r="L704">
        <v>433</v>
      </c>
      <c r="M704">
        <v>2005</v>
      </c>
      <c r="N704" t="s">
        <v>45</v>
      </c>
      <c r="O704">
        <v>0</v>
      </c>
    </row>
    <row r="705" spans="1:15" x14ac:dyDescent="0.25">
      <c r="A705">
        <v>433</v>
      </c>
      <c r="B705">
        <v>2021</v>
      </c>
      <c r="C705">
        <v>435</v>
      </c>
      <c r="D705">
        <v>13</v>
      </c>
      <c r="E705">
        <v>0</v>
      </c>
      <c r="F705" t="str" cm="1">
        <f t="array" ref="F705">_xlfn.XLOOKUP(A705&amp;B705,$L$2:$L$739&amp;$M$2:$M$739,$N$2:$N$739)</f>
        <v>Low</v>
      </c>
      <c r="G705">
        <f t="shared" si="10"/>
        <v>0</v>
      </c>
      <c r="H705" t="str">
        <f>_xlfn.XLOOKUP(A705,VE!$A$2:$A$247,VE!$B$2:$B$247)</f>
        <v>Salem_5</v>
      </c>
      <c r="I705" t="str" cm="1">
        <f t="array" ref="I705">_xlfn.IFS(OR(H705=$S$2,H705=$S$13,H705=$S$5),"Other",OR(H705=$S$3,H705=$S$4,H705=$S$7,H705=$S$10,H705=$S$11),"Salem",OR(H705=$S$6),"Keizer",OR(H705=$S$8,H705=$S$9,H705=$S$12),"Marion")</f>
        <v>Salem</v>
      </c>
      <c r="L705">
        <v>433</v>
      </c>
      <c r="M705">
        <v>2021</v>
      </c>
      <c r="N705" t="s">
        <v>45</v>
      </c>
      <c r="O705">
        <v>0</v>
      </c>
    </row>
    <row r="706" spans="1:15" x14ac:dyDescent="0.25">
      <c r="A706">
        <v>433</v>
      </c>
      <c r="B706">
        <v>2050</v>
      </c>
      <c r="C706">
        <v>436</v>
      </c>
      <c r="D706">
        <v>13</v>
      </c>
      <c r="E706">
        <v>0</v>
      </c>
      <c r="F706" t="str" cm="1">
        <f t="array" ref="F706">_xlfn.XLOOKUP(A706&amp;B706,$L$2:$L$739&amp;$M$2:$M$739,$N$2:$N$739)</f>
        <v>Low</v>
      </c>
      <c r="G706">
        <f t="shared" si="10"/>
        <v>0</v>
      </c>
      <c r="H706" t="str">
        <f>_xlfn.XLOOKUP(A706,VE!$A$2:$A$247,VE!$B$2:$B$247)</f>
        <v>Salem_5</v>
      </c>
      <c r="I706" t="str" cm="1">
        <f t="array" ref="I706">_xlfn.IFS(OR(H706=$S$2,H706=$S$13,H706=$S$5),"Other",OR(H706=$S$3,H706=$S$4,H706=$S$7,H706=$S$10,H706=$S$11),"Salem",OR(H706=$S$6),"Keizer",OR(H706=$S$8,H706=$S$9,H706=$S$12),"Marion")</f>
        <v>Salem</v>
      </c>
      <c r="L706">
        <v>433</v>
      </c>
      <c r="M706">
        <v>2050</v>
      </c>
      <c r="N706" t="s">
        <v>45</v>
      </c>
      <c r="O706">
        <v>0</v>
      </c>
    </row>
    <row r="707" spans="1:15" x14ac:dyDescent="0.25">
      <c r="A707">
        <v>434</v>
      </c>
      <c r="B707">
        <v>2005</v>
      </c>
      <c r="C707">
        <v>77</v>
      </c>
      <c r="D707">
        <v>0</v>
      </c>
      <c r="E707">
        <v>0</v>
      </c>
      <c r="F707" t="str" cm="1">
        <f t="array" ref="F707">_xlfn.XLOOKUP(A707&amp;B707,$L$2:$L$739&amp;$M$2:$M$739,$N$2:$N$739)</f>
        <v>Low</v>
      </c>
      <c r="G707">
        <f t="shared" ref="G707:G739" si="11">IF(F707="High",SUM(C707:D707),0)</f>
        <v>0</v>
      </c>
      <c r="H707" t="str">
        <f>_xlfn.XLOOKUP(A707,VE!$A$2:$A$247,VE!$B$2:$B$247)</f>
        <v>Salem_5</v>
      </c>
      <c r="I707" t="str" cm="1">
        <f t="array" ref="I707">_xlfn.IFS(OR(H707=$S$2,H707=$S$13,H707=$S$5),"Other",OR(H707=$S$3,H707=$S$4,H707=$S$7,H707=$S$10,H707=$S$11),"Salem",OR(H707=$S$6),"Keizer",OR(H707=$S$8,H707=$S$9,H707=$S$12),"Marion")</f>
        <v>Salem</v>
      </c>
      <c r="L707">
        <v>434</v>
      </c>
      <c r="M707">
        <v>2005</v>
      </c>
      <c r="N707" t="s">
        <v>45</v>
      </c>
      <c r="O707">
        <v>0</v>
      </c>
    </row>
    <row r="708" spans="1:15" x14ac:dyDescent="0.25">
      <c r="A708">
        <v>434</v>
      </c>
      <c r="B708">
        <v>2021</v>
      </c>
      <c r="C708">
        <v>77</v>
      </c>
      <c r="D708">
        <v>3</v>
      </c>
      <c r="E708">
        <v>0</v>
      </c>
      <c r="F708" t="str" cm="1">
        <f t="array" ref="F708">_xlfn.XLOOKUP(A708&amp;B708,$L$2:$L$739&amp;$M$2:$M$739,$N$2:$N$739)</f>
        <v>Low</v>
      </c>
      <c r="G708">
        <f t="shared" si="11"/>
        <v>0</v>
      </c>
      <c r="H708" t="str">
        <f>_xlfn.XLOOKUP(A708,VE!$A$2:$A$247,VE!$B$2:$B$247)</f>
        <v>Salem_5</v>
      </c>
      <c r="I708" t="str" cm="1">
        <f t="array" ref="I708">_xlfn.IFS(OR(H708=$S$2,H708=$S$13,H708=$S$5),"Other",OR(H708=$S$3,H708=$S$4,H708=$S$7,H708=$S$10,H708=$S$11),"Salem",OR(H708=$S$6),"Keizer",OR(H708=$S$8,H708=$S$9,H708=$S$12),"Marion")</f>
        <v>Salem</v>
      </c>
      <c r="L708">
        <v>434</v>
      </c>
      <c r="M708">
        <v>2021</v>
      </c>
      <c r="N708" t="s">
        <v>45</v>
      </c>
      <c r="O708">
        <v>0</v>
      </c>
    </row>
    <row r="709" spans="1:15" x14ac:dyDescent="0.25">
      <c r="A709">
        <v>434</v>
      </c>
      <c r="B709">
        <v>2050</v>
      </c>
      <c r="C709">
        <v>117</v>
      </c>
      <c r="D709">
        <v>2</v>
      </c>
      <c r="E709">
        <v>0</v>
      </c>
      <c r="F709" t="str" cm="1">
        <f t="array" ref="F709">_xlfn.XLOOKUP(A709&amp;B709,$L$2:$L$739&amp;$M$2:$M$739,$N$2:$N$739)</f>
        <v>Low</v>
      </c>
      <c r="G709">
        <f t="shared" si="11"/>
        <v>0</v>
      </c>
      <c r="H709" t="str">
        <f>_xlfn.XLOOKUP(A709,VE!$A$2:$A$247,VE!$B$2:$B$247)</f>
        <v>Salem_5</v>
      </c>
      <c r="I709" t="str" cm="1">
        <f t="array" ref="I709">_xlfn.IFS(OR(H709=$S$2,H709=$S$13,H709=$S$5),"Other",OR(H709=$S$3,H709=$S$4,H709=$S$7,H709=$S$10,H709=$S$11),"Salem",OR(H709=$S$6),"Keizer",OR(H709=$S$8,H709=$S$9,H709=$S$12),"Marion")</f>
        <v>Salem</v>
      </c>
      <c r="L709">
        <v>434</v>
      </c>
      <c r="M709">
        <v>2050</v>
      </c>
      <c r="N709" t="s">
        <v>45</v>
      </c>
      <c r="O709">
        <v>0</v>
      </c>
    </row>
    <row r="710" spans="1:15" x14ac:dyDescent="0.25">
      <c r="A710">
        <v>435</v>
      </c>
      <c r="B710">
        <v>2005</v>
      </c>
      <c r="C710">
        <v>28</v>
      </c>
      <c r="D710">
        <v>114</v>
      </c>
      <c r="E710">
        <v>0</v>
      </c>
      <c r="F710" t="str" cm="1">
        <f t="array" ref="F710">_xlfn.XLOOKUP(A710&amp;B710,$L$2:$L$739&amp;$M$2:$M$739,$N$2:$N$739)</f>
        <v>Low</v>
      </c>
      <c r="G710">
        <f t="shared" si="11"/>
        <v>0</v>
      </c>
      <c r="H710" t="str">
        <f>_xlfn.XLOOKUP(A710,VE!$A$2:$A$247,VE!$B$2:$B$247)</f>
        <v>Salem_5</v>
      </c>
      <c r="I710" t="str" cm="1">
        <f t="array" ref="I710">_xlfn.IFS(OR(H710=$S$2,H710=$S$13,H710=$S$5),"Other",OR(H710=$S$3,H710=$S$4,H710=$S$7,H710=$S$10,H710=$S$11),"Salem",OR(H710=$S$6),"Keizer",OR(H710=$S$8,H710=$S$9,H710=$S$12),"Marion")</f>
        <v>Salem</v>
      </c>
      <c r="L710">
        <v>435</v>
      </c>
      <c r="M710">
        <v>2005</v>
      </c>
      <c r="N710" t="s">
        <v>45</v>
      </c>
      <c r="O710">
        <v>0</v>
      </c>
    </row>
    <row r="711" spans="1:15" x14ac:dyDescent="0.25">
      <c r="A711">
        <v>435</v>
      </c>
      <c r="B711">
        <v>2021</v>
      </c>
      <c r="C711">
        <v>211</v>
      </c>
      <c r="D711">
        <v>4</v>
      </c>
      <c r="E711">
        <v>0</v>
      </c>
      <c r="F711" t="str" cm="1">
        <f t="array" ref="F711">_xlfn.XLOOKUP(A711&amp;B711,$L$2:$L$739&amp;$M$2:$M$739,$N$2:$N$739)</f>
        <v>Low</v>
      </c>
      <c r="G711">
        <f t="shared" si="11"/>
        <v>0</v>
      </c>
      <c r="H711" t="str">
        <f>_xlfn.XLOOKUP(A711,VE!$A$2:$A$247,VE!$B$2:$B$247)</f>
        <v>Salem_5</v>
      </c>
      <c r="I711" t="str" cm="1">
        <f t="array" ref="I711">_xlfn.IFS(OR(H711=$S$2,H711=$S$13,H711=$S$5),"Other",OR(H711=$S$3,H711=$S$4,H711=$S$7,H711=$S$10,H711=$S$11),"Salem",OR(H711=$S$6),"Keizer",OR(H711=$S$8,H711=$S$9,H711=$S$12),"Marion")</f>
        <v>Salem</v>
      </c>
      <c r="L711">
        <v>435</v>
      </c>
      <c r="M711">
        <v>2021</v>
      </c>
      <c r="N711" t="s">
        <v>45</v>
      </c>
      <c r="O711">
        <v>0</v>
      </c>
    </row>
    <row r="712" spans="1:15" x14ac:dyDescent="0.25">
      <c r="A712">
        <v>435</v>
      </c>
      <c r="B712">
        <v>2050</v>
      </c>
      <c r="C712">
        <v>221</v>
      </c>
      <c r="D712">
        <v>125</v>
      </c>
      <c r="E712">
        <v>0</v>
      </c>
      <c r="F712" t="str" cm="1">
        <f t="array" ref="F712">_xlfn.XLOOKUP(A712&amp;B712,$L$2:$L$739&amp;$M$2:$M$739,$N$2:$N$739)</f>
        <v>Low</v>
      </c>
      <c r="G712">
        <f t="shared" si="11"/>
        <v>0</v>
      </c>
      <c r="H712" t="str">
        <f>_xlfn.XLOOKUP(A712,VE!$A$2:$A$247,VE!$B$2:$B$247)</f>
        <v>Salem_5</v>
      </c>
      <c r="I712" t="str" cm="1">
        <f t="array" ref="I712">_xlfn.IFS(OR(H712=$S$2,H712=$S$13,H712=$S$5),"Other",OR(H712=$S$3,H712=$S$4,H712=$S$7,H712=$S$10,H712=$S$11),"Salem",OR(H712=$S$6),"Keizer",OR(H712=$S$8,H712=$S$9,H712=$S$12),"Marion")</f>
        <v>Salem</v>
      </c>
      <c r="L712">
        <v>435</v>
      </c>
      <c r="M712">
        <v>2050</v>
      </c>
      <c r="N712" t="s">
        <v>45</v>
      </c>
      <c r="O712">
        <v>0</v>
      </c>
    </row>
    <row r="713" spans="1:15" x14ac:dyDescent="0.25">
      <c r="A713">
        <v>436</v>
      </c>
      <c r="B713">
        <v>2005</v>
      </c>
      <c r="C713">
        <v>1</v>
      </c>
      <c r="D713">
        <v>1</v>
      </c>
      <c r="E713">
        <v>0</v>
      </c>
      <c r="F713" t="str" cm="1">
        <f t="array" ref="F713">_xlfn.XLOOKUP(A713&amp;B713,$L$2:$L$739&amp;$M$2:$M$739,$N$2:$N$739)</f>
        <v>Low</v>
      </c>
      <c r="G713">
        <f t="shared" si="11"/>
        <v>0</v>
      </c>
      <c r="H713" t="str">
        <f>_xlfn.XLOOKUP(A713,VE!$A$2:$A$247,VE!$B$2:$B$247)</f>
        <v>Salem_5</v>
      </c>
      <c r="I713" t="str" cm="1">
        <f t="array" ref="I713">_xlfn.IFS(OR(H713=$S$2,H713=$S$13,H713=$S$5),"Other",OR(H713=$S$3,H713=$S$4,H713=$S$7,H713=$S$10,H713=$S$11),"Salem",OR(H713=$S$6),"Keizer",OR(H713=$S$8,H713=$S$9,H713=$S$12),"Marion")</f>
        <v>Salem</v>
      </c>
      <c r="L713">
        <v>436</v>
      </c>
      <c r="M713">
        <v>2005</v>
      </c>
      <c r="N713" t="s">
        <v>45</v>
      </c>
      <c r="O713">
        <v>0</v>
      </c>
    </row>
    <row r="714" spans="1:15" x14ac:dyDescent="0.25">
      <c r="A714">
        <v>436</v>
      </c>
      <c r="B714">
        <v>2021</v>
      </c>
      <c r="C714">
        <v>3</v>
      </c>
      <c r="D714">
        <v>0</v>
      </c>
      <c r="E714">
        <v>0</v>
      </c>
      <c r="F714" t="str" cm="1">
        <f t="array" ref="F714">_xlfn.XLOOKUP(A714&amp;B714,$L$2:$L$739&amp;$M$2:$M$739,$N$2:$N$739)</f>
        <v>Low</v>
      </c>
      <c r="G714">
        <f t="shared" si="11"/>
        <v>0</v>
      </c>
      <c r="H714" t="str">
        <f>_xlfn.XLOOKUP(A714,VE!$A$2:$A$247,VE!$B$2:$B$247)</f>
        <v>Salem_5</v>
      </c>
      <c r="I714" t="str" cm="1">
        <f t="array" ref="I714">_xlfn.IFS(OR(H714=$S$2,H714=$S$13,H714=$S$5),"Other",OR(H714=$S$3,H714=$S$4,H714=$S$7,H714=$S$10,H714=$S$11),"Salem",OR(H714=$S$6),"Keizer",OR(H714=$S$8,H714=$S$9,H714=$S$12),"Marion")</f>
        <v>Salem</v>
      </c>
      <c r="L714">
        <v>436</v>
      </c>
      <c r="M714">
        <v>2021</v>
      </c>
      <c r="N714" t="s">
        <v>45</v>
      </c>
      <c r="O714">
        <v>0</v>
      </c>
    </row>
    <row r="715" spans="1:15" x14ac:dyDescent="0.25">
      <c r="A715">
        <v>436</v>
      </c>
      <c r="B715">
        <v>2050</v>
      </c>
      <c r="C715">
        <v>1</v>
      </c>
      <c r="D715">
        <v>4</v>
      </c>
      <c r="E715">
        <v>0</v>
      </c>
      <c r="F715" t="str" cm="1">
        <f t="array" ref="F715">_xlfn.XLOOKUP(A715&amp;B715,$L$2:$L$739&amp;$M$2:$M$739,$N$2:$N$739)</f>
        <v>Low</v>
      </c>
      <c r="G715">
        <f t="shared" si="11"/>
        <v>0</v>
      </c>
      <c r="H715" t="str">
        <f>_xlfn.XLOOKUP(A715,VE!$A$2:$A$247,VE!$B$2:$B$247)</f>
        <v>Salem_5</v>
      </c>
      <c r="I715" t="str" cm="1">
        <f t="array" ref="I715">_xlfn.IFS(OR(H715=$S$2,H715=$S$13,H715=$S$5),"Other",OR(H715=$S$3,H715=$S$4,H715=$S$7,H715=$S$10,H715=$S$11),"Salem",OR(H715=$S$6),"Keizer",OR(H715=$S$8,H715=$S$9,H715=$S$12),"Marion")</f>
        <v>Salem</v>
      </c>
      <c r="L715">
        <v>436</v>
      </c>
      <c r="M715">
        <v>2050</v>
      </c>
      <c r="N715" t="s">
        <v>45</v>
      </c>
      <c r="O715">
        <v>0</v>
      </c>
    </row>
    <row r="716" spans="1:15" x14ac:dyDescent="0.25">
      <c r="A716">
        <v>437</v>
      </c>
      <c r="B716">
        <v>2005</v>
      </c>
      <c r="C716">
        <v>109</v>
      </c>
      <c r="D716">
        <v>0</v>
      </c>
      <c r="E716">
        <v>0</v>
      </c>
      <c r="F716" t="str" cm="1">
        <f t="array" ref="F716">_xlfn.XLOOKUP(A716&amp;B716,$L$2:$L$739&amp;$M$2:$M$739,$N$2:$N$739)</f>
        <v>Low</v>
      </c>
      <c r="G716">
        <f t="shared" si="11"/>
        <v>0</v>
      </c>
      <c r="H716" t="str">
        <f>_xlfn.XLOOKUP(A716,VE!$A$2:$A$247,VE!$B$2:$B$247)</f>
        <v>Marion_Outside_UGB</v>
      </c>
      <c r="I716" t="str" cm="1">
        <f t="array" ref="I716">_xlfn.IFS(OR(H716=$S$2,H716=$S$13,H716=$S$5),"Other",OR(H716=$S$3,H716=$S$4,H716=$S$7,H716=$S$10,H716=$S$11),"Salem",OR(H716=$S$6),"Keizer",OR(H716=$S$8,H716=$S$9,H716=$S$12),"Marion")</f>
        <v>Other</v>
      </c>
      <c r="L716">
        <v>437</v>
      </c>
      <c r="M716">
        <v>2005</v>
      </c>
      <c r="N716" t="s">
        <v>45</v>
      </c>
      <c r="O716">
        <v>0</v>
      </c>
    </row>
    <row r="717" spans="1:15" x14ac:dyDescent="0.25">
      <c r="A717">
        <v>437</v>
      </c>
      <c r="B717">
        <v>2021</v>
      </c>
      <c r="C717">
        <v>119</v>
      </c>
      <c r="D717">
        <v>2</v>
      </c>
      <c r="E717">
        <v>0</v>
      </c>
      <c r="F717" t="str" cm="1">
        <f t="array" ref="F717">_xlfn.XLOOKUP(A717&amp;B717,$L$2:$L$739&amp;$M$2:$M$739,$N$2:$N$739)</f>
        <v>Low</v>
      </c>
      <c r="G717">
        <f t="shared" si="11"/>
        <v>0</v>
      </c>
      <c r="H717" t="str">
        <f>_xlfn.XLOOKUP(A717,VE!$A$2:$A$247,VE!$B$2:$B$247)</f>
        <v>Marion_Outside_UGB</v>
      </c>
      <c r="I717" t="str" cm="1">
        <f t="array" ref="I717">_xlfn.IFS(OR(H717=$S$2,H717=$S$13,H717=$S$5),"Other",OR(H717=$S$3,H717=$S$4,H717=$S$7,H717=$S$10,H717=$S$11),"Salem",OR(H717=$S$6),"Keizer",OR(H717=$S$8,H717=$S$9,H717=$S$12),"Marion")</f>
        <v>Other</v>
      </c>
      <c r="L717">
        <v>437</v>
      </c>
      <c r="M717">
        <v>2021</v>
      </c>
      <c r="N717" t="s">
        <v>45</v>
      </c>
      <c r="O717">
        <v>0</v>
      </c>
    </row>
    <row r="718" spans="1:15" x14ac:dyDescent="0.25">
      <c r="A718">
        <v>437</v>
      </c>
      <c r="B718">
        <v>2050</v>
      </c>
      <c r="C718">
        <v>122</v>
      </c>
      <c r="D718">
        <v>2</v>
      </c>
      <c r="E718">
        <v>0</v>
      </c>
      <c r="F718" t="str" cm="1">
        <f t="array" ref="F718">_xlfn.XLOOKUP(A718&amp;B718,$L$2:$L$739&amp;$M$2:$M$739,$N$2:$N$739)</f>
        <v>Low</v>
      </c>
      <c r="G718">
        <f t="shared" si="11"/>
        <v>0</v>
      </c>
      <c r="H718" t="str">
        <f>_xlfn.XLOOKUP(A718,VE!$A$2:$A$247,VE!$B$2:$B$247)</f>
        <v>Marion_Outside_UGB</v>
      </c>
      <c r="I718" t="str" cm="1">
        <f t="array" ref="I718">_xlfn.IFS(OR(H718=$S$2,H718=$S$13,H718=$S$5),"Other",OR(H718=$S$3,H718=$S$4,H718=$S$7,H718=$S$10,H718=$S$11),"Salem",OR(H718=$S$6),"Keizer",OR(H718=$S$8,H718=$S$9,H718=$S$12),"Marion")</f>
        <v>Other</v>
      </c>
      <c r="L718">
        <v>437</v>
      </c>
      <c r="M718">
        <v>2050</v>
      </c>
      <c r="N718" t="s">
        <v>45</v>
      </c>
      <c r="O718">
        <v>0</v>
      </c>
    </row>
    <row r="719" spans="1:15" x14ac:dyDescent="0.25">
      <c r="A719">
        <v>439</v>
      </c>
      <c r="B719">
        <v>2005</v>
      </c>
      <c r="C719">
        <v>23</v>
      </c>
      <c r="D719">
        <v>0</v>
      </c>
      <c r="E719">
        <v>0</v>
      </c>
      <c r="F719" t="str" cm="1">
        <f t="array" ref="F719">_xlfn.XLOOKUP(A719&amp;B719,$L$2:$L$739&amp;$M$2:$M$739,$N$2:$N$739)</f>
        <v>Low</v>
      </c>
      <c r="G719">
        <f t="shared" si="11"/>
        <v>0</v>
      </c>
      <c r="H719" t="str">
        <f>_xlfn.XLOOKUP(A719,VE!$A$2:$A$247,VE!$B$2:$B$247)</f>
        <v>Salem_4</v>
      </c>
      <c r="I719" t="str" cm="1">
        <f t="array" ref="I719">_xlfn.IFS(OR(H719=$S$2,H719=$S$13,H719=$S$5),"Other",OR(H719=$S$3,H719=$S$4,H719=$S$7,H719=$S$10,H719=$S$11),"Salem",OR(H719=$S$6),"Keizer",OR(H719=$S$8,H719=$S$9,H719=$S$12),"Marion")</f>
        <v>Salem</v>
      </c>
      <c r="L719">
        <v>439</v>
      </c>
      <c r="M719">
        <v>2005</v>
      </c>
      <c r="N719" t="s">
        <v>45</v>
      </c>
      <c r="O719">
        <v>0</v>
      </c>
    </row>
    <row r="720" spans="1:15" x14ac:dyDescent="0.25">
      <c r="A720">
        <v>439</v>
      </c>
      <c r="B720">
        <v>2021</v>
      </c>
      <c r="C720">
        <v>23</v>
      </c>
      <c r="D720">
        <v>0</v>
      </c>
      <c r="E720">
        <v>0</v>
      </c>
      <c r="F720" t="str" cm="1">
        <f t="array" ref="F720">_xlfn.XLOOKUP(A720&amp;B720,$L$2:$L$739&amp;$M$2:$M$739,$N$2:$N$739)</f>
        <v>High</v>
      </c>
      <c r="G720">
        <f t="shared" si="11"/>
        <v>23</v>
      </c>
      <c r="H720" t="str">
        <f>_xlfn.XLOOKUP(A720,VE!$A$2:$A$247,VE!$B$2:$B$247)</f>
        <v>Salem_4</v>
      </c>
      <c r="I720" t="str" cm="1">
        <f t="array" ref="I720">_xlfn.IFS(OR(H720=$S$2,H720=$S$13,H720=$S$5),"Other",OR(H720=$S$3,H720=$S$4,H720=$S$7,H720=$S$10,H720=$S$11),"Salem",OR(H720=$S$6),"Keizer",OR(H720=$S$8,H720=$S$9,H720=$S$12),"Marion")</f>
        <v>Salem</v>
      </c>
      <c r="L720">
        <v>439</v>
      </c>
      <c r="M720">
        <v>2021</v>
      </c>
      <c r="N720" t="s">
        <v>46</v>
      </c>
      <c r="O720">
        <v>1</v>
      </c>
    </row>
    <row r="721" spans="1:15" x14ac:dyDescent="0.25">
      <c r="A721">
        <v>439</v>
      </c>
      <c r="B721">
        <v>2050</v>
      </c>
      <c r="C721">
        <v>20</v>
      </c>
      <c r="D721">
        <v>0</v>
      </c>
      <c r="E721">
        <v>0</v>
      </c>
      <c r="F721" t="str" cm="1">
        <f t="array" ref="F721">_xlfn.XLOOKUP(A721&amp;B721,$L$2:$L$739&amp;$M$2:$M$739,$N$2:$N$739)</f>
        <v>High</v>
      </c>
      <c r="G721">
        <f t="shared" si="11"/>
        <v>20</v>
      </c>
      <c r="H721" t="str">
        <f>_xlfn.XLOOKUP(A721,VE!$A$2:$A$247,VE!$B$2:$B$247)</f>
        <v>Salem_4</v>
      </c>
      <c r="I721" t="str" cm="1">
        <f t="array" ref="I721">_xlfn.IFS(OR(H721=$S$2,H721=$S$13,H721=$S$5),"Other",OR(H721=$S$3,H721=$S$4,H721=$S$7,H721=$S$10,H721=$S$11),"Salem",OR(H721=$S$6),"Keizer",OR(H721=$S$8,H721=$S$9,H721=$S$12),"Marion")</f>
        <v>Salem</v>
      </c>
      <c r="L721">
        <v>439</v>
      </c>
      <c r="M721">
        <v>2050</v>
      </c>
      <c r="N721" t="s">
        <v>46</v>
      </c>
      <c r="O721">
        <v>1</v>
      </c>
    </row>
    <row r="722" spans="1:15" x14ac:dyDescent="0.25">
      <c r="A722">
        <v>442</v>
      </c>
      <c r="B722">
        <v>2005</v>
      </c>
      <c r="C722">
        <v>0</v>
      </c>
      <c r="D722">
        <v>1</v>
      </c>
      <c r="E722">
        <v>0</v>
      </c>
      <c r="F722" t="str" cm="1">
        <f t="array" ref="F722">_xlfn.XLOOKUP(A722&amp;B722,$L$2:$L$739&amp;$M$2:$M$739,$N$2:$N$739)</f>
        <v>Low</v>
      </c>
      <c r="G722">
        <f t="shared" si="11"/>
        <v>0</v>
      </c>
      <c r="H722" t="str">
        <f>_xlfn.XLOOKUP(A722,VE!$A$2:$A$247,VE!$B$2:$B$247)</f>
        <v>Salem_5</v>
      </c>
      <c r="I722" t="str" cm="1">
        <f t="array" ref="I722">_xlfn.IFS(OR(H722=$S$2,H722=$S$13,H722=$S$5),"Other",OR(H722=$S$3,H722=$S$4,H722=$S$7,H722=$S$10,H722=$S$11),"Salem",OR(H722=$S$6),"Keizer",OR(H722=$S$8,H722=$S$9,H722=$S$12),"Marion")</f>
        <v>Salem</v>
      </c>
      <c r="L722">
        <v>442</v>
      </c>
      <c r="M722">
        <v>2005</v>
      </c>
      <c r="N722" t="s">
        <v>45</v>
      </c>
      <c r="O722">
        <v>0</v>
      </c>
    </row>
    <row r="723" spans="1:15" x14ac:dyDescent="0.25">
      <c r="A723">
        <v>442</v>
      </c>
      <c r="B723">
        <v>2021</v>
      </c>
      <c r="C723">
        <v>0</v>
      </c>
      <c r="D723">
        <v>1</v>
      </c>
      <c r="E723">
        <v>0</v>
      </c>
      <c r="F723" t="str" cm="1">
        <f t="array" ref="F723">_xlfn.XLOOKUP(A723&amp;B723,$L$2:$L$739&amp;$M$2:$M$739,$N$2:$N$739)</f>
        <v>Low</v>
      </c>
      <c r="G723">
        <f t="shared" si="11"/>
        <v>0</v>
      </c>
      <c r="H723" t="str">
        <f>_xlfn.XLOOKUP(A723,VE!$A$2:$A$247,VE!$B$2:$B$247)</f>
        <v>Salem_5</v>
      </c>
      <c r="I723" t="str" cm="1">
        <f t="array" ref="I723">_xlfn.IFS(OR(H723=$S$2,H723=$S$13,H723=$S$5),"Other",OR(H723=$S$3,H723=$S$4,H723=$S$7,H723=$S$10,H723=$S$11),"Salem",OR(H723=$S$6),"Keizer",OR(H723=$S$8,H723=$S$9,H723=$S$12),"Marion")</f>
        <v>Salem</v>
      </c>
      <c r="L723">
        <v>442</v>
      </c>
      <c r="M723">
        <v>2021</v>
      </c>
      <c r="N723" t="s">
        <v>45</v>
      </c>
      <c r="O723">
        <v>0</v>
      </c>
    </row>
    <row r="724" spans="1:15" x14ac:dyDescent="0.25">
      <c r="A724">
        <v>442</v>
      </c>
      <c r="B724">
        <v>2050</v>
      </c>
      <c r="C724">
        <v>0</v>
      </c>
      <c r="D724">
        <v>1</v>
      </c>
      <c r="E724">
        <v>0</v>
      </c>
      <c r="F724" t="str" cm="1">
        <f t="array" ref="F724">_xlfn.XLOOKUP(A724&amp;B724,$L$2:$L$739&amp;$M$2:$M$739,$N$2:$N$739)</f>
        <v>Low</v>
      </c>
      <c r="G724">
        <f t="shared" si="11"/>
        <v>0</v>
      </c>
      <c r="H724" t="str">
        <f>_xlfn.XLOOKUP(A724,VE!$A$2:$A$247,VE!$B$2:$B$247)</f>
        <v>Salem_5</v>
      </c>
      <c r="I724" t="str" cm="1">
        <f t="array" ref="I724">_xlfn.IFS(OR(H724=$S$2,H724=$S$13,H724=$S$5),"Other",OR(H724=$S$3,H724=$S$4,H724=$S$7,H724=$S$10,H724=$S$11),"Salem",OR(H724=$S$6),"Keizer",OR(H724=$S$8,H724=$S$9,H724=$S$12),"Marion")</f>
        <v>Salem</v>
      </c>
      <c r="L724">
        <v>442</v>
      </c>
      <c r="M724">
        <v>2050</v>
      </c>
      <c r="N724" t="s">
        <v>45</v>
      </c>
      <c r="O724">
        <v>0</v>
      </c>
    </row>
    <row r="725" spans="1:15" x14ac:dyDescent="0.25">
      <c r="A725">
        <v>443</v>
      </c>
      <c r="B725">
        <v>2005</v>
      </c>
      <c r="C725">
        <v>0</v>
      </c>
      <c r="D725">
        <v>1</v>
      </c>
      <c r="E725">
        <v>0</v>
      </c>
      <c r="F725" t="str" cm="1">
        <f t="array" ref="F725">_xlfn.XLOOKUP(A725&amp;B725,$L$2:$L$739&amp;$M$2:$M$739,$N$2:$N$739)</f>
        <v>Low</v>
      </c>
      <c r="G725">
        <f t="shared" si="11"/>
        <v>0</v>
      </c>
      <c r="H725" t="str">
        <f>_xlfn.XLOOKUP(A725,VE!$A$2:$A$247,VE!$B$2:$B$247)</f>
        <v>Marion_Outside_UGB</v>
      </c>
      <c r="I725" t="str" cm="1">
        <f t="array" ref="I725">_xlfn.IFS(OR(H725=$S$2,H725=$S$13,H725=$S$5),"Other",OR(H725=$S$3,H725=$S$4,H725=$S$7,H725=$S$10,H725=$S$11),"Salem",OR(H725=$S$6),"Keizer",OR(H725=$S$8,H725=$S$9,H725=$S$12),"Marion")</f>
        <v>Other</v>
      </c>
      <c r="L725">
        <v>443</v>
      </c>
      <c r="M725">
        <v>2005</v>
      </c>
      <c r="N725" t="s">
        <v>45</v>
      </c>
      <c r="O725">
        <v>0</v>
      </c>
    </row>
    <row r="726" spans="1:15" x14ac:dyDescent="0.25">
      <c r="A726">
        <v>443</v>
      </c>
      <c r="B726">
        <v>2021</v>
      </c>
      <c r="C726">
        <v>0</v>
      </c>
      <c r="D726">
        <v>1</v>
      </c>
      <c r="E726">
        <v>0</v>
      </c>
      <c r="F726" t="str" cm="1">
        <f t="array" ref="F726">_xlfn.XLOOKUP(A726&amp;B726,$L$2:$L$739&amp;$M$2:$M$739,$N$2:$N$739)</f>
        <v>Low</v>
      </c>
      <c r="G726">
        <f t="shared" si="11"/>
        <v>0</v>
      </c>
      <c r="H726" t="str">
        <f>_xlfn.XLOOKUP(A726,VE!$A$2:$A$247,VE!$B$2:$B$247)</f>
        <v>Marion_Outside_UGB</v>
      </c>
      <c r="I726" t="str" cm="1">
        <f t="array" ref="I726">_xlfn.IFS(OR(H726=$S$2,H726=$S$13,H726=$S$5),"Other",OR(H726=$S$3,H726=$S$4,H726=$S$7,H726=$S$10,H726=$S$11),"Salem",OR(H726=$S$6),"Keizer",OR(H726=$S$8,H726=$S$9,H726=$S$12),"Marion")</f>
        <v>Other</v>
      </c>
      <c r="L726">
        <v>443</v>
      </c>
      <c r="M726">
        <v>2021</v>
      </c>
      <c r="N726" t="s">
        <v>45</v>
      </c>
      <c r="O726">
        <v>0</v>
      </c>
    </row>
    <row r="727" spans="1:15" x14ac:dyDescent="0.25">
      <c r="A727">
        <v>443</v>
      </c>
      <c r="B727">
        <v>2050</v>
      </c>
      <c r="C727">
        <v>0</v>
      </c>
      <c r="D727">
        <v>1</v>
      </c>
      <c r="E727">
        <v>0</v>
      </c>
      <c r="F727" t="str" cm="1">
        <f t="array" ref="F727">_xlfn.XLOOKUP(A727&amp;B727,$L$2:$L$739&amp;$M$2:$M$739,$N$2:$N$739)</f>
        <v>Low</v>
      </c>
      <c r="G727">
        <f t="shared" si="11"/>
        <v>0</v>
      </c>
      <c r="H727" t="str">
        <f>_xlfn.XLOOKUP(A727,VE!$A$2:$A$247,VE!$B$2:$B$247)</f>
        <v>Marion_Outside_UGB</v>
      </c>
      <c r="I727" t="str" cm="1">
        <f t="array" ref="I727">_xlfn.IFS(OR(H727=$S$2,H727=$S$13,H727=$S$5),"Other",OR(H727=$S$3,H727=$S$4,H727=$S$7,H727=$S$10,H727=$S$11),"Salem",OR(H727=$S$6),"Keizer",OR(H727=$S$8,H727=$S$9,H727=$S$12),"Marion")</f>
        <v>Other</v>
      </c>
      <c r="L727">
        <v>443</v>
      </c>
      <c r="M727">
        <v>2050</v>
      </c>
      <c r="N727" t="s">
        <v>45</v>
      </c>
      <c r="O727">
        <v>0</v>
      </c>
    </row>
    <row r="728" spans="1:15" x14ac:dyDescent="0.25">
      <c r="A728">
        <v>444</v>
      </c>
      <c r="B728">
        <v>2005</v>
      </c>
      <c r="C728">
        <v>0</v>
      </c>
      <c r="D728">
        <v>1</v>
      </c>
      <c r="E728">
        <v>0</v>
      </c>
      <c r="F728" t="str" cm="1">
        <f t="array" ref="F728">_xlfn.XLOOKUP(A728&amp;B728,$L$2:$L$739&amp;$M$2:$M$739,$N$2:$N$739)</f>
        <v>Low</v>
      </c>
      <c r="G728">
        <f t="shared" si="11"/>
        <v>0</v>
      </c>
      <c r="H728" t="str">
        <f>_xlfn.XLOOKUP(A728,VE!$A$2:$A$247,VE!$B$2:$B$247)</f>
        <v>Marion_Outside_UGB</v>
      </c>
      <c r="I728" t="str" cm="1">
        <f t="array" ref="I728">_xlfn.IFS(OR(H728=$S$2,H728=$S$13,H728=$S$5),"Other",OR(H728=$S$3,H728=$S$4,H728=$S$7,H728=$S$10,H728=$S$11),"Salem",OR(H728=$S$6),"Keizer",OR(H728=$S$8,H728=$S$9,H728=$S$12),"Marion")</f>
        <v>Other</v>
      </c>
      <c r="L728">
        <v>444</v>
      </c>
      <c r="M728">
        <v>2005</v>
      </c>
      <c r="N728" t="s">
        <v>45</v>
      </c>
      <c r="O728">
        <v>0</v>
      </c>
    </row>
    <row r="729" spans="1:15" x14ac:dyDescent="0.25">
      <c r="A729">
        <v>444</v>
      </c>
      <c r="B729">
        <v>2021</v>
      </c>
      <c r="C729">
        <v>0</v>
      </c>
      <c r="D729">
        <v>1</v>
      </c>
      <c r="E729">
        <v>0</v>
      </c>
      <c r="F729" t="str" cm="1">
        <f t="array" ref="F729">_xlfn.XLOOKUP(A729&amp;B729,$L$2:$L$739&amp;$M$2:$M$739,$N$2:$N$739)</f>
        <v>Low</v>
      </c>
      <c r="G729">
        <f t="shared" si="11"/>
        <v>0</v>
      </c>
      <c r="H729" t="str">
        <f>_xlfn.XLOOKUP(A729,VE!$A$2:$A$247,VE!$B$2:$B$247)</f>
        <v>Marion_Outside_UGB</v>
      </c>
      <c r="I729" t="str" cm="1">
        <f t="array" ref="I729">_xlfn.IFS(OR(H729=$S$2,H729=$S$13,H729=$S$5),"Other",OR(H729=$S$3,H729=$S$4,H729=$S$7,H729=$S$10,H729=$S$11),"Salem",OR(H729=$S$6),"Keizer",OR(H729=$S$8,H729=$S$9,H729=$S$12),"Marion")</f>
        <v>Other</v>
      </c>
      <c r="L729">
        <v>444</v>
      </c>
      <c r="M729">
        <v>2021</v>
      </c>
      <c r="N729" t="s">
        <v>45</v>
      </c>
      <c r="O729">
        <v>0</v>
      </c>
    </row>
    <row r="730" spans="1:15" x14ac:dyDescent="0.25">
      <c r="A730">
        <v>444</v>
      </c>
      <c r="B730">
        <v>2050</v>
      </c>
      <c r="C730">
        <v>0</v>
      </c>
      <c r="D730">
        <v>1</v>
      </c>
      <c r="E730">
        <v>0</v>
      </c>
      <c r="F730" t="str" cm="1">
        <f t="array" ref="F730">_xlfn.XLOOKUP(A730&amp;B730,$L$2:$L$739&amp;$M$2:$M$739,$N$2:$N$739)</f>
        <v>Low</v>
      </c>
      <c r="G730">
        <f t="shared" si="11"/>
        <v>0</v>
      </c>
      <c r="H730" t="str">
        <f>_xlfn.XLOOKUP(A730,VE!$A$2:$A$247,VE!$B$2:$B$247)</f>
        <v>Marion_Outside_UGB</v>
      </c>
      <c r="I730" t="str" cm="1">
        <f t="array" ref="I730">_xlfn.IFS(OR(H730=$S$2,H730=$S$13,H730=$S$5),"Other",OR(H730=$S$3,H730=$S$4,H730=$S$7,H730=$S$10,H730=$S$11),"Salem",OR(H730=$S$6),"Keizer",OR(H730=$S$8,H730=$S$9,H730=$S$12),"Marion")</f>
        <v>Other</v>
      </c>
      <c r="L730">
        <v>444</v>
      </c>
      <c r="M730">
        <v>2050</v>
      </c>
      <c r="N730" t="s">
        <v>45</v>
      </c>
      <c r="O730">
        <v>0</v>
      </c>
    </row>
    <row r="731" spans="1:15" x14ac:dyDescent="0.25">
      <c r="A731">
        <v>447</v>
      </c>
      <c r="B731">
        <v>2005</v>
      </c>
      <c r="C731">
        <v>6</v>
      </c>
      <c r="D731">
        <v>0</v>
      </c>
      <c r="E731">
        <v>0</v>
      </c>
      <c r="F731" t="str" cm="1">
        <f t="array" ref="F731">_xlfn.XLOOKUP(A731&amp;B731,$L$2:$L$739&amp;$M$2:$M$739,$N$2:$N$739)</f>
        <v>Low</v>
      </c>
      <c r="G731">
        <f t="shared" si="11"/>
        <v>0</v>
      </c>
      <c r="H731" t="str">
        <f>_xlfn.XLOOKUP(A731,VE!$A$2:$A$247,VE!$B$2:$B$247)</f>
        <v>Salem_1</v>
      </c>
      <c r="I731" t="str" cm="1">
        <f t="array" ref="I731">_xlfn.IFS(OR(H731=$S$2,H731=$S$13,H731=$S$5),"Other",OR(H731=$S$3,H731=$S$4,H731=$S$7,H731=$S$10,H731=$S$11),"Salem",OR(H731=$S$6),"Keizer",OR(H731=$S$8,H731=$S$9,H731=$S$12),"Marion")</f>
        <v>Salem</v>
      </c>
      <c r="L731">
        <v>447</v>
      </c>
      <c r="M731">
        <v>2005</v>
      </c>
      <c r="N731" t="s">
        <v>45</v>
      </c>
      <c r="O731">
        <v>0</v>
      </c>
    </row>
    <row r="732" spans="1:15" x14ac:dyDescent="0.25">
      <c r="A732">
        <v>447</v>
      </c>
      <c r="B732">
        <v>2021</v>
      </c>
      <c r="C732">
        <v>10</v>
      </c>
      <c r="D732">
        <v>192</v>
      </c>
      <c r="E732">
        <v>0</v>
      </c>
      <c r="F732" t="str" cm="1">
        <f t="array" ref="F732">_xlfn.XLOOKUP(A732&amp;B732,$L$2:$L$739&amp;$M$2:$M$739,$N$2:$N$739)</f>
        <v>High</v>
      </c>
      <c r="G732">
        <f t="shared" si="11"/>
        <v>202</v>
      </c>
      <c r="H732" t="str">
        <f>_xlfn.XLOOKUP(A732,VE!$A$2:$A$247,VE!$B$2:$B$247)</f>
        <v>Salem_1</v>
      </c>
      <c r="I732" t="str" cm="1">
        <f t="array" ref="I732">_xlfn.IFS(OR(H732=$S$2,H732=$S$13,H732=$S$5),"Other",OR(H732=$S$3,H732=$S$4,H732=$S$7,H732=$S$10,H732=$S$11),"Salem",OR(H732=$S$6),"Keizer",OR(H732=$S$8,H732=$S$9,H732=$S$12),"Marion")</f>
        <v>Salem</v>
      </c>
      <c r="L732">
        <v>447</v>
      </c>
      <c r="M732">
        <v>2021</v>
      </c>
      <c r="N732" t="s">
        <v>46</v>
      </c>
      <c r="O732">
        <v>1</v>
      </c>
    </row>
    <row r="733" spans="1:15" x14ac:dyDescent="0.25">
      <c r="A733">
        <v>447</v>
      </c>
      <c r="B733">
        <v>2050</v>
      </c>
      <c r="C733">
        <v>24</v>
      </c>
      <c r="D733">
        <v>217</v>
      </c>
      <c r="E733">
        <v>0</v>
      </c>
      <c r="F733" t="str" cm="1">
        <f t="array" ref="F733">_xlfn.XLOOKUP(A733&amp;B733,$L$2:$L$739&amp;$M$2:$M$739,$N$2:$N$739)</f>
        <v>High</v>
      </c>
      <c r="G733">
        <f t="shared" si="11"/>
        <v>241</v>
      </c>
      <c r="H733" t="str">
        <f>_xlfn.XLOOKUP(A733,VE!$A$2:$A$247,VE!$B$2:$B$247)</f>
        <v>Salem_1</v>
      </c>
      <c r="I733" t="str" cm="1">
        <f t="array" ref="I733">_xlfn.IFS(OR(H733=$S$2,H733=$S$13,H733=$S$5),"Other",OR(H733=$S$3,H733=$S$4,H733=$S$7,H733=$S$10,H733=$S$11),"Salem",OR(H733=$S$6),"Keizer",OR(H733=$S$8,H733=$S$9,H733=$S$12),"Marion")</f>
        <v>Salem</v>
      </c>
      <c r="L733">
        <v>447</v>
      </c>
      <c r="M733">
        <v>2050</v>
      </c>
      <c r="N733" t="s">
        <v>46</v>
      </c>
      <c r="O733">
        <v>1</v>
      </c>
    </row>
    <row r="734" spans="1:15" x14ac:dyDescent="0.25">
      <c r="A734">
        <v>450</v>
      </c>
      <c r="B734">
        <v>2005</v>
      </c>
      <c r="C734">
        <v>50</v>
      </c>
      <c r="D734">
        <v>2</v>
      </c>
      <c r="E734">
        <v>0</v>
      </c>
      <c r="F734" t="str" cm="1">
        <f t="array" ref="F734">_xlfn.XLOOKUP(A734&amp;B734,$L$2:$L$739&amp;$M$2:$M$739,$N$2:$N$739)</f>
        <v>Low</v>
      </c>
      <c r="G734">
        <f t="shared" si="11"/>
        <v>0</v>
      </c>
      <c r="H734" t="str">
        <f>_xlfn.XLOOKUP(A734,VE!$A$2:$A$247,VE!$B$2:$B$247)</f>
        <v>Marion_Outside_UGB</v>
      </c>
      <c r="I734" t="str" cm="1">
        <f t="array" ref="I734">_xlfn.IFS(OR(H734=$S$2,H734=$S$13,H734=$S$5),"Other",OR(H734=$S$3,H734=$S$4,H734=$S$7,H734=$S$10,H734=$S$11),"Salem",OR(H734=$S$6),"Keizer",OR(H734=$S$8,H734=$S$9,H734=$S$12),"Marion")</f>
        <v>Other</v>
      </c>
      <c r="L734">
        <v>450</v>
      </c>
      <c r="M734">
        <v>2005</v>
      </c>
      <c r="N734" t="s">
        <v>45</v>
      </c>
      <c r="O734">
        <v>0</v>
      </c>
    </row>
    <row r="735" spans="1:15" x14ac:dyDescent="0.25">
      <c r="A735">
        <v>450</v>
      </c>
      <c r="B735">
        <v>2021</v>
      </c>
      <c r="C735">
        <v>50</v>
      </c>
      <c r="D735">
        <v>2</v>
      </c>
      <c r="E735">
        <v>0</v>
      </c>
      <c r="F735" t="str" cm="1">
        <f t="array" ref="F735">_xlfn.XLOOKUP(A735&amp;B735,$L$2:$L$739&amp;$M$2:$M$739,$N$2:$N$739)</f>
        <v>Low</v>
      </c>
      <c r="G735">
        <f t="shared" si="11"/>
        <v>0</v>
      </c>
      <c r="H735" t="str">
        <f>_xlfn.XLOOKUP(A735,VE!$A$2:$A$247,VE!$B$2:$B$247)</f>
        <v>Marion_Outside_UGB</v>
      </c>
      <c r="I735" t="str" cm="1">
        <f t="array" ref="I735">_xlfn.IFS(OR(H735=$S$2,H735=$S$13,H735=$S$5),"Other",OR(H735=$S$3,H735=$S$4,H735=$S$7,H735=$S$10,H735=$S$11),"Salem",OR(H735=$S$6),"Keizer",OR(H735=$S$8,H735=$S$9,H735=$S$12),"Marion")</f>
        <v>Other</v>
      </c>
      <c r="L735">
        <v>450</v>
      </c>
      <c r="M735">
        <v>2021</v>
      </c>
      <c r="N735" t="s">
        <v>45</v>
      </c>
      <c r="O735">
        <v>0</v>
      </c>
    </row>
    <row r="736" spans="1:15" x14ac:dyDescent="0.25">
      <c r="A736">
        <v>450</v>
      </c>
      <c r="B736">
        <v>2050</v>
      </c>
      <c r="C736">
        <v>234</v>
      </c>
      <c r="D736">
        <v>2</v>
      </c>
      <c r="E736">
        <v>0</v>
      </c>
      <c r="F736" t="str" cm="1">
        <f t="array" ref="F736">_xlfn.XLOOKUP(A736&amp;B736,$L$2:$L$739&amp;$M$2:$M$739,$N$2:$N$739)</f>
        <v>Low</v>
      </c>
      <c r="G736">
        <f t="shared" si="11"/>
        <v>0</v>
      </c>
      <c r="H736" t="str">
        <f>_xlfn.XLOOKUP(A736,VE!$A$2:$A$247,VE!$B$2:$B$247)</f>
        <v>Marion_Outside_UGB</v>
      </c>
      <c r="I736" t="str" cm="1">
        <f t="array" ref="I736">_xlfn.IFS(OR(H736=$S$2,H736=$S$13,H736=$S$5),"Other",OR(H736=$S$3,H736=$S$4,H736=$S$7,H736=$S$10,H736=$S$11),"Salem",OR(H736=$S$6),"Keizer",OR(H736=$S$8,H736=$S$9,H736=$S$12),"Marion")</f>
        <v>Other</v>
      </c>
      <c r="L736">
        <v>450</v>
      </c>
      <c r="M736">
        <v>2050</v>
      </c>
      <c r="N736" t="s">
        <v>45</v>
      </c>
      <c r="O736">
        <v>0</v>
      </c>
    </row>
    <row r="737" spans="1:15" x14ac:dyDescent="0.25">
      <c r="A737">
        <v>451</v>
      </c>
      <c r="B737">
        <v>2005</v>
      </c>
      <c r="C737">
        <v>51</v>
      </c>
      <c r="D737">
        <v>2</v>
      </c>
      <c r="E737">
        <v>0</v>
      </c>
      <c r="F737" t="str" cm="1">
        <f t="array" ref="F737">_xlfn.XLOOKUP(A737&amp;B737,$L$2:$L$739&amp;$M$2:$M$739,$N$2:$N$739)</f>
        <v>Low</v>
      </c>
      <c r="G737">
        <f t="shared" si="11"/>
        <v>0</v>
      </c>
      <c r="H737" t="str">
        <f>_xlfn.XLOOKUP(A737,VE!$A$2:$A$247,VE!$B$2:$B$247)</f>
        <v>Marion_Inside_UGB_3</v>
      </c>
      <c r="I737" t="str" cm="1">
        <f t="array" ref="I737">_xlfn.IFS(OR(H737=$S$2,H737=$S$13,H737=$S$5),"Other",OR(H737=$S$3,H737=$S$4,H737=$S$7,H737=$S$10,H737=$S$11),"Salem",OR(H737=$S$6),"Keizer",OR(H737=$S$8,H737=$S$9,H737=$S$12),"Marion")</f>
        <v>Marion</v>
      </c>
      <c r="L737">
        <v>451</v>
      </c>
      <c r="M737">
        <v>2005</v>
      </c>
      <c r="N737" t="s">
        <v>45</v>
      </c>
      <c r="O737">
        <v>0</v>
      </c>
    </row>
    <row r="738" spans="1:15" x14ac:dyDescent="0.25">
      <c r="A738">
        <v>451</v>
      </c>
      <c r="B738">
        <v>2021</v>
      </c>
      <c r="C738">
        <v>84</v>
      </c>
      <c r="D738">
        <v>4</v>
      </c>
      <c r="E738">
        <v>0</v>
      </c>
      <c r="F738" t="str" cm="1">
        <f t="array" ref="F738">_xlfn.XLOOKUP(A738&amp;B738,$L$2:$L$739&amp;$M$2:$M$739,$N$2:$N$739)</f>
        <v>Low</v>
      </c>
      <c r="G738">
        <f t="shared" si="11"/>
        <v>0</v>
      </c>
      <c r="H738" t="str">
        <f>_xlfn.XLOOKUP(A738,VE!$A$2:$A$247,VE!$B$2:$B$247)</f>
        <v>Marion_Inside_UGB_3</v>
      </c>
      <c r="I738" t="str" cm="1">
        <f t="array" ref="I738">_xlfn.IFS(OR(H738=$S$2,H738=$S$13,H738=$S$5),"Other",OR(H738=$S$3,H738=$S$4,H738=$S$7,H738=$S$10,H738=$S$11),"Salem",OR(H738=$S$6),"Keizer",OR(H738=$S$8,H738=$S$9,H738=$S$12),"Marion")</f>
        <v>Marion</v>
      </c>
      <c r="L738">
        <v>451</v>
      </c>
      <c r="M738">
        <v>2021</v>
      </c>
      <c r="N738" t="s">
        <v>45</v>
      </c>
      <c r="O738">
        <v>0</v>
      </c>
    </row>
    <row r="739" spans="1:15" x14ac:dyDescent="0.25">
      <c r="A739">
        <v>451</v>
      </c>
      <c r="B739">
        <v>2050</v>
      </c>
      <c r="C739">
        <v>754</v>
      </c>
      <c r="D739">
        <v>113</v>
      </c>
      <c r="E739">
        <v>0</v>
      </c>
      <c r="F739" t="str" cm="1">
        <f t="array" ref="F739">_xlfn.XLOOKUP(A739&amp;B739,$L$2:$L$739&amp;$M$2:$M$739,$N$2:$N$739)</f>
        <v>Low</v>
      </c>
      <c r="G739">
        <f t="shared" si="11"/>
        <v>0</v>
      </c>
      <c r="H739" t="str">
        <f>_xlfn.XLOOKUP(A739,VE!$A$2:$A$247,VE!$B$2:$B$247)</f>
        <v>Marion_Inside_UGB_3</v>
      </c>
      <c r="I739" t="str" cm="1">
        <f t="array" ref="I739">_xlfn.IFS(OR(H739=$S$2,H739=$S$13,H739=$S$5),"Other",OR(H739=$S$3,H739=$S$4,H739=$S$7,H739=$S$10,H739=$S$11),"Salem",OR(H739=$S$6),"Keizer",OR(H739=$S$8,H739=$S$9,H739=$S$12),"Marion")</f>
        <v>Marion</v>
      </c>
      <c r="L739">
        <v>451</v>
      </c>
      <c r="M739">
        <v>2050</v>
      </c>
      <c r="N739" t="s">
        <v>45</v>
      </c>
      <c r="O73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2B01-26CE-4E38-9B9D-D7DC3EC35824}">
  <dimension ref="A1:C253"/>
  <sheetViews>
    <sheetView workbookViewId="0">
      <selection activeCell="I8" sqref="I8"/>
    </sheetView>
  </sheetViews>
  <sheetFormatPr defaultRowHeight="15" x14ac:dyDescent="0.25"/>
  <cols>
    <col min="1" max="1" width="10.85546875" bestFit="1" customWidth="1"/>
    <col min="2" max="2" width="19.7109375" bestFit="1" customWidth="1"/>
  </cols>
  <sheetData>
    <row r="1" spans="1:3" x14ac:dyDescent="0.25">
      <c r="A1" t="s">
        <v>15</v>
      </c>
      <c r="B1" t="s">
        <v>14</v>
      </c>
      <c r="C1" t="s">
        <v>16</v>
      </c>
    </row>
    <row r="2" spans="1:3" x14ac:dyDescent="0.25">
      <c r="A2">
        <v>410470002001</v>
      </c>
      <c r="B2" t="s">
        <v>28</v>
      </c>
      <c r="C2">
        <v>0.99999995999999991</v>
      </c>
    </row>
    <row r="3" spans="1:3" x14ac:dyDescent="0.25">
      <c r="A3">
        <v>410470002002</v>
      </c>
      <c r="B3" t="s">
        <v>28</v>
      </c>
      <c r="C3">
        <v>3.3882530000000001E-2</v>
      </c>
    </row>
    <row r="4" spans="1:3" x14ac:dyDescent="0.25">
      <c r="A4">
        <v>410470002002</v>
      </c>
      <c r="B4" t="s">
        <v>3</v>
      </c>
      <c r="C4">
        <v>0.96611742000000012</v>
      </c>
    </row>
    <row r="5" spans="1:3" x14ac:dyDescent="0.25">
      <c r="A5">
        <v>410470002003</v>
      </c>
      <c r="B5" t="s">
        <v>28</v>
      </c>
      <c r="C5">
        <v>0.53792717000000001</v>
      </c>
    </row>
    <row r="6" spans="1:3" x14ac:dyDescent="0.25">
      <c r="A6">
        <v>410470002003</v>
      </c>
      <c r="B6" t="s">
        <v>3</v>
      </c>
      <c r="C6">
        <v>0.32837296000000005</v>
      </c>
    </row>
    <row r="7" spans="1:3" x14ac:dyDescent="0.25">
      <c r="A7">
        <v>410470002003</v>
      </c>
      <c r="B7" t="s">
        <v>5</v>
      </c>
      <c r="C7">
        <v>0.13369986</v>
      </c>
    </row>
    <row r="8" spans="1:3" x14ac:dyDescent="0.25">
      <c r="A8">
        <v>410470002004</v>
      </c>
      <c r="B8" t="s">
        <v>28</v>
      </c>
      <c r="C8">
        <v>0.93544837000000003</v>
      </c>
    </row>
    <row r="9" spans="1:3" x14ac:dyDescent="0.25">
      <c r="A9">
        <v>410470002004</v>
      </c>
      <c r="B9" t="s">
        <v>5</v>
      </c>
      <c r="C9">
        <v>6.4551650000000002E-2</v>
      </c>
    </row>
    <row r="10" spans="1:3" x14ac:dyDescent="0.25">
      <c r="A10">
        <v>410470003001</v>
      </c>
      <c r="B10" t="s">
        <v>28</v>
      </c>
      <c r="C10">
        <v>9.5502199999999999E-3</v>
      </c>
    </row>
    <row r="11" spans="1:3" x14ac:dyDescent="0.25">
      <c r="A11">
        <v>410470003001</v>
      </c>
      <c r="B11" t="s">
        <v>3</v>
      </c>
      <c r="C11">
        <v>0.99044977000000001</v>
      </c>
    </row>
    <row r="12" spans="1:3" x14ac:dyDescent="0.25">
      <c r="A12">
        <v>410470003002</v>
      </c>
      <c r="B12" t="s">
        <v>28</v>
      </c>
      <c r="C12">
        <v>0.28377163</v>
      </c>
    </row>
    <row r="13" spans="1:3" x14ac:dyDescent="0.25">
      <c r="A13">
        <v>410470003002</v>
      </c>
      <c r="B13" t="s">
        <v>3</v>
      </c>
      <c r="C13">
        <v>0.71622831000000009</v>
      </c>
    </row>
    <row r="14" spans="1:3" x14ac:dyDescent="0.25">
      <c r="A14">
        <v>410470003003</v>
      </c>
      <c r="B14" t="s">
        <v>8</v>
      </c>
      <c r="C14">
        <v>2.6192999999999998E-3</v>
      </c>
    </row>
    <row r="15" spans="1:3" x14ac:dyDescent="0.25">
      <c r="A15">
        <v>410470003003</v>
      </c>
      <c r="B15" t="s">
        <v>10</v>
      </c>
      <c r="C15">
        <v>4.613E-5</v>
      </c>
    </row>
    <row r="16" spans="1:3" x14ac:dyDescent="0.25">
      <c r="A16">
        <v>410470003003</v>
      </c>
      <c r="B16" t="s">
        <v>28</v>
      </c>
      <c r="C16">
        <v>0.95849660000000003</v>
      </c>
    </row>
    <row r="17" spans="1:3" x14ac:dyDescent="0.25">
      <c r="A17">
        <v>410470003003</v>
      </c>
      <c r="B17" t="s">
        <v>3</v>
      </c>
      <c r="C17">
        <v>3.8896699999999999E-2</v>
      </c>
    </row>
    <row r="18" spans="1:3" x14ac:dyDescent="0.25">
      <c r="A18">
        <v>410470003004</v>
      </c>
      <c r="B18" t="s">
        <v>28</v>
      </c>
      <c r="C18">
        <v>0.76450430999999996</v>
      </c>
    </row>
    <row r="19" spans="1:3" x14ac:dyDescent="0.25">
      <c r="A19">
        <v>410470003004</v>
      </c>
      <c r="B19" t="s">
        <v>3</v>
      </c>
      <c r="C19">
        <v>0.23549565</v>
      </c>
    </row>
    <row r="20" spans="1:3" x14ac:dyDescent="0.25">
      <c r="A20">
        <v>410470004001</v>
      </c>
      <c r="B20" t="s">
        <v>7</v>
      </c>
      <c r="C20">
        <v>7.0039909999999997E-2</v>
      </c>
    </row>
    <row r="21" spans="1:3" x14ac:dyDescent="0.25">
      <c r="A21">
        <v>410470004001</v>
      </c>
      <c r="B21" t="s">
        <v>28</v>
      </c>
      <c r="C21">
        <v>2.2439999999999999E-5</v>
      </c>
    </row>
    <row r="22" spans="1:3" x14ac:dyDescent="0.25">
      <c r="A22">
        <v>410470004001</v>
      </c>
      <c r="B22" t="s">
        <v>3</v>
      </c>
      <c r="C22">
        <v>0.92993764999999995</v>
      </c>
    </row>
    <row r="23" spans="1:3" x14ac:dyDescent="0.25">
      <c r="A23">
        <v>410470004002</v>
      </c>
      <c r="B23" t="s">
        <v>7</v>
      </c>
      <c r="C23">
        <v>0.47716450999999999</v>
      </c>
    </row>
    <row r="24" spans="1:3" x14ac:dyDescent="0.25">
      <c r="A24">
        <v>410470004002</v>
      </c>
      <c r="B24" t="s">
        <v>8</v>
      </c>
      <c r="C24">
        <v>9.9539999999999999E-5</v>
      </c>
    </row>
    <row r="25" spans="1:3" x14ac:dyDescent="0.25">
      <c r="A25">
        <v>410470004002</v>
      </c>
      <c r="B25" t="s">
        <v>28</v>
      </c>
      <c r="C25">
        <v>1.4469860000000001E-2</v>
      </c>
    </row>
    <row r="26" spans="1:3" x14ac:dyDescent="0.25">
      <c r="A26">
        <v>410470004002</v>
      </c>
      <c r="B26" t="s">
        <v>3</v>
      </c>
      <c r="C26">
        <v>0.50826652000000005</v>
      </c>
    </row>
    <row r="27" spans="1:3" x14ac:dyDescent="0.25">
      <c r="A27">
        <v>410470005001</v>
      </c>
      <c r="B27" t="s">
        <v>3</v>
      </c>
      <c r="C27">
        <v>1</v>
      </c>
    </row>
    <row r="28" spans="1:3" x14ac:dyDescent="0.25">
      <c r="A28">
        <v>410470005002</v>
      </c>
      <c r="B28" t="s">
        <v>3</v>
      </c>
      <c r="C28">
        <v>1</v>
      </c>
    </row>
    <row r="29" spans="1:3" x14ac:dyDescent="0.25">
      <c r="A29">
        <v>410470005003</v>
      </c>
      <c r="B29" t="s">
        <v>3</v>
      </c>
      <c r="C29">
        <v>0.99999998000000001</v>
      </c>
    </row>
    <row r="30" spans="1:3" x14ac:dyDescent="0.25">
      <c r="A30">
        <v>410470006001</v>
      </c>
      <c r="B30" t="s">
        <v>3</v>
      </c>
      <c r="C30">
        <v>1</v>
      </c>
    </row>
    <row r="31" spans="1:3" x14ac:dyDescent="0.25">
      <c r="A31">
        <v>410470006002</v>
      </c>
      <c r="B31" t="s">
        <v>3</v>
      </c>
      <c r="C31">
        <v>1</v>
      </c>
    </row>
    <row r="32" spans="1:3" x14ac:dyDescent="0.25">
      <c r="A32">
        <v>410470006003</v>
      </c>
      <c r="B32" t="s">
        <v>3</v>
      </c>
      <c r="C32">
        <v>1</v>
      </c>
    </row>
    <row r="33" spans="1:3" x14ac:dyDescent="0.25">
      <c r="A33">
        <v>410470007001</v>
      </c>
      <c r="B33" t="s">
        <v>3</v>
      </c>
      <c r="C33">
        <v>1</v>
      </c>
    </row>
    <row r="34" spans="1:3" x14ac:dyDescent="0.25">
      <c r="A34">
        <v>410470007002</v>
      </c>
      <c r="B34" t="s">
        <v>57</v>
      </c>
      <c r="C34">
        <v>6.338205999999999E-2</v>
      </c>
    </row>
    <row r="35" spans="1:3" x14ac:dyDescent="0.25">
      <c r="A35">
        <v>410470007002</v>
      </c>
      <c r="B35" t="s">
        <v>3</v>
      </c>
      <c r="C35">
        <v>0.93661795000000003</v>
      </c>
    </row>
    <row r="36" spans="1:3" x14ac:dyDescent="0.25">
      <c r="A36">
        <v>410470008001</v>
      </c>
      <c r="B36" t="s">
        <v>3</v>
      </c>
      <c r="C36">
        <v>1</v>
      </c>
    </row>
    <row r="37" spans="1:3" x14ac:dyDescent="0.25">
      <c r="A37">
        <v>410470008002</v>
      </c>
      <c r="B37" t="s">
        <v>3</v>
      </c>
      <c r="C37">
        <v>0.99999992999999998</v>
      </c>
    </row>
    <row r="38" spans="1:3" x14ac:dyDescent="0.25">
      <c r="A38">
        <v>410470009001</v>
      </c>
      <c r="B38" t="s">
        <v>3</v>
      </c>
      <c r="C38">
        <v>0.99999996999999996</v>
      </c>
    </row>
    <row r="39" spans="1:3" x14ac:dyDescent="0.25">
      <c r="A39">
        <v>410470009002</v>
      </c>
      <c r="B39" t="s">
        <v>3</v>
      </c>
      <c r="C39">
        <v>0.99999998000000001</v>
      </c>
    </row>
    <row r="40" spans="1:3" x14ac:dyDescent="0.25">
      <c r="A40">
        <v>410470009003</v>
      </c>
      <c r="B40" t="s">
        <v>3</v>
      </c>
      <c r="C40">
        <v>1</v>
      </c>
    </row>
    <row r="41" spans="1:3" x14ac:dyDescent="0.25">
      <c r="A41">
        <v>410470009004</v>
      </c>
      <c r="B41" t="s">
        <v>3</v>
      </c>
      <c r="C41">
        <v>0.99999998000000001</v>
      </c>
    </row>
    <row r="42" spans="1:3" x14ac:dyDescent="0.25">
      <c r="A42">
        <v>410470009005</v>
      </c>
      <c r="B42" t="s">
        <v>3</v>
      </c>
      <c r="C42">
        <v>1</v>
      </c>
    </row>
    <row r="43" spans="1:3" x14ac:dyDescent="0.25">
      <c r="A43">
        <v>410470009006</v>
      </c>
      <c r="B43" t="s">
        <v>3</v>
      </c>
      <c r="C43">
        <v>1</v>
      </c>
    </row>
    <row r="44" spans="1:3" x14ac:dyDescent="0.25">
      <c r="A44">
        <v>410470009007</v>
      </c>
      <c r="B44" t="s">
        <v>3</v>
      </c>
      <c r="C44">
        <v>1</v>
      </c>
    </row>
    <row r="45" spans="1:3" x14ac:dyDescent="0.25">
      <c r="A45">
        <v>410470010001</v>
      </c>
      <c r="B45" t="s">
        <v>3</v>
      </c>
      <c r="C45">
        <v>1.241125E-2</v>
      </c>
    </row>
    <row r="46" spans="1:3" x14ac:dyDescent="0.25">
      <c r="A46">
        <v>410470010001</v>
      </c>
      <c r="B46" t="s">
        <v>5</v>
      </c>
      <c r="C46">
        <v>0.98758875999999995</v>
      </c>
    </row>
    <row r="47" spans="1:3" x14ac:dyDescent="0.25">
      <c r="A47">
        <v>410470010002</v>
      </c>
      <c r="B47" t="s">
        <v>3</v>
      </c>
      <c r="C47">
        <v>2.29232E-3</v>
      </c>
    </row>
    <row r="48" spans="1:3" x14ac:dyDescent="0.25">
      <c r="A48">
        <v>410470010002</v>
      </c>
      <c r="B48" t="s">
        <v>5</v>
      </c>
      <c r="C48">
        <v>0.99770771999999996</v>
      </c>
    </row>
    <row r="49" spans="1:3" x14ac:dyDescent="0.25">
      <c r="A49">
        <v>410470010003</v>
      </c>
      <c r="B49" t="s">
        <v>57</v>
      </c>
      <c r="C49">
        <v>1.271217E-2</v>
      </c>
    </row>
    <row r="50" spans="1:3" x14ac:dyDescent="0.25">
      <c r="A50">
        <v>410470010003</v>
      </c>
      <c r="B50" t="s">
        <v>3</v>
      </c>
      <c r="C50">
        <v>0.26929741000000001</v>
      </c>
    </row>
    <row r="51" spans="1:3" x14ac:dyDescent="0.25">
      <c r="A51">
        <v>410470010003</v>
      </c>
      <c r="B51" t="s">
        <v>5</v>
      </c>
      <c r="C51">
        <v>0.71799042000000002</v>
      </c>
    </row>
    <row r="52" spans="1:3" x14ac:dyDescent="0.25">
      <c r="A52">
        <v>410470010004</v>
      </c>
      <c r="B52" t="s">
        <v>58</v>
      </c>
      <c r="C52">
        <v>1.3816E-3</v>
      </c>
    </row>
    <row r="53" spans="1:3" x14ac:dyDescent="0.25">
      <c r="A53">
        <v>410470010004</v>
      </c>
      <c r="B53" t="s">
        <v>5</v>
      </c>
      <c r="C53">
        <v>0.99861840000000002</v>
      </c>
    </row>
    <row r="54" spans="1:3" x14ac:dyDescent="0.25">
      <c r="A54">
        <v>410470011001</v>
      </c>
      <c r="B54" t="s">
        <v>5</v>
      </c>
      <c r="C54">
        <v>0.99999999000000006</v>
      </c>
    </row>
    <row r="55" spans="1:3" x14ac:dyDescent="0.25">
      <c r="A55">
        <v>410470011002</v>
      </c>
      <c r="B55" t="s">
        <v>5</v>
      </c>
      <c r="C55">
        <v>0.99999995999999991</v>
      </c>
    </row>
    <row r="56" spans="1:3" x14ac:dyDescent="0.25">
      <c r="A56">
        <v>410470012001</v>
      </c>
      <c r="B56" t="s">
        <v>28</v>
      </c>
      <c r="C56">
        <v>6.5042699999999995E-3</v>
      </c>
    </row>
    <row r="57" spans="1:3" x14ac:dyDescent="0.25">
      <c r="A57">
        <v>410470012001</v>
      </c>
      <c r="B57" t="s">
        <v>3</v>
      </c>
      <c r="C57">
        <v>1.6834700000000001E-3</v>
      </c>
    </row>
    <row r="58" spans="1:3" x14ac:dyDescent="0.25">
      <c r="A58">
        <v>410470012001</v>
      </c>
      <c r="B58" t="s">
        <v>5</v>
      </c>
      <c r="C58">
        <v>0.99181224999999995</v>
      </c>
    </row>
    <row r="59" spans="1:3" x14ac:dyDescent="0.25">
      <c r="A59">
        <v>410470012002</v>
      </c>
      <c r="B59" t="s">
        <v>5</v>
      </c>
      <c r="C59">
        <v>1</v>
      </c>
    </row>
    <row r="60" spans="1:3" x14ac:dyDescent="0.25">
      <c r="A60">
        <v>410470013001</v>
      </c>
      <c r="B60" t="s">
        <v>5</v>
      </c>
      <c r="C60">
        <v>1</v>
      </c>
    </row>
    <row r="61" spans="1:3" x14ac:dyDescent="0.25">
      <c r="A61">
        <v>410470013002</v>
      </c>
      <c r="B61" t="s">
        <v>9</v>
      </c>
      <c r="C61">
        <v>2.2230000000000002E-5</v>
      </c>
    </row>
    <row r="62" spans="1:3" x14ac:dyDescent="0.25">
      <c r="A62">
        <v>410470013002</v>
      </c>
      <c r="B62" t="s">
        <v>28</v>
      </c>
      <c r="C62">
        <v>1.0378800000000001E-3</v>
      </c>
    </row>
    <row r="63" spans="1:3" x14ac:dyDescent="0.25">
      <c r="A63">
        <v>410470013002</v>
      </c>
      <c r="B63" t="s">
        <v>5</v>
      </c>
      <c r="C63">
        <v>0.99893989000000005</v>
      </c>
    </row>
    <row r="64" spans="1:3" x14ac:dyDescent="0.25">
      <c r="A64">
        <v>410470013003</v>
      </c>
      <c r="B64" t="s">
        <v>5</v>
      </c>
      <c r="C64">
        <v>0.99999995999999991</v>
      </c>
    </row>
    <row r="65" spans="1:3" x14ac:dyDescent="0.25">
      <c r="A65">
        <v>410470013004</v>
      </c>
      <c r="B65" t="s">
        <v>5</v>
      </c>
      <c r="C65">
        <v>0.99999994999999997</v>
      </c>
    </row>
    <row r="66" spans="1:3" x14ac:dyDescent="0.25">
      <c r="A66">
        <v>410470014001</v>
      </c>
      <c r="B66" t="s">
        <v>7</v>
      </c>
      <c r="C66">
        <v>1</v>
      </c>
    </row>
    <row r="67" spans="1:3" x14ac:dyDescent="0.25">
      <c r="A67">
        <v>410470014002</v>
      </c>
      <c r="B67" t="s">
        <v>7</v>
      </c>
      <c r="C67">
        <v>0.9845931</v>
      </c>
    </row>
    <row r="68" spans="1:3" x14ac:dyDescent="0.25">
      <c r="A68">
        <v>410470014002</v>
      </c>
      <c r="B68" t="s">
        <v>8</v>
      </c>
      <c r="C68">
        <v>1.5339999999999999E-2</v>
      </c>
    </row>
    <row r="69" spans="1:3" x14ac:dyDescent="0.25">
      <c r="A69">
        <v>410470014003</v>
      </c>
      <c r="B69" t="s">
        <v>7</v>
      </c>
      <c r="C69">
        <v>0.44648695999999999</v>
      </c>
    </row>
    <row r="70" spans="1:3" x14ac:dyDescent="0.25">
      <c r="A70">
        <v>410470014003</v>
      </c>
      <c r="B70" t="s">
        <v>6</v>
      </c>
      <c r="C70">
        <v>0.55323230000000001</v>
      </c>
    </row>
    <row r="71" spans="1:3" x14ac:dyDescent="0.25">
      <c r="A71">
        <v>410470014003</v>
      </c>
      <c r="B71" t="s">
        <v>8</v>
      </c>
      <c r="C71">
        <v>2.5347999999999999E-4</v>
      </c>
    </row>
    <row r="72" spans="1:3" x14ac:dyDescent="0.25">
      <c r="A72">
        <v>410470014004</v>
      </c>
      <c r="B72" t="s">
        <v>7</v>
      </c>
      <c r="C72">
        <v>0.96878282999999998</v>
      </c>
    </row>
    <row r="73" spans="1:3" x14ac:dyDescent="0.25">
      <c r="A73">
        <v>410470014004</v>
      </c>
      <c r="B73" t="s">
        <v>6</v>
      </c>
      <c r="C73">
        <v>6.4806500000000001E-3</v>
      </c>
    </row>
    <row r="74" spans="1:3" x14ac:dyDescent="0.25">
      <c r="A74">
        <v>410470014004</v>
      </c>
      <c r="B74" t="s">
        <v>8</v>
      </c>
      <c r="C74">
        <v>2.4483199999999997E-2</v>
      </c>
    </row>
    <row r="75" spans="1:3" x14ac:dyDescent="0.25">
      <c r="A75">
        <v>410470015011</v>
      </c>
      <c r="B75" t="s">
        <v>7</v>
      </c>
      <c r="C75">
        <v>0.98908767999999991</v>
      </c>
    </row>
    <row r="76" spans="1:3" x14ac:dyDescent="0.25">
      <c r="A76">
        <v>410470015011</v>
      </c>
      <c r="B76" t="s">
        <v>6</v>
      </c>
      <c r="C76">
        <v>1.089701E-2</v>
      </c>
    </row>
    <row r="77" spans="1:3" x14ac:dyDescent="0.25">
      <c r="A77">
        <v>410470015011</v>
      </c>
      <c r="B77" t="s">
        <v>3</v>
      </c>
      <c r="C77">
        <v>1.5310000000000001E-5</v>
      </c>
    </row>
    <row r="78" spans="1:3" x14ac:dyDescent="0.25">
      <c r="A78">
        <v>410470015012</v>
      </c>
      <c r="B78" t="s">
        <v>7</v>
      </c>
      <c r="C78">
        <v>0.99947474999999997</v>
      </c>
    </row>
    <row r="79" spans="1:3" x14ac:dyDescent="0.25">
      <c r="A79">
        <v>410470015012</v>
      </c>
      <c r="B79" t="s">
        <v>6</v>
      </c>
      <c r="C79">
        <v>5.2526000000000005E-4</v>
      </c>
    </row>
    <row r="80" spans="1:3" x14ac:dyDescent="0.25">
      <c r="A80">
        <v>410470015013</v>
      </c>
      <c r="B80" t="s">
        <v>7</v>
      </c>
      <c r="C80">
        <v>1</v>
      </c>
    </row>
    <row r="81" spans="1:3" x14ac:dyDescent="0.25">
      <c r="A81">
        <v>410470015021</v>
      </c>
      <c r="B81" t="s">
        <v>7</v>
      </c>
      <c r="C81">
        <v>1</v>
      </c>
    </row>
    <row r="82" spans="1:3" x14ac:dyDescent="0.25">
      <c r="A82">
        <v>410470015022</v>
      </c>
      <c r="B82" t="s">
        <v>7</v>
      </c>
      <c r="C82">
        <v>0.75494399999999995</v>
      </c>
    </row>
    <row r="83" spans="1:3" x14ac:dyDescent="0.25">
      <c r="A83">
        <v>410470015022</v>
      </c>
      <c r="B83" t="s">
        <v>3</v>
      </c>
      <c r="C83">
        <v>0.24505600999999999</v>
      </c>
    </row>
    <row r="84" spans="1:3" x14ac:dyDescent="0.25">
      <c r="A84">
        <v>410470015023</v>
      </c>
      <c r="B84" t="s">
        <v>7</v>
      </c>
      <c r="C84">
        <v>0.99999990999999999</v>
      </c>
    </row>
    <row r="85" spans="1:3" x14ac:dyDescent="0.25">
      <c r="A85">
        <v>410470015031</v>
      </c>
      <c r="B85" t="s">
        <v>7</v>
      </c>
      <c r="C85">
        <v>0.99029670999999997</v>
      </c>
    </row>
    <row r="86" spans="1:3" x14ac:dyDescent="0.25">
      <c r="A86">
        <v>410470015031</v>
      </c>
      <c r="B86" t="s">
        <v>3</v>
      </c>
      <c r="C86">
        <v>9.7032899999999998E-3</v>
      </c>
    </row>
    <row r="87" spans="1:3" x14ac:dyDescent="0.25">
      <c r="A87">
        <v>410470015032</v>
      </c>
      <c r="B87" t="s">
        <v>7</v>
      </c>
      <c r="C87">
        <v>0.99999994999999997</v>
      </c>
    </row>
    <row r="88" spans="1:3" x14ac:dyDescent="0.25">
      <c r="A88">
        <v>410470015033</v>
      </c>
      <c r="B88" t="s">
        <v>7</v>
      </c>
      <c r="C88">
        <v>0.94653575000000001</v>
      </c>
    </row>
    <row r="89" spans="1:3" x14ac:dyDescent="0.25">
      <c r="A89">
        <v>410470015033</v>
      </c>
      <c r="B89" t="s">
        <v>3</v>
      </c>
      <c r="C89">
        <v>5.3464219999999993E-2</v>
      </c>
    </row>
    <row r="90" spans="1:3" x14ac:dyDescent="0.25">
      <c r="A90">
        <v>410470016011</v>
      </c>
      <c r="B90" t="s">
        <v>56</v>
      </c>
      <c r="C90">
        <v>0.34732529999999995</v>
      </c>
    </row>
    <row r="91" spans="1:3" x14ac:dyDescent="0.25">
      <c r="A91">
        <v>410470016011</v>
      </c>
      <c r="B91" t="s">
        <v>3</v>
      </c>
      <c r="C91">
        <v>0.65267470000000005</v>
      </c>
    </row>
    <row r="92" spans="1:3" x14ac:dyDescent="0.25">
      <c r="A92">
        <v>410470016012</v>
      </c>
      <c r="B92" t="s">
        <v>56</v>
      </c>
      <c r="C92">
        <v>0.99999816999999991</v>
      </c>
    </row>
    <row r="93" spans="1:3" x14ac:dyDescent="0.25">
      <c r="A93">
        <v>410470016012</v>
      </c>
      <c r="B93" t="s">
        <v>3</v>
      </c>
      <c r="C93">
        <v>1.8300000000000001E-6</v>
      </c>
    </row>
    <row r="94" spans="1:3" x14ac:dyDescent="0.25">
      <c r="A94">
        <v>410470016013</v>
      </c>
      <c r="B94" t="s">
        <v>56</v>
      </c>
      <c r="C94">
        <v>1</v>
      </c>
    </row>
    <row r="95" spans="1:3" x14ac:dyDescent="0.25">
      <c r="A95">
        <v>410470016014</v>
      </c>
      <c r="B95" t="s">
        <v>56</v>
      </c>
      <c r="C95">
        <v>0.99999999000000006</v>
      </c>
    </row>
    <row r="96" spans="1:3" x14ac:dyDescent="0.25">
      <c r="A96">
        <v>410470016021</v>
      </c>
      <c r="B96" t="s">
        <v>56</v>
      </c>
      <c r="C96">
        <v>0.82157320999999994</v>
      </c>
    </row>
    <row r="97" spans="1:3" x14ac:dyDescent="0.25">
      <c r="A97">
        <v>410470016021</v>
      </c>
      <c r="B97" t="s">
        <v>3</v>
      </c>
      <c r="C97">
        <v>0.17842680999999999</v>
      </c>
    </row>
    <row r="98" spans="1:3" x14ac:dyDescent="0.25">
      <c r="A98">
        <v>410470016022</v>
      </c>
      <c r="B98" t="s">
        <v>56</v>
      </c>
      <c r="C98">
        <v>0.99550569</v>
      </c>
    </row>
    <row r="99" spans="1:3" x14ac:dyDescent="0.25">
      <c r="A99">
        <v>410470016022</v>
      </c>
      <c r="B99" t="s">
        <v>3</v>
      </c>
      <c r="C99">
        <v>4.4942699999999999E-3</v>
      </c>
    </row>
    <row r="100" spans="1:3" x14ac:dyDescent="0.25">
      <c r="A100">
        <v>410470016023</v>
      </c>
      <c r="B100" t="s">
        <v>56</v>
      </c>
      <c r="C100">
        <v>0.99999995999999991</v>
      </c>
    </row>
    <row r="101" spans="1:3" x14ac:dyDescent="0.25">
      <c r="A101">
        <v>410470016024</v>
      </c>
      <c r="B101" t="s">
        <v>56</v>
      </c>
      <c r="C101">
        <v>1</v>
      </c>
    </row>
    <row r="102" spans="1:3" x14ac:dyDescent="0.25">
      <c r="A102">
        <v>410470016031</v>
      </c>
      <c r="B102" t="s">
        <v>56</v>
      </c>
      <c r="C102">
        <v>5.6633679999999999E-2</v>
      </c>
    </row>
    <row r="103" spans="1:3" x14ac:dyDescent="0.25">
      <c r="A103">
        <v>410470016031</v>
      </c>
      <c r="B103" t="s">
        <v>6</v>
      </c>
      <c r="C103">
        <v>0.92741037999999998</v>
      </c>
    </row>
    <row r="104" spans="1:3" x14ac:dyDescent="0.25">
      <c r="A104">
        <v>410470016031</v>
      </c>
      <c r="B104" t="s">
        <v>3</v>
      </c>
      <c r="C104">
        <v>7.5879999999999999E-5</v>
      </c>
    </row>
    <row r="105" spans="1:3" x14ac:dyDescent="0.25">
      <c r="A105">
        <v>410470016032</v>
      </c>
      <c r="B105" t="s">
        <v>56</v>
      </c>
      <c r="C105">
        <v>0.99633748999999994</v>
      </c>
    </row>
    <row r="106" spans="1:3" x14ac:dyDescent="0.25">
      <c r="A106">
        <v>410470016032</v>
      </c>
      <c r="B106" t="s">
        <v>6</v>
      </c>
      <c r="C106">
        <v>3.6625500000000001E-3</v>
      </c>
    </row>
    <row r="107" spans="1:3" x14ac:dyDescent="0.25">
      <c r="A107">
        <v>410470016033</v>
      </c>
      <c r="B107" t="s">
        <v>56</v>
      </c>
      <c r="C107">
        <v>0.98105315999999998</v>
      </c>
    </row>
    <row r="108" spans="1:3" x14ac:dyDescent="0.25">
      <c r="A108">
        <v>410470016033</v>
      </c>
      <c r="B108" t="s">
        <v>6</v>
      </c>
      <c r="C108">
        <v>1.8946870000000001E-2</v>
      </c>
    </row>
    <row r="109" spans="1:3" x14ac:dyDescent="0.25">
      <c r="A109">
        <v>410470016034</v>
      </c>
      <c r="B109" t="s">
        <v>56</v>
      </c>
      <c r="C109">
        <v>0.99102760000000001</v>
      </c>
    </row>
    <row r="110" spans="1:3" x14ac:dyDescent="0.25">
      <c r="A110">
        <v>410470016034</v>
      </c>
      <c r="B110" t="s">
        <v>6</v>
      </c>
      <c r="C110">
        <v>8.9724399999999999E-3</v>
      </c>
    </row>
    <row r="111" spans="1:3" x14ac:dyDescent="0.25">
      <c r="A111">
        <v>410470016041</v>
      </c>
      <c r="B111" t="s">
        <v>56</v>
      </c>
      <c r="C111">
        <v>9.8980520000000002E-2</v>
      </c>
    </row>
    <row r="112" spans="1:3" x14ac:dyDescent="0.25">
      <c r="A112">
        <v>410470016041</v>
      </c>
      <c r="B112" t="s">
        <v>3</v>
      </c>
      <c r="C112">
        <v>0.90101946999999993</v>
      </c>
    </row>
    <row r="113" spans="1:3" x14ac:dyDescent="0.25">
      <c r="A113">
        <v>410470016042</v>
      </c>
      <c r="B113" t="s">
        <v>56</v>
      </c>
      <c r="C113">
        <v>0.54057113999999995</v>
      </c>
    </row>
    <row r="114" spans="1:3" x14ac:dyDescent="0.25">
      <c r="A114">
        <v>410470016042</v>
      </c>
      <c r="B114" t="s">
        <v>3</v>
      </c>
      <c r="C114">
        <v>0.45942885999999999</v>
      </c>
    </row>
    <row r="115" spans="1:3" x14ac:dyDescent="0.25">
      <c r="A115">
        <v>410470016043</v>
      </c>
      <c r="B115" t="s">
        <v>56</v>
      </c>
      <c r="C115">
        <v>0.99896986999999993</v>
      </c>
    </row>
    <row r="116" spans="1:3" x14ac:dyDescent="0.25">
      <c r="A116">
        <v>410470016043</v>
      </c>
      <c r="B116" t="s">
        <v>3</v>
      </c>
      <c r="C116">
        <v>1.0301499999999999E-3</v>
      </c>
    </row>
    <row r="117" spans="1:3" x14ac:dyDescent="0.25">
      <c r="A117">
        <v>410470016044</v>
      </c>
      <c r="B117" t="s">
        <v>56</v>
      </c>
      <c r="C117">
        <v>1</v>
      </c>
    </row>
    <row r="118" spans="1:3" x14ac:dyDescent="0.25">
      <c r="A118">
        <v>410470017011</v>
      </c>
      <c r="B118" t="s">
        <v>56</v>
      </c>
      <c r="C118">
        <v>1.0397499999999999E-3</v>
      </c>
    </row>
    <row r="119" spans="1:3" x14ac:dyDescent="0.25">
      <c r="A119">
        <v>410470017011</v>
      </c>
      <c r="B119" t="s">
        <v>3</v>
      </c>
      <c r="C119">
        <v>0.99896026000000004</v>
      </c>
    </row>
    <row r="120" spans="1:3" x14ac:dyDescent="0.25">
      <c r="A120">
        <v>410470017012</v>
      </c>
      <c r="B120" t="s">
        <v>57</v>
      </c>
      <c r="C120">
        <v>0.28895905999999999</v>
      </c>
    </row>
    <row r="121" spans="1:3" x14ac:dyDescent="0.25">
      <c r="A121">
        <v>410470017012</v>
      </c>
      <c r="B121" t="s">
        <v>3</v>
      </c>
      <c r="C121">
        <v>0.71104095999999994</v>
      </c>
    </row>
    <row r="122" spans="1:3" x14ac:dyDescent="0.25">
      <c r="A122">
        <v>410470017013</v>
      </c>
      <c r="B122" t="s">
        <v>57</v>
      </c>
      <c r="C122">
        <v>0.99978677999999999</v>
      </c>
    </row>
    <row r="123" spans="1:3" x14ac:dyDescent="0.25">
      <c r="A123">
        <v>410470017013</v>
      </c>
      <c r="B123" t="s">
        <v>3</v>
      </c>
      <c r="C123">
        <v>2.1317999999999999E-4</v>
      </c>
    </row>
    <row r="124" spans="1:3" x14ac:dyDescent="0.25">
      <c r="A124">
        <v>410470017021</v>
      </c>
      <c r="B124" t="s">
        <v>3</v>
      </c>
      <c r="C124">
        <v>0.99999995999999991</v>
      </c>
    </row>
    <row r="125" spans="1:3" x14ac:dyDescent="0.25">
      <c r="A125">
        <v>410470017022</v>
      </c>
      <c r="B125" t="s">
        <v>56</v>
      </c>
      <c r="C125">
        <v>3.8107200000000001E-3</v>
      </c>
    </row>
    <row r="126" spans="1:3" x14ac:dyDescent="0.25">
      <c r="A126">
        <v>410470017022</v>
      </c>
      <c r="B126" t="s">
        <v>6</v>
      </c>
      <c r="C126">
        <v>1.387275E-2</v>
      </c>
    </row>
    <row r="127" spans="1:3" x14ac:dyDescent="0.25">
      <c r="A127">
        <v>410470017022</v>
      </c>
      <c r="B127" t="s">
        <v>3</v>
      </c>
      <c r="C127">
        <v>0.98231651999999992</v>
      </c>
    </row>
    <row r="128" spans="1:3" x14ac:dyDescent="0.25">
      <c r="A128">
        <v>410470017023</v>
      </c>
      <c r="B128" t="s">
        <v>3</v>
      </c>
      <c r="C128">
        <v>1</v>
      </c>
    </row>
    <row r="129" spans="1:3" x14ac:dyDescent="0.25">
      <c r="A129">
        <v>410470017031</v>
      </c>
      <c r="B129" t="s">
        <v>6</v>
      </c>
      <c r="C129">
        <v>0.99377660000000001</v>
      </c>
    </row>
    <row r="130" spans="1:3" x14ac:dyDescent="0.25">
      <c r="A130">
        <v>410470017032</v>
      </c>
      <c r="B130" t="s">
        <v>57</v>
      </c>
      <c r="C130">
        <v>0.66591638000000009</v>
      </c>
    </row>
    <row r="131" spans="1:3" x14ac:dyDescent="0.25">
      <c r="A131">
        <v>410470017032</v>
      </c>
      <c r="B131" t="s">
        <v>6</v>
      </c>
      <c r="C131">
        <v>0.32783581000000001</v>
      </c>
    </row>
    <row r="132" spans="1:3" x14ac:dyDescent="0.25">
      <c r="A132">
        <v>410470017032</v>
      </c>
      <c r="B132" t="s">
        <v>3</v>
      </c>
      <c r="C132">
        <v>6.2478299999999994E-3</v>
      </c>
    </row>
    <row r="133" spans="1:3" x14ac:dyDescent="0.25">
      <c r="A133">
        <v>410470017033</v>
      </c>
      <c r="B133" t="s">
        <v>57</v>
      </c>
      <c r="C133">
        <v>2.8493000000000004E-3</v>
      </c>
    </row>
    <row r="134" spans="1:3" x14ac:dyDescent="0.25">
      <c r="A134">
        <v>410470017033</v>
      </c>
      <c r="B134" t="s">
        <v>6</v>
      </c>
      <c r="C134">
        <v>2.8666109999999998E-2</v>
      </c>
    </row>
    <row r="135" spans="1:3" x14ac:dyDescent="0.25">
      <c r="A135">
        <v>410470017033</v>
      </c>
      <c r="B135" t="s">
        <v>3</v>
      </c>
      <c r="C135">
        <v>0.96848456999999999</v>
      </c>
    </row>
    <row r="136" spans="1:3" x14ac:dyDescent="0.25">
      <c r="A136">
        <v>410470018011</v>
      </c>
      <c r="B136" t="s">
        <v>57</v>
      </c>
      <c r="C136">
        <v>0.99843519000000003</v>
      </c>
    </row>
    <row r="137" spans="1:3" x14ac:dyDescent="0.25">
      <c r="A137">
        <v>410470018011</v>
      </c>
      <c r="B137" t="s">
        <v>6</v>
      </c>
      <c r="C137">
        <v>1.5648200000000002E-3</v>
      </c>
    </row>
    <row r="138" spans="1:3" x14ac:dyDescent="0.25">
      <c r="A138">
        <v>410470018012</v>
      </c>
      <c r="B138" t="s">
        <v>57</v>
      </c>
      <c r="C138">
        <v>0.99635087</v>
      </c>
    </row>
    <row r="139" spans="1:3" x14ac:dyDescent="0.25">
      <c r="A139">
        <v>410470018012</v>
      </c>
      <c r="B139" t="s">
        <v>5</v>
      </c>
      <c r="C139">
        <v>3.64913E-3</v>
      </c>
    </row>
    <row r="140" spans="1:3" x14ac:dyDescent="0.25">
      <c r="A140">
        <v>410470018013</v>
      </c>
      <c r="B140" t="s">
        <v>57</v>
      </c>
      <c r="C140">
        <v>0.99802077999999994</v>
      </c>
    </row>
    <row r="141" spans="1:3" x14ac:dyDescent="0.25">
      <c r="A141">
        <v>410470018013</v>
      </c>
      <c r="B141" t="s">
        <v>5</v>
      </c>
      <c r="C141">
        <v>1.9792100000000003E-3</v>
      </c>
    </row>
    <row r="142" spans="1:3" x14ac:dyDescent="0.25">
      <c r="A142">
        <v>410470018014</v>
      </c>
      <c r="B142" t="s">
        <v>57</v>
      </c>
      <c r="C142">
        <v>1</v>
      </c>
    </row>
    <row r="143" spans="1:3" x14ac:dyDescent="0.25">
      <c r="A143">
        <v>410470018021</v>
      </c>
      <c r="B143" t="s">
        <v>57</v>
      </c>
      <c r="C143">
        <v>3.3679569999999999E-2</v>
      </c>
    </row>
    <row r="144" spans="1:3" x14ac:dyDescent="0.25">
      <c r="A144">
        <v>410470018021</v>
      </c>
      <c r="B144" t="s">
        <v>6</v>
      </c>
      <c r="C144">
        <v>0.95580976000000006</v>
      </c>
    </row>
    <row r="145" spans="1:3" x14ac:dyDescent="0.25">
      <c r="A145">
        <v>410470018021</v>
      </c>
      <c r="B145" t="s">
        <v>5</v>
      </c>
      <c r="C145">
        <v>7.4258700000000002E-3</v>
      </c>
    </row>
    <row r="146" spans="1:3" x14ac:dyDescent="0.25">
      <c r="A146">
        <v>410470018022</v>
      </c>
      <c r="B146" t="s">
        <v>57</v>
      </c>
      <c r="C146">
        <v>1</v>
      </c>
    </row>
    <row r="147" spans="1:3" x14ac:dyDescent="0.25">
      <c r="A147">
        <v>410470018023</v>
      </c>
      <c r="B147" t="s">
        <v>57</v>
      </c>
      <c r="C147">
        <v>1</v>
      </c>
    </row>
    <row r="148" spans="1:3" x14ac:dyDescent="0.25">
      <c r="A148">
        <v>410470018024</v>
      </c>
      <c r="B148" t="s">
        <v>57</v>
      </c>
      <c r="C148">
        <v>0.64520432999999999</v>
      </c>
    </row>
    <row r="149" spans="1:3" x14ac:dyDescent="0.25">
      <c r="A149">
        <v>410470018024</v>
      </c>
      <c r="B149" t="s">
        <v>6</v>
      </c>
      <c r="C149">
        <v>3.3941970000000002E-2</v>
      </c>
    </row>
    <row r="150" spans="1:3" x14ac:dyDescent="0.25">
      <c r="A150">
        <v>410470018024</v>
      </c>
      <c r="B150" t="s">
        <v>5</v>
      </c>
      <c r="C150">
        <v>0.32085365999999998</v>
      </c>
    </row>
    <row r="151" spans="1:3" x14ac:dyDescent="0.25">
      <c r="A151">
        <v>410470018025</v>
      </c>
      <c r="B151" t="s">
        <v>57</v>
      </c>
      <c r="C151">
        <v>0.95608183000000002</v>
      </c>
    </row>
    <row r="152" spans="1:3" x14ac:dyDescent="0.25">
      <c r="A152">
        <v>410470018025</v>
      </c>
      <c r="B152" t="s">
        <v>6</v>
      </c>
      <c r="C152">
        <v>4.3918229999999996E-2</v>
      </c>
    </row>
    <row r="153" spans="1:3" x14ac:dyDescent="0.25">
      <c r="A153">
        <v>410470018031</v>
      </c>
      <c r="B153" t="s">
        <v>57</v>
      </c>
      <c r="C153">
        <v>3.02199E-3</v>
      </c>
    </row>
    <row r="154" spans="1:3" x14ac:dyDescent="0.25">
      <c r="A154">
        <v>410470018031</v>
      </c>
      <c r="B154" t="s">
        <v>5</v>
      </c>
      <c r="C154">
        <v>0.99697800999999997</v>
      </c>
    </row>
    <row r="155" spans="1:3" x14ac:dyDescent="0.25">
      <c r="A155">
        <v>410470018032</v>
      </c>
      <c r="B155" t="s">
        <v>57</v>
      </c>
      <c r="C155">
        <v>1.40624E-3</v>
      </c>
    </row>
    <row r="156" spans="1:3" x14ac:dyDescent="0.25">
      <c r="A156">
        <v>410470018032</v>
      </c>
      <c r="B156" t="s">
        <v>58</v>
      </c>
      <c r="C156">
        <v>0.14597619000000001</v>
      </c>
    </row>
    <row r="157" spans="1:3" x14ac:dyDescent="0.25">
      <c r="A157">
        <v>410470018032</v>
      </c>
      <c r="B157" t="s">
        <v>6</v>
      </c>
      <c r="C157">
        <v>3.5063320000000002E-2</v>
      </c>
    </row>
    <row r="158" spans="1:3" x14ac:dyDescent="0.25">
      <c r="A158">
        <v>410470018032</v>
      </c>
      <c r="B158" t="s">
        <v>5</v>
      </c>
      <c r="C158">
        <v>0.81755412000000005</v>
      </c>
    </row>
    <row r="159" spans="1:3" x14ac:dyDescent="0.25">
      <c r="A159">
        <v>410470018033</v>
      </c>
      <c r="B159" t="s">
        <v>6</v>
      </c>
      <c r="C159">
        <v>7.2160039999999995E-2</v>
      </c>
    </row>
    <row r="160" spans="1:3" x14ac:dyDescent="0.25">
      <c r="A160">
        <v>410470018033</v>
      </c>
      <c r="B160" t="s">
        <v>5</v>
      </c>
      <c r="C160">
        <v>0.92783996000000002</v>
      </c>
    </row>
    <row r="161" spans="1:3" x14ac:dyDescent="0.25">
      <c r="A161">
        <v>410470020001</v>
      </c>
      <c r="B161" t="s">
        <v>5</v>
      </c>
      <c r="C161">
        <v>0.99999998000000001</v>
      </c>
    </row>
    <row r="162" spans="1:3" x14ac:dyDescent="0.25">
      <c r="A162">
        <v>410470020002</v>
      </c>
      <c r="B162" t="s">
        <v>58</v>
      </c>
      <c r="C162">
        <v>1.401198E-2</v>
      </c>
    </row>
    <row r="163" spans="1:3" x14ac:dyDescent="0.25">
      <c r="A163">
        <v>410470020002</v>
      </c>
      <c r="B163" t="s">
        <v>6</v>
      </c>
      <c r="C163">
        <v>5.9641510000000002E-2</v>
      </c>
    </row>
    <row r="164" spans="1:3" x14ac:dyDescent="0.25">
      <c r="A164">
        <v>410470020002</v>
      </c>
      <c r="B164" t="s">
        <v>5</v>
      </c>
      <c r="C164">
        <v>0.92638282999999999</v>
      </c>
    </row>
    <row r="165" spans="1:3" x14ac:dyDescent="0.25">
      <c r="A165">
        <v>410470021001</v>
      </c>
      <c r="B165" t="s">
        <v>5</v>
      </c>
      <c r="C165">
        <v>1</v>
      </c>
    </row>
    <row r="166" spans="1:3" x14ac:dyDescent="0.25">
      <c r="A166">
        <v>410470021002</v>
      </c>
      <c r="B166" t="s">
        <v>5</v>
      </c>
      <c r="C166">
        <v>1</v>
      </c>
    </row>
    <row r="167" spans="1:3" x14ac:dyDescent="0.25">
      <c r="A167">
        <v>410470021003</v>
      </c>
      <c r="B167" t="s">
        <v>5</v>
      </c>
      <c r="C167">
        <v>1</v>
      </c>
    </row>
    <row r="168" spans="1:3" x14ac:dyDescent="0.25">
      <c r="A168">
        <v>410470021004</v>
      </c>
      <c r="B168" t="s">
        <v>5</v>
      </c>
      <c r="C168">
        <v>1</v>
      </c>
    </row>
    <row r="169" spans="1:3" x14ac:dyDescent="0.25">
      <c r="A169">
        <v>410470021005</v>
      </c>
      <c r="B169" t="s">
        <v>5</v>
      </c>
      <c r="C169">
        <v>1</v>
      </c>
    </row>
    <row r="170" spans="1:3" x14ac:dyDescent="0.25">
      <c r="A170">
        <v>410470021006</v>
      </c>
      <c r="B170" t="s">
        <v>5</v>
      </c>
      <c r="C170">
        <v>1</v>
      </c>
    </row>
    <row r="171" spans="1:3" x14ac:dyDescent="0.25">
      <c r="A171">
        <v>410470022001</v>
      </c>
      <c r="B171" t="s">
        <v>5</v>
      </c>
      <c r="C171">
        <v>1</v>
      </c>
    </row>
    <row r="172" spans="1:3" x14ac:dyDescent="0.25">
      <c r="A172">
        <v>410470022002</v>
      </c>
      <c r="B172" t="s">
        <v>5</v>
      </c>
      <c r="C172">
        <v>1</v>
      </c>
    </row>
    <row r="173" spans="1:3" x14ac:dyDescent="0.25">
      <c r="A173">
        <v>410470022003</v>
      </c>
      <c r="B173" t="s">
        <v>5</v>
      </c>
      <c r="C173">
        <v>1</v>
      </c>
    </row>
    <row r="174" spans="1:3" x14ac:dyDescent="0.25">
      <c r="A174">
        <v>410470022004</v>
      </c>
      <c r="B174" t="s">
        <v>5</v>
      </c>
      <c r="C174">
        <v>0.99999996999999996</v>
      </c>
    </row>
    <row r="175" spans="1:3" x14ac:dyDescent="0.25">
      <c r="A175">
        <v>410470023011</v>
      </c>
      <c r="B175" t="s">
        <v>5</v>
      </c>
      <c r="C175">
        <v>1</v>
      </c>
    </row>
    <row r="176" spans="1:3" x14ac:dyDescent="0.25">
      <c r="A176">
        <v>410470023012</v>
      </c>
      <c r="B176" t="s">
        <v>6</v>
      </c>
      <c r="C176">
        <v>0.61780963</v>
      </c>
    </row>
    <row r="177" spans="1:3" x14ac:dyDescent="0.25">
      <c r="A177">
        <v>410470023012</v>
      </c>
      <c r="B177" t="s">
        <v>5</v>
      </c>
      <c r="C177">
        <v>0.38219008000000004</v>
      </c>
    </row>
    <row r="178" spans="1:3" x14ac:dyDescent="0.25">
      <c r="A178">
        <v>410470023021</v>
      </c>
      <c r="B178" t="s">
        <v>5</v>
      </c>
      <c r="C178">
        <v>1</v>
      </c>
    </row>
    <row r="179" spans="1:3" x14ac:dyDescent="0.25">
      <c r="A179">
        <v>410470023022</v>
      </c>
      <c r="B179" t="s">
        <v>5</v>
      </c>
      <c r="C179">
        <v>0.99999998000000001</v>
      </c>
    </row>
    <row r="180" spans="1:3" x14ac:dyDescent="0.25">
      <c r="A180">
        <v>410470023023</v>
      </c>
      <c r="B180" t="s">
        <v>5</v>
      </c>
      <c r="C180">
        <v>1</v>
      </c>
    </row>
    <row r="181" spans="1:3" x14ac:dyDescent="0.25">
      <c r="A181">
        <v>410470023024</v>
      </c>
      <c r="B181" t="s">
        <v>6</v>
      </c>
      <c r="C181">
        <v>0.15944803999999999</v>
      </c>
    </row>
    <row r="182" spans="1:3" x14ac:dyDescent="0.25">
      <c r="A182">
        <v>410470023024</v>
      </c>
      <c r="B182" t="s">
        <v>5</v>
      </c>
      <c r="C182">
        <v>0.84084140000000007</v>
      </c>
    </row>
    <row r="183" spans="1:3" x14ac:dyDescent="0.25">
      <c r="A183">
        <v>410470023025</v>
      </c>
      <c r="B183" t="s">
        <v>5</v>
      </c>
      <c r="C183">
        <v>1</v>
      </c>
    </row>
    <row r="184" spans="1:3" x14ac:dyDescent="0.25">
      <c r="A184">
        <v>410470024001</v>
      </c>
      <c r="B184" t="s">
        <v>6</v>
      </c>
      <c r="C184">
        <v>3.4158899999999996E-3</v>
      </c>
    </row>
    <row r="185" spans="1:3" x14ac:dyDescent="0.25">
      <c r="A185">
        <v>410470024001</v>
      </c>
      <c r="B185" t="s">
        <v>5</v>
      </c>
      <c r="C185">
        <v>0.99658413000000001</v>
      </c>
    </row>
    <row r="186" spans="1:3" x14ac:dyDescent="0.25">
      <c r="A186">
        <v>410470024002</v>
      </c>
      <c r="B186" t="s">
        <v>6</v>
      </c>
      <c r="C186">
        <v>0.54676524000000004</v>
      </c>
    </row>
    <row r="187" spans="1:3" x14ac:dyDescent="0.25">
      <c r="A187">
        <v>410470024002</v>
      </c>
      <c r="B187" t="s">
        <v>8</v>
      </c>
      <c r="C187">
        <v>2.8427799999999996E-3</v>
      </c>
    </row>
    <row r="188" spans="1:3" x14ac:dyDescent="0.25">
      <c r="A188">
        <v>410470024002</v>
      </c>
      <c r="B188" t="s">
        <v>9</v>
      </c>
      <c r="C188">
        <v>6.4005999999999991E-4</v>
      </c>
    </row>
    <row r="189" spans="1:3" x14ac:dyDescent="0.25">
      <c r="A189">
        <v>410470024002</v>
      </c>
      <c r="B189" t="s">
        <v>5</v>
      </c>
      <c r="C189">
        <v>0.29562379999999999</v>
      </c>
    </row>
    <row r="190" spans="1:3" x14ac:dyDescent="0.25">
      <c r="A190">
        <v>410470025001</v>
      </c>
      <c r="B190" t="s">
        <v>6</v>
      </c>
      <c r="C190">
        <v>0.45758589</v>
      </c>
    </row>
    <row r="191" spans="1:3" x14ac:dyDescent="0.25">
      <c r="A191">
        <v>410470025001</v>
      </c>
      <c r="B191" t="s">
        <v>3</v>
      </c>
      <c r="C191">
        <v>1.53148E-3</v>
      </c>
    </row>
    <row r="192" spans="1:3" x14ac:dyDescent="0.25">
      <c r="A192">
        <v>410470025002</v>
      </c>
      <c r="B192" t="s">
        <v>7</v>
      </c>
      <c r="C192">
        <v>4.4649099999999997E-2</v>
      </c>
    </row>
    <row r="193" spans="1:3" x14ac:dyDescent="0.25">
      <c r="A193">
        <v>410470025002</v>
      </c>
      <c r="B193" t="s">
        <v>6</v>
      </c>
      <c r="C193">
        <v>0.38889566999999997</v>
      </c>
    </row>
    <row r="194" spans="1:3" x14ac:dyDescent="0.25">
      <c r="A194">
        <v>410470025002</v>
      </c>
      <c r="B194" t="s">
        <v>3</v>
      </c>
      <c r="C194">
        <v>2.5368E-4</v>
      </c>
    </row>
    <row r="195" spans="1:3" x14ac:dyDescent="0.25">
      <c r="A195">
        <v>410470025003</v>
      </c>
      <c r="B195" t="s">
        <v>7</v>
      </c>
      <c r="C195">
        <v>0.99999996999999996</v>
      </c>
    </row>
    <row r="196" spans="1:3" x14ac:dyDescent="0.25">
      <c r="A196">
        <v>410470025004</v>
      </c>
      <c r="B196" t="s">
        <v>56</v>
      </c>
      <c r="C196">
        <v>8.85501E-3</v>
      </c>
    </row>
    <row r="197" spans="1:3" x14ac:dyDescent="0.25">
      <c r="A197">
        <v>410470025004</v>
      </c>
      <c r="B197" t="s">
        <v>6</v>
      </c>
      <c r="C197">
        <v>0.12453032</v>
      </c>
    </row>
    <row r="198" spans="1:3" x14ac:dyDescent="0.25">
      <c r="A198">
        <v>410470025004</v>
      </c>
      <c r="B198" t="s">
        <v>3</v>
      </c>
      <c r="C198">
        <v>0.86641063000000007</v>
      </c>
    </row>
    <row r="199" spans="1:3" x14ac:dyDescent="0.25">
      <c r="A199">
        <v>410470026001</v>
      </c>
      <c r="B199" t="s">
        <v>6</v>
      </c>
      <c r="C199">
        <v>6.8559700000000003E-3</v>
      </c>
    </row>
    <row r="200" spans="1:3" x14ac:dyDescent="0.25">
      <c r="A200">
        <v>410470026002</v>
      </c>
      <c r="B200" t="s">
        <v>6</v>
      </c>
      <c r="C200">
        <v>1.2500000000000001E-6</v>
      </c>
    </row>
    <row r="201" spans="1:3" x14ac:dyDescent="0.25">
      <c r="A201">
        <v>410470027001</v>
      </c>
      <c r="B201" t="s">
        <v>6</v>
      </c>
      <c r="C201">
        <v>0.44750005000000004</v>
      </c>
    </row>
    <row r="202" spans="1:3" x14ac:dyDescent="0.25">
      <c r="A202">
        <v>410470027001</v>
      </c>
      <c r="B202" t="s">
        <v>5</v>
      </c>
      <c r="C202">
        <v>2.1201819999999996E-2</v>
      </c>
    </row>
    <row r="203" spans="1:3" x14ac:dyDescent="0.25">
      <c r="A203">
        <v>410470027001</v>
      </c>
      <c r="B203" t="s">
        <v>29</v>
      </c>
      <c r="C203">
        <v>0.10429576000000002</v>
      </c>
    </row>
    <row r="204" spans="1:3" x14ac:dyDescent="0.25">
      <c r="A204">
        <v>410470027002</v>
      </c>
      <c r="B204" t="s">
        <v>6</v>
      </c>
      <c r="C204">
        <v>1.2878179999999999E-2</v>
      </c>
    </row>
    <row r="205" spans="1:3" x14ac:dyDescent="0.25">
      <c r="A205">
        <v>410470027002</v>
      </c>
      <c r="B205" t="s">
        <v>5</v>
      </c>
      <c r="C205">
        <v>4.87E-6</v>
      </c>
    </row>
    <row r="206" spans="1:3" x14ac:dyDescent="0.25">
      <c r="A206">
        <v>410470027002</v>
      </c>
      <c r="B206" t="s">
        <v>29</v>
      </c>
      <c r="C206">
        <v>0.19571558</v>
      </c>
    </row>
    <row r="207" spans="1:3" x14ac:dyDescent="0.25">
      <c r="A207">
        <v>410470027003</v>
      </c>
      <c r="B207" t="s">
        <v>58</v>
      </c>
      <c r="C207">
        <v>6.6713319999999993E-2</v>
      </c>
    </row>
    <row r="208" spans="1:3" x14ac:dyDescent="0.25">
      <c r="A208">
        <v>410470027003</v>
      </c>
      <c r="B208" t="s">
        <v>6</v>
      </c>
      <c r="C208">
        <v>0.45785013999999996</v>
      </c>
    </row>
    <row r="209" spans="1:3" x14ac:dyDescent="0.25">
      <c r="A209">
        <v>410470027003</v>
      </c>
      <c r="B209" t="s">
        <v>5</v>
      </c>
      <c r="C209">
        <v>3.4077600000000001E-3</v>
      </c>
    </row>
    <row r="210" spans="1:3" x14ac:dyDescent="0.25">
      <c r="A210">
        <v>410470027003</v>
      </c>
      <c r="B210" t="s">
        <v>29</v>
      </c>
      <c r="C210">
        <v>6.4609999999999993E-5</v>
      </c>
    </row>
    <row r="211" spans="1:3" x14ac:dyDescent="0.25">
      <c r="A211">
        <v>410470027004</v>
      </c>
      <c r="B211" t="s">
        <v>6</v>
      </c>
      <c r="C211">
        <v>1.0537390000000001E-2</v>
      </c>
    </row>
    <row r="212" spans="1:3" x14ac:dyDescent="0.25">
      <c r="A212">
        <v>410470027005</v>
      </c>
      <c r="B212" t="s">
        <v>6</v>
      </c>
      <c r="C212">
        <v>0.57713161999999996</v>
      </c>
    </row>
    <row r="213" spans="1:3" x14ac:dyDescent="0.25">
      <c r="A213">
        <v>410470027005</v>
      </c>
      <c r="B213" t="s">
        <v>5</v>
      </c>
      <c r="C213">
        <v>8.7163000000000008E-4</v>
      </c>
    </row>
    <row r="214" spans="1:3" x14ac:dyDescent="0.25">
      <c r="A214">
        <v>410470028001</v>
      </c>
      <c r="B214" t="s">
        <v>6</v>
      </c>
      <c r="C214">
        <v>0.38606182999999999</v>
      </c>
    </row>
    <row r="215" spans="1:3" x14ac:dyDescent="0.25">
      <c r="A215">
        <v>410470028002</v>
      </c>
      <c r="B215" t="s">
        <v>6</v>
      </c>
      <c r="C215">
        <v>0.8690477900000001</v>
      </c>
    </row>
    <row r="216" spans="1:3" x14ac:dyDescent="0.25">
      <c r="A216">
        <v>410470028002</v>
      </c>
      <c r="B216" t="s">
        <v>5</v>
      </c>
      <c r="C216">
        <v>8.5422849999999995E-2</v>
      </c>
    </row>
    <row r="217" spans="1:3" x14ac:dyDescent="0.25">
      <c r="A217">
        <v>410470108022</v>
      </c>
      <c r="B217" t="s">
        <v>6</v>
      </c>
      <c r="C217">
        <v>7.0250000000000011E-4</v>
      </c>
    </row>
    <row r="218" spans="1:3" x14ac:dyDescent="0.25">
      <c r="A218">
        <v>410530051001</v>
      </c>
      <c r="B218" t="s">
        <v>9</v>
      </c>
      <c r="C218">
        <v>0.41484525</v>
      </c>
    </row>
    <row r="219" spans="1:3" x14ac:dyDescent="0.25">
      <c r="A219">
        <v>410530051001</v>
      </c>
      <c r="B219" t="s">
        <v>10</v>
      </c>
      <c r="C219">
        <v>0.58393507999999994</v>
      </c>
    </row>
    <row r="220" spans="1:3" x14ac:dyDescent="0.25">
      <c r="A220">
        <v>410530051001</v>
      </c>
      <c r="B220" t="s">
        <v>28</v>
      </c>
      <c r="C220">
        <v>1.2196799999999999E-3</v>
      </c>
    </row>
    <row r="221" spans="1:3" x14ac:dyDescent="0.25">
      <c r="A221">
        <v>410530051002</v>
      </c>
      <c r="B221" t="s">
        <v>9</v>
      </c>
      <c r="C221">
        <v>1</v>
      </c>
    </row>
    <row r="222" spans="1:3" x14ac:dyDescent="0.25">
      <c r="A222">
        <v>410530052011</v>
      </c>
      <c r="B222" t="s">
        <v>9</v>
      </c>
      <c r="C222">
        <v>0.88026596000000001</v>
      </c>
    </row>
    <row r="223" spans="1:3" x14ac:dyDescent="0.25">
      <c r="A223">
        <v>410530052011</v>
      </c>
      <c r="B223" t="s">
        <v>10</v>
      </c>
      <c r="C223">
        <v>0.11973397999999999</v>
      </c>
    </row>
    <row r="224" spans="1:3" x14ac:dyDescent="0.25">
      <c r="A224">
        <v>410530052012</v>
      </c>
      <c r="B224" t="s">
        <v>8</v>
      </c>
      <c r="C224">
        <v>5.8414000000000003E-4</v>
      </c>
    </row>
    <row r="225" spans="1:3" x14ac:dyDescent="0.25">
      <c r="A225">
        <v>410530052012</v>
      </c>
      <c r="B225" t="s">
        <v>9</v>
      </c>
      <c r="C225">
        <v>0.99941586000000004</v>
      </c>
    </row>
    <row r="226" spans="1:3" x14ac:dyDescent="0.25">
      <c r="A226">
        <v>410530052013</v>
      </c>
      <c r="B226" t="s">
        <v>8</v>
      </c>
      <c r="C226">
        <v>0.42939424000000004</v>
      </c>
    </row>
    <row r="227" spans="1:3" x14ac:dyDescent="0.25">
      <c r="A227">
        <v>410530052013</v>
      </c>
      <c r="B227" t="s">
        <v>9</v>
      </c>
      <c r="C227">
        <v>0.50658673999999992</v>
      </c>
    </row>
    <row r="228" spans="1:3" x14ac:dyDescent="0.25">
      <c r="A228">
        <v>410530052013</v>
      </c>
      <c r="B228" t="s">
        <v>10</v>
      </c>
      <c r="C228">
        <v>3.94604E-2</v>
      </c>
    </row>
    <row r="229" spans="1:3" x14ac:dyDescent="0.25">
      <c r="A229">
        <v>410530052013</v>
      </c>
      <c r="B229" t="s">
        <v>28</v>
      </c>
      <c r="C229">
        <v>1.3602200000000001E-3</v>
      </c>
    </row>
    <row r="230" spans="1:3" x14ac:dyDescent="0.25">
      <c r="A230">
        <v>410530052013</v>
      </c>
      <c r="B230" t="s">
        <v>5</v>
      </c>
      <c r="C230">
        <v>2.2180240000000004E-2</v>
      </c>
    </row>
    <row r="231" spans="1:3" x14ac:dyDescent="0.25">
      <c r="A231">
        <v>410530052021</v>
      </c>
      <c r="B231" t="s">
        <v>9</v>
      </c>
      <c r="C231">
        <v>0.99156886999999994</v>
      </c>
    </row>
    <row r="232" spans="1:3" x14ac:dyDescent="0.25">
      <c r="A232">
        <v>410530052021</v>
      </c>
      <c r="B232" t="s">
        <v>10</v>
      </c>
      <c r="C232">
        <v>8.4041299999999992E-3</v>
      </c>
    </row>
    <row r="233" spans="1:3" x14ac:dyDescent="0.25">
      <c r="A233">
        <v>410530052022</v>
      </c>
      <c r="B233" t="s">
        <v>7</v>
      </c>
      <c r="C233">
        <v>2.4876099999999999E-3</v>
      </c>
    </row>
    <row r="234" spans="1:3" x14ac:dyDescent="0.25">
      <c r="A234">
        <v>410530052022</v>
      </c>
      <c r="B234" t="s">
        <v>8</v>
      </c>
      <c r="C234">
        <v>0.62619371000000001</v>
      </c>
    </row>
    <row r="235" spans="1:3" x14ac:dyDescent="0.25">
      <c r="A235">
        <v>410530052022</v>
      </c>
      <c r="B235" t="s">
        <v>9</v>
      </c>
      <c r="C235">
        <v>0.1279081</v>
      </c>
    </row>
    <row r="236" spans="1:3" x14ac:dyDescent="0.25">
      <c r="A236">
        <v>410530052022</v>
      </c>
      <c r="B236" t="s">
        <v>10</v>
      </c>
      <c r="C236">
        <v>0.24218407</v>
      </c>
    </row>
    <row r="237" spans="1:3" x14ac:dyDescent="0.25">
      <c r="A237">
        <v>410530052022</v>
      </c>
      <c r="B237" t="s">
        <v>28</v>
      </c>
      <c r="C237">
        <v>9.0974000000000003E-4</v>
      </c>
    </row>
    <row r="238" spans="1:3" x14ac:dyDescent="0.25">
      <c r="A238">
        <v>410530052022</v>
      </c>
      <c r="B238" t="s">
        <v>3</v>
      </c>
      <c r="C238">
        <v>4.6907999999999997E-4</v>
      </c>
    </row>
    <row r="239" spans="1:3" x14ac:dyDescent="0.25">
      <c r="A239">
        <v>410530052023</v>
      </c>
      <c r="B239" t="s">
        <v>8</v>
      </c>
      <c r="C239">
        <v>5.876E-5</v>
      </c>
    </row>
    <row r="240" spans="1:3" x14ac:dyDescent="0.25">
      <c r="A240">
        <v>410530052023</v>
      </c>
      <c r="B240" t="s">
        <v>9</v>
      </c>
      <c r="C240">
        <v>0.99994123999999995</v>
      </c>
    </row>
    <row r="241" spans="1:3" x14ac:dyDescent="0.25">
      <c r="A241">
        <v>410530052024</v>
      </c>
      <c r="B241" t="s">
        <v>9</v>
      </c>
      <c r="C241">
        <v>0.99999999000000006</v>
      </c>
    </row>
    <row r="242" spans="1:3" x14ac:dyDescent="0.25">
      <c r="A242">
        <v>410530053001</v>
      </c>
      <c r="B242" t="s">
        <v>6</v>
      </c>
      <c r="C242">
        <v>3.55201E-3</v>
      </c>
    </row>
    <row r="243" spans="1:3" x14ac:dyDescent="0.25">
      <c r="A243">
        <v>410530053001</v>
      </c>
      <c r="B243" t="s">
        <v>8</v>
      </c>
      <c r="C243">
        <v>0.82599037999999991</v>
      </c>
    </row>
    <row r="244" spans="1:3" x14ac:dyDescent="0.25">
      <c r="A244">
        <v>410530053001</v>
      </c>
      <c r="B244" t="s">
        <v>9</v>
      </c>
      <c r="C244">
        <v>0.16867430999999999</v>
      </c>
    </row>
    <row r="245" spans="1:3" x14ac:dyDescent="0.25">
      <c r="A245">
        <v>410530053002</v>
      </c>
      <c r="B245" t="s">
        <v>7</v>
      </c>
      <c r="C245">
        <v>5.5473000000000002E-4</v>
      </c>
    </row>
    <row r="246" spans="1:3" x14ac:dyDescent="0.25">
      <c r="A246">
        <v>410530053002</v>
      </c>
      <c r="B246" t="s">
        <v>6</v>
      </c>
      <c r="C246">
        <v>6.3837299999999998E-3</v>
      </c>
    </row>
    <row r="247" spans="1:3" x14ac:dyDescent="0.25">
      <c r="A247">
        <v>410530053002</v>
      </c>
      <c r="B247" t="s">
        <v>8</v>
      </c>
      <c r="C247">
        <v>0.80765511000000001</v>
      </c>
    </row>
    <row r="248" spans="1:3" x14ac:dyDescent="0.25">
      <c r="A248">
        <v>410530053002</v>
      </c>
      <c r="B248" t="s">
        <v>9</v>
      </c>
      <c r="C248">
        <v>0.18538364999999998</v>
      </c>
    </row>
    <row r="249" spans="1:3" x14ac:dyDescent="0.25">
      <c r="A249">
        <v>410530053003</v>
      </c>
      <c r="B249" t="s">
        <v>6</v>
      </c>
      <c r="C249">
        <v>7.0091000000000001E-4</v>
      </c>
    </row>
    <row r="250" spans="1:3" x14ac:dyDescent="0.25">
      <c r="A250">
        <v>410530053003</v>
      </c>
      <c r="B250" t="s">
        <v>8</v>
      </c>
      <c r="C250">
        <v>8.8365400000000004E-3</v>
      </c>
    </row>
    <row r="251" spans="1:3" x14ac:dyDescent="0.25">
      <c r="A251">
        <v>410530053004</v>
      </c>
      <c r="B251" t="s">
        <v>6</v>
      </c>
      <c r="C251">
        <v>4.2410000000000002E-5</v>
      </c>
    </row>
    <row r="252" spans="1:3" x14ac:dyDescent="0.25">
      <c r="A252">
        <v>410530053004</v>
      </c>
      <c r="B252" t="s">
        <v>8</v>
      </c>
      <c r="C252">
        <v>0.66227665000000002</v>
      </c>
    </row>
    <row r="253" spans="1:3" x14ac:dyDescent="0.25">
      <c r="A253">
        <v>410530053004</v>
      </c>
      <c r="B253" t="s">
        <v>9</v>
      </c>
      <c r="C253">
        <v>1.08183E-3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7C3F-CAD8-4554-8593-FD5815B87DA6}">
  <dimension ref="A1:C773"/>
  <sheetViews>
    <sheetView workbookViewId="0">
      <selection activeCell="J9" sqref="J9"/>
    </sheetView>
  </sheetViews>
  <sheetFormatPr defaultRowHeight="15" x14ac:dyDescent="0.25"/>
  <sheetData>
    <row r="1" spans="1:3" x14ac:dyDescent="0.25">
      <c r="A1" t="s">
        <v>0</v>
      </c>
      <c r="B1" t="s">
        <v>15</v>
      </c>
      <c r="C1" t="s">
        <v>16</v>
      </c>
    </row>
    <row r="2" spans="1:3" x14ac:dyDescent="0.25">
      <c r="A2">
        <v>410470002001</v>
      </c>
      <c r="B2">
        <v>410470002001</v>
      </c>
      <c r="C2">
        <v>92.113529</v>
      </c>
    </row>
    <row r="3" spans="1:3" x14ac:dyDescent="0.25">
      <c r="A3">
        <v>410470002001</v>
      </c>
      <c r="B3">
        <v>410470002002</v>
      </c>
      <c r="C3">
        <v>0.111584</v>
      </c>
    </row>
    <row r="4" spans="1:3" x14ac:dyDescent="0.25">
      <c r="A4">
        <v>410470002001</v>
      </c>
      <c r="B4">
        <v>410470002004</v>
      </c>
      <c r="C4">
        <v>3.556165</v>
      </c>
    </row>
    <row r="5" spans="1:3" x14ac:dyDescent="0.25">
      <c r="A5">
        <v>410470002001</v>
      </c>
      <c r="B5">
        <v>410470003003</v>
      </c>
      <c r="C5">
        <v>2.7925200000000001</v>
      </c>
    </row>
    <row r="6" spans="1:3" x14ac:dyDescent="0.25">
      <c r="A6">
        <v>410470002001</v>
      </c>
      <c r="B6">
        <v>410530052022</v>
      </c>
      <c r="C6">
        <v>1.426199</v>
      </c>
    </row>
    <row r="7" spans="1:3" x14ac:dyDescent="0.25">
      <c r="A7">
        <v>410470002002</v>
      </c>
      <c r="B7">
        <v>410470002001</v>
      </c>
      <c r="C7">
        <v>0.22250400000000001</v>
      </c>
    </row>
    <row r="8" spans="1:3" x14ac:dyDescent="0.25">
      <c r="A8">
        <v>410470002002</v>
      </c>
      <c r="B8">
        <v>410470002002</v>
      </c>
      <c r="C8">
        <v>9.1585E-2</v>
      </c>
    </row>
    <row r="9" spans="1:3" x14ac:dyDescent="0.25">
      <c r="A9">
        <v>410470002002</v>
      </c>
      <c r="B9">
        <v>410470002003</v>
      </c>
      <c r="C9">
        <v>1.011315</v>
      </c>
    </row>
    <row r="10" spans="1:3" x14ac:dyDescent="0.25">
      <c r="A10">
        <v>410470002002</v>
      </c>
      <c r="B10">
        <v>410470002004</v>
      </c>
      <c r="C10">
        <v>96.901855999999995</v>
      </c>
    </row>
    <row r="11" spans="1:3" x14ac:dyDescent="0.25">
      <c r="A11">
        <v>410470002002</v>
      </c>
      <c r="B11">
        <v>410470013002</v>
      </c>
      <c r="C11">
        <v>0.35425000000000001</v>
      </c>
    </row>
    <row r="12" spans="1:3" x14ac:dyDescent="0.25">
      <c r="A12">
        <v>410470002002</v>
      </c>
      <c r="B12">
        <v>410530051001</v>
      </c>
      <c r="C12">
        <v>0.33904800000000002</v>
      </c>
    </row>
    <row r="13" spans="1:3" x14ac:dyDescent="0.25">
      <c r="A13">
        <v>410470002002</v>
      </c>
      <c r="B13">
        <v>410530052013</v>
      </c>
      <c r="C13">
        <v>0.92314200000000002</v>
      </c>
    </row>
    <row r="14" spans="1:3" x14ac:dyDescent="0.25">
      <c r="A14">
        <v>410470002002</v>
      </c>
      <c r="B14">
        <v>410530052022</v>
      </c>
      <c r="C14">
        <v>0.15629499999999999</v>
      </c>
    </row>
    <row r="15" spans="1:3" x14ac:dyDescent="0.25">
      <c r="A15">
        <v>410470002003</v>
      </c>
      <c r="B15">
        <v>410470002001</v>
      </c>
      <c r="C15">
        <v>2.0040000000000001E-3</v>
      </c>
    </row>
    <row r="16" spans="1:3" x14ac:dyDescent="0.25">
      <c r="A16">
        <v>410470002003</v>
      </c>
      <c r="B16">
        <v>410470002002</v>
      </c>
      <c r="C16">
        <v>35.436270999999998</v>
      </c>
    </row>
    <row r="17" spans="1:3" x14ac:dyDescent="0.25">
      <c r="A17">
        <v>410470002003</v>
      </c>
      <c r="B17">
        <v>410470002003</v>
      </c>
      <c r="C17">
        <v>63.555793000000001</v>
      </c>
    </row>
    <row r="18" spans="1:3" x14ac:dyDescent="0.25">
      <c r="A18">
        <v>410470002003</v>
      </c>
      <c r="B18">
        <v>410470002004</v>
      </c>
      <c r="C18">
        <v>8.9552999999999994E-2</v>
      </c>
    </row>
    <row r="19" spans="1:3" x14ac:dyDescent="0.25">
      <c r="A19">
        <v>410470002003</v>
      </c>
      <c r="B19">
        <v>410470006002</v>
      </c>
      <c r="C19">
        <v>2.9985000000000001E-2</v>
      </c>
    </row>
    <row r="20" spans="1:3" x14ac:dyDescent="0.25">
      <c r="A20">
        <v>410470002003</v>
      </c>
      <c r="B20">
        <v>410470006003</v>
      </c>
      <c r="C20">
        <v>7.9923999999999995E-2</v>
      </c>
    </row>
    <row r="21" spans="1:3" x14ac:dyDescent="0.25">
      <c r="A21">
        <v>410470002003</v>
      </c>
      <c r="B21">
        <v>410470009007</v>
      </c>
      <c r="C21">
        <v>1.66E-4</v>
      </c>
    </row>
    <row r="22" spans="1:3" x14ac:dyDescent="0.25">
      <c r="A22">
        <v>410470002003</v>
      </c>
      <c r="B22">
        <v>410470012001</v>
      </c>
      <c r="C22">
        <v>0.806307</v>
      </c>
    </row>
    <row r="23" spans="1:3" x14ac:dyDescent="0.25">
      <c r="A23">
        <v>410470003001</v>
      </c>
      <c r="B23">
        <v>410470003001</v>
      </c>
      <c r="C23">
        <v>95.420225000000002</v>
      </c>
    </row>
    <row r="24" spans="1:3" x14ac:dyDescent="0.25">
      <c r="A24">
        <v>410470003001</v>
      </c>
      <c r="B24">
        <v>410470003002</v>
      </c>
      <c r="C24">
        <v>1.071952</v>
      </c>
    </row>
    <row r="25" spans="1:3" x14ac:dyDescent="0.25">
      <c r="A25">
        <v>410470003001</v>
      </c>
      <c r="B25">
        <v>410470003004</v>
      </c>
      <c r="C25">
        <v>0.69752899999999995</v>
      </c>
    </row>
    <row r="26" spans="1:3" x14ac:dyDescent="0.25">
      <c r="A26">
        <v>410470003001</v>
      </c>
      <c r="B26">
        <v>410470004001</v>
      </c>
      <c r="C26">
        <v>2.7713350000000001</v>
      </c>
    </row>
    <row r="27" spans="1:3" x14ac:dyDescent="0.25">
      <c r="A27">
        <v>410470003001</v>
      </c>
      <c r="B27">
        <v>410470005003</v>
      </c>
      <c r="C27">
        <v>3.2918999999999997E-2</v>
      </c>
    </row>
    <row r="28" spans="1:3" x14ac:dyDescent="0.25">
      <c r="A28">
        <v>410470003001</v>
      </c>
      <c r="B28">
        <v>410470006001</v>
      </c>
      <c r="C28">
        <v>6.0419999999999996E-3</v>
      </c>
    </row>
    <row r="29" spans="1:3" x14ac:dyDescent="0.25">
      <c r="A29">
        <v>410470003002</v>
      </c>
      <c r="B29">
        <v>410470002002</v>
      </c>
      <c r="C29">
        <v>2.3480789999999998</v>
      </c>
    </row>
    <row r="30" spans="1:3" x14ac:dyDescent="0.25">
      <c r="A30">
        <v>410470003002</v>
      </c>
      <c r="B30">
        <v>410470003002</v>
      </c>
      <c r="C30">
        <v>97.615185999999994</v>
      </c>
    </row>
    <row r="31" spans="1:3" x14ac:dyDescent="0.25">
      <c r="A31">
        <v>410470003002</v>
      </c>
      <c r="B31">
        <v>410470006001</v>
      </c>
      <c r="C31">
        <v>3.6735999999999998E-2</v>
      </c>
    </row>
    <row r="32" spans="1:3" x14ac:dyDescent="0.25">
      <c r="A32">
        <v>410470003003</v>
      </c>
      <c r="B32">
        <v>410470002001</v>
      </c>
      <c r="C32">
        <v>1.2645409999999999</v>
      </c>
    </row>
    <row r="33" spans="1:3" x14ac:dyDescent="0.25">
      <c r="A33">
        <v>410470003003</v>
      </c>
      <c r="B33">
        <v>410470003003</v>
      </c>
      <c r="C33">
        <v>90.766316000000003</v>
      </c>
    </row>
    <row r="34" spans="1:3" x14ac:dyDescent="0.25">
      <c r="A34">
        <v>410470003003</v>
      </c>
      <c r="B34">
        <v>410470003004</v>
      </c>
      <c r="C34">
        <v>1.8109580000000001</v>
      </c>
    </row>
    <row r="35" spans="1:3" x14ac:dyDescent="0.25">
      <c r="A35">
        <v>410470003003</v>
      </c>
      <c r="B35">
        <v>410470004001</v>
      </c>
      <c r="C35">
        <v>1.4899999999999999E-4</v>
      </c>
    </row>
    <row r="36" spans="1:3" x14ac:dyDescent="0.25">
      <c r="A36">
        <v>410470003003</v>
      </c>
      <c r="B36">
        <v>410470004002</v>
      </c>
      <c r="C36">
        <v>3.8437779999999999</v>
      </c>
    </row>
    <row r="37" spans="1:3" x14ac:dyDescent="0.25">
      <c r="A37">
        <v>410470003003</v>
      </c>
      <c r="B37">
        <v>410530052022</v>
      </c>
      <c r="C37">
        <v>2.3142610000000001</v>
      </c>
    </row>
    <row r="38" spans="1:3" x14ac:dyDescent="0.25">
      <c r="A38">
        <v>410470003004</v>
      </c>
      <c r="B38">
        <v>410470002001</v>
      </c>
      <c r="C38">
        <v>0.75489600000000001</v>
      </c>
    </row>
    <row r="39" spans="1:3" x14ac:dyDescent="0.25">
      <c r="A39">
        <v>410470003004</v>
      </c>
      <c r="B39">
        <v>410470002002</v>
      </c>
      <c r="C39">
        <v>4.973E-3</v>
      </c>
    </row>
    <row r="40" spans="1:3" x14ac:dyDescent="0.25">
      <c r="A40">
        <v>410470003004</v>
      </c>
      <c r="B40">
        <v>410470003001</v>
      </c>
      <c r="C40">
        <v>0.38464100000000001</v>
      </c>
    </row>
    <row r="41" spans="1:3" x14ac:dyDescent="0.25">
      <c r="A41">
        <v>410470003004</v>
      </c>
      <c r="B41">
        <v>410470003002</v>
      </c>
      <c r="C41">
        <v>0.58034600000000003</v>
      </c>
    </row>
    <row r="42" spans="1:3" x14ac:dyDescent="0.25">
      <c r="A42">
        <v>410470003004</v>
      </c>
      <c r="B42">
        <v>410470003003</v>
      </c>
      <c r="C42">
        <v>0.86924699999999999</v>
      </c>
    </row>
    <row r="43" spans="1:3" x14ac:dyDescent="0.25">
      <c r="A43">
        <v>410470003004</v>
      </c>
      <c r="B43">
        <v>410470003004</v>
      </c>
      <c r="C43">
        <v>95.587536</v>
      </c>
    </row>
    <row r="44" spans="1:3" x14ac:dyDescent="0.25">
      <c r="A44">
        <v>410470003004</v>
      </c>
      <c r="B44">
        <v>410470004001</v>
      </c>
      <c r="C44">
        <v>1.8165579999999999</v>
      </c>
    </row>
    <row r="45" spans="1:3" x14ac:dyDescent="0.25">
      <c r="A45">
        <v>410470003004</v>
      </c>
      <c r="B45">
        <v>410470004002</v>
      </c>
      <c r="C45">
        <v>1.802E-3</v>
      </c>
    </row>
    <row r="46" spans="1:3" x14ac:dyDescent="0.25">
      <c r="A46">
        <v>410470004001</v>
      </c>
      <c r="B46">
        <v>410470003003</v>
      </c>
      <c r="C46">
        <v>2.1410000000000001E-3</v>
      </c>
    </row>
    <row r="47" spans="1:3" x14ac:dyDescent="0.25">
      <c r="A47">
        <v>410470004001</v>
      </c>
      <c r="B47">
        <v>410470004001</v>
      </c>
      <c r="C47">
        <v>0.33144099999999999</v>
      </c>
    </row>
    <row r="48" spans="1:3" x14ac:dyDescent="0.25">
      <c r="A48">
        <v>410470004001</v>
      </c>
      <c r="B48">
        <v>410470004002</v>
      </c>
      <c r="C48">
        <v>96.856433999999993</v>
      </c>
    </row>
    <row r="49" spans="1:3" x14ac:dyDescent="0.25">
      <c r="A49">
        <v>410470004001</v>
      </c>
      <c r="B49">
        <v>410470014002</v>
      </c>
      <c r="C49">
        <v>1.9944569999999999</v>
      </c>
    </row>
    <row r="50" spans="1:3" x14ac:dyDescent="0.25">
      <c r="A50">
        <v>410470004001</v>
      </c>
      <c r="B50">
        <v>410470015032</v>
      </c>
      <c r="C50">
        <v>0.75000299999999998</v>
      </c>
    </row>
    <row r="51" spans="1:3" x14ac:dyDescent="0.25">
      <c r="A51">
        <v>410470004001</v>
      </c>
      <c r="B51">
        <v>410530052022</v>
      </c>
      <c r="C51">
        <v>6.5520999999999996E-2</v>
      </c>
    </row>
    <row r="52" spans="1:3" x14ac:dyDescent="0.25">
      <c r="A52">
        <v>410470004002</v>
      </c>
      <c r="B52">
        <v>410470004001</v>
      </c>
      <c r="C52">
        <v>95.562099000000003</v>
      </c>
    </row>
    <row r="53" spans="1:3" x14ac:dyDescent="0.25">
      <c r="A53">
        <v>410470004002</v>
      </c>
      <c r="B53">
        <v>410470004002</v>
      </c>
      <c r="C53">
        <v>1.121907</v>
      </c>
    </row>
    <row r="54" spans="1:3" x14ac:dyDescent="0.25">
      <c r="A54">
        <v>410470004002</v>
      </c>
      <c r="B54">
        <v>410470015031</v>
      </c>
      <c r="C54">
        <v>0.490923</v>
      </c>
    </row>
    <row r="55" spans="1:3" x14ac:dyDescent="0.25">
      <c r="A55">
        <v>410470004002</v>
      </c>
      <c r="B55">
        <v>410470015032</v>
      </c>
      <c r="C55">
        <v>1.4476249999999999</v>
      </c>
    </row>
    <row r="56" spans="1:3" x14ac:dyDescent="0.25">
      <c r="A56">
        <v>410470004002</v>
      </c>
      <c r="B56">
        <v>410470015033</v>
      </c>
      <c r="C56">
        <v>1.3774459999999999</v>
      </c>
    </row>
    <row r="57" spans="1:3" x14ac:dyDescent="0.25">
      <c r="A57">
        <v>410470004003</v>
      </c>
      <c r="B57">
        <v>410470003001</v>
      </c>
      <c r="C57">
        <v>9.8072999999999994E-2</v>
      </c>
    </row>
    <row r="58" spans="1:3" x14ac:dyDescent="0.25">
      <c r="A58">
        <v>410470004003</v>
      </c>
      <c r="B58">
        <v>410470004001</v>
      </c>
      <c r="C58">
        <v>98.759034</v>
      </c>
    </row>
    <row r="59" spans="1:3" x14ac:dyDescent="0.25">
      <c r="A59">
        <v>410470004003</v>
      </c>
      <c r="B59">
        <v>410470005001</v>
      </c>
      <c r="C59">
        <v>0.56000899999999998</v>
      </c>
    </row>
    <row r="60" spans="1:3" x14ac:dyDescent="0.25">
      <c r="A60">
        <v>410470004003</v>
      </c>
      <c r="B60">
        <v>410470015022</v>
      </c>
      <c r="C60">
        <v>0.10917399999999999</v>
      </c>
    </row>
    <row r="61" spans="1:3" x14ac:dyDescent="0.25">
      <c r="A61">
        <v>410470004003</v>
      </c>
      <c r="B61">
        <v>410470015033</v>
      </c>
      <c r="C61">
        <v>8.2090999999999997E-2</v>
      </c>
    </row>
    <row r="62" spans="1:3" x14ac:dyDescent="0.25">
      <c r="A62">
        <v>410470004003</v>
      </c>
      <c r="B62">
        <v>410470016011</v>
      </c>
      <c r="C62">
        <v>0.39161899999999999</v>
      </c>
    </row>
    <row r="63" spans="1:3" x14ac:dyDescent="0.25">
      <c r="A63">
        <v>410470005011</v>
      </c>
      <c r="B63">
        <v>410470003001</v>
      </c>
      <c r="C63">
        <v>0.41287800000000002</v>
      </c>
    </row>
    <row r="64" spans="1:3" x14ac:dyDescent="0.25">
      <c r="A64">
        <v>410470005011</v>
      </c>
      <c r="B64">
        <v>410470005001</v>
      </c>
      <c r="C64">
        <v>0.512266</v>
      </c>
    </row>
    <row r="65" spans="1:3" x14ac:dyDescent="0.25">
      <c r="A65">
        <v>410470005011</v>
      </c>
      <c r="B65">
        <v>410470005002</v>
      </c>
      <c r="C65">
        <v>32.759428</v>
      </c>
    </row>
    <row r="66" spans="1:3" x14ac:dyDescent="0.25">
      <c r="A66">
        <v>410470005011</v>
      </c>
      <c r="B66">
        <v>410470005003</v>
      </c>
      <c r="C66">
        <v>63.755335000000002</v>
      </c>
    </row>
    <row r="67" spans="1:3" x14ac:dyDescent="0.25">
      <c r="A67">
        <v>410470005011</v>
      </c>
      <c r="B67">
        <v>410470006001</v>
      </c>
      <c r="C67">
        <v>2.2118540000000002</v>
      </c>
    </row>
    <row r="68" spans="1:3" x14ac:dyDescent="0.25">
      <c r="A68">
        <v>410470005011</v>
      </c>
      <c r="B68">
        <v>410470007001</v>
      </c>
      <c r="C68">
        <v>0.34823999999999999</v>
      </c>
    </row>
    <row r="69" spans="1:3" x14ac:dyDescent="0.25">
      <c r="A69">
        <v>410470005012</v>
      </c>
      <c r="B69">
        <v>410470005002</v>
      </c>
      <c r="C69">
        <v>99.257078000000007</v>
      </c>
    </row>
    <row r="70" spans="1:3" x14ac:dyDescent="0.25">
      <c r="A70">
        <v>410470005012</v>
      </c>
      <c r="B70">
        <v>410470007001</v>
      </c>
      <c r="C70">
        <v>0.74292100000000005</v>
      </c>
    </row>
    <row r="71" spans="1:3" x14ac:dyDescent="0.25">
      <c r="A71">
        <v>410470005021</v>
      </c>
      <c r="B71">
        <v>410470003001</v>
      </c>
      <c r="C71">
        <v>0.678867</v>
      </c>
    </row>
    <row r="72" spans="1:3" x14ac:dyDescent="0.25">
      <c r="A72">
        <v>410470005021</v>
      </c>
      <c r="B72">
        <v>410470004001</v>
      </c>
      <c r="C72">
        <v>8.3728169999999995</v>
      </c>
    </row>
    <row r="73" spans="1:3" x14ac:dyDescent="0.25">
      <c r="A73">
        <v>410470005021</v>
      </c>
      <c r="B73">
        <v>410470005001</v>
      </c>
      <c r="C73">
        <v>8.8580000000000006E-2</v>
      </c>
    </row>
    <row r="74" spans="1:3" x14ac:dyDescent="0.25">
      <c r="A74">
        <v>410470005021</v>
      </c>
      <c r="B74">
        <v>410470005003</v>
      </c>
      <c r="C74">
        <v>90.859737999999993</v>
      </c>
    </row>
    <row r="75" spans="1:3" x14ac:dyDescent="0.25">
      <c r="A75">
        <v>410470005022</v>
      </c>
      <c r="B75">
        <v>410470004001</v>
      </c>
      <c r="C75">
        <v>1.4804660000000001</v>
      </c>
    </row>
    <row r="76" spans="1:3" x14ac:dyDescent="0.25">
      <c r="A76">
        <v>410470005022</v>
      </c>
      <c r="B76">
        <v>410470005001</v>
      </c>
      <c r="C76">
        <v>97.288036000000005</v>
      </c>
    </row>
    <row r="77" spans="1:3" x14ac:dyDescent="0.25">
      <c r="A77">
        <v>410470005022</v>
      </c>
      <c r="B77">
        <v>410470005002</v>
      </c>
      <c r="C77">
        <v>0.71535599999999999</v>
      </c>
    </row>
    <row r="78" spans="1:3" x14ac:dyDescent="0.25">
      <c r="A78">
        <v>410470005022</v>
      </c>
      <c r="B78">
        <v>410470005003</v>
      </c>
      <c r="C78">
        <v>0.51613699999999996</v>
      </c>
    </row>
    <row r="79" spans="1:3" x14ac:dyDescent="0.25">
      <c r="A79">
        <v>410470005023</v>
      </c>
      <c r="B79">
        <v>410470004001</v>
      </c>
      <c r="C79">
        <v>0.67165600000000003</v>
      </c>
    </row>
    <row r="80" spans="1:3" x14ac:dyDescent="0.25">
      <c r="A80">
        <v>410470005023</v>
      </c>
      <c r="B80">
        <v>410470005001</v>
      </c>
      <c r="C80">
        <v>95.833260999999993</v>
      </c>
    </row>
    <row r="81" spans="1:3" x14ac:dyDescent="0.25">
      <c r="A81">
        <v>410470005023</v>
      </c>
      <c r="B81">
        <v>410470005002</v>
      </c>
      <c r="C81">
        <v>0.89247299999999996</v>
      </c>
    </row>
    <row r="82" spans="1:3" x14ac:dyDescent="0.25">
      <c r="A82">
        <v>410470005023</v>
      </c>
      <c r="B82">
        <v>410470016011</v>
      </c>
      <c r="C82">
        <v>5.31E-4</v>
      </c>
    </row>
    <row r="83" spans="1:3" x14ac:dyDescent="0.25">
      <c r="A83">
        <v>410470005023</v>
      </c>
      <c r="B83">
        <v>410470016021</v>
      </c>
      <c r="C83">
        <v>2.6020789999999998</v>
      </c>
    </row>
    <row r="84" spans="1:3" x14ac:dyDescent="0.25">
      <c r="A84">
        <v>410470006001</v>
      </c>
      <c r="B84">
        <v>410470002002</v>
      </c>
      <c r="C84">
        <v>2.3419999999999999E-3</v>
      </c>
    </row>
    <row r="85" spans="1:3" x14ac:dyDescent="0.25">
      <c r="A85">
        <v>410470006001</v>
      </c>
      <c r="B85">
        <v>410470003002</v>
      </c>
      <c r="C85">
        <v>0.18589800000000001</v>
      </c>
    </row>
    <row r="86" spans="1:3" x14ac:dyDescent="0.25">
      <c r="A86">
        <v>410470006001</v>
      </c>
      <c r="B86">
        <v>410470005003</v>
      </c>
      <c r="C86">
        <v>0.68251099999999998</v>
      </c>
    </row>
    <row r="87" spans="1:3" x14ac:dyDescent="0.25">
      <c r="A87">
        <v>410470006001</v>
      </c>
      <c r="B87">
        <v>410470006001</v>
      </c>
      <c r="C87">
        <v>92.330067</v>
      </c>
    </row>
    <row r="88" spans="1:3" x14ac:dyDescent="0.25">
      <c r="A88">
        <v>410470006001</v>
      </c>
      <c r="B88">
        <v>410470006002</v>
      </c>
      <c r="C88">
        <v>1.02549</v>
      </c>
    </row>
    <row r="89" spans="1:3" x14ac:dyDescent="0.25">
      <c r="A89">
        <v>410470006001</v>
      </c>
      <c r="B89">
        <v>410470007001</v>
      </c>
      <c r="C89">
        <v>5.7736890000000001</v>
      </c>
    </row>
    <row r="90" spans="1:3" x14ac:dyDescent="0.25">
      <c r="A90">
        <v>410470006002</v>
      </c>
      <c r="B90">
        <v>410470002002</v>
      </c>
      <c r="C90">
        <v>5.4947999999999997E-2</v>
      </c>
    </row>
    <row r="91" spans="1:3" x14ac:dyDescent="0.25">
      <c r="A91">
        <v>410470006002</v>
      </c>
      <c r="B91">
        <v>410470006001</v>
      </c>
      <c r="C91">
        <v>0.21568200000000001</v>
      </c>
    </row>
    <row r="92" spans="1:3" x14ac:dyDescent="0.25">
      <c r="A92">
        <v>410470006002</v>
      </c>
      <c r="B92">
        <v>410470006002</v>
      </c>
      <c r="C92">
        <v>95.011578</v>
      </c>
    </row>
    <row r="93" spans="1:3" x14ac:dyDescent="0.25">
      <c r="A93">
        <v>410470006002</v>
      </c>
      <c r="B93">
        <v>410470006003</v>
      </c>
      <c r="C93">
        <v>2.9385849999999998</v>
      </c>
    </row>
    <row r="94" spans="1:3" x14ac:dyDescent="0.25">
      <c r="A94">
        <v>410470006002</v>
      </c>
      <c r="B94">
        <v>410470007001</v>
      </c>
      <c r="C94">
        <v>0.31841799999999998</v>
      </c>
    </row>
    <row r="95" spans="1:3" x14ac:dyDescent="0.25">
      <c r="A95">
        <v>410470006002</v>
      </c>
      <c r="B95">
        <v>410470007002</v>
      </c>
      <c r="C95">
        <v>1.37757</v>
      </c>
    </row>
    <row r="96" spans="1:3" x14ac:dyDescent="0.25">
      <c r="A96">
        <v>410470006002</v>
      </c>
      <c r="B96">
        <v>410470008002</v>
      </c>
      <c r="C96">
        <v>8.3220000000000002E-2</v>
      </c>
    </row>
    <row r="97" spans="1:3" x14ac:dyDescent="0.25">
      <c r="A97">
        <v>410470006003</v>
      </c>
      <c r="B97">
        <v>410470002002</v>
      </c>
      <c r="C97">
        <v>0.45243499999999998</v>
      </c>
    </row>
    <row r="98" spans="1:3" x14ac:dyDescent="0.25">
      <c r="A98">
        <v>410470006003</v>
      </c>
      <c r="B98">
        <v>410470006003</v>
      </c>
      <c r="C98">
        <v>96.685738999999998</v>
      </c>
    </row>
    <row r="99" spans="1:3" x14ac:dyDescent="0.25">
      <c r="A99">
        <v>410470006003</v>
      </c>
      <c r="B99">
        <v>410470008002</v>
      </c>
      <c r="C99">
        <v>1.6149420000000001</v>
      </c>
    </row>
    <row r="100" spans="1:3" x14ac:dyDescent="0.25">
      <c r="A100">
        <v>410470006003</v>
      </c>
      <c r="B100">
        <v>410470009005</v>
      </c>
      <c r="C100">
        <v>0.24085699999999999</v>
      </c>
    </row>
    <row r="101" spans="1:3" x14ac:dyDescent="0.25">
      <c r="A101">
        <v>410470006003</v>
      </c>
      <c r="B101">
        <v>410470009007</v>
      </c>
      <c r="C101">
        <v>1.006027</v>
      </c>
    </row>
    <row r="102" spans="1:3" x14ac:dyDescent="0.25">
      <c r="A102">
        <v>410470007021</v>
      </c>
      <c r="B102">
        <v>410470007001</v>
      </c>
      <c r="C102">
        <v>0.36158299999999999</v>
      </c>
    </row>
    <row r="103" spans="1:3" x14ac:dyDescent="0.25">
      <c r="A103">
        <v>410470007021</v>
      </c>
      <c r="B103">
        <v>410470007002</v>
      </c>
      <c r="C103">
        <v>73.850326999999993</v>
      </c>
    </row>
    <row r="104" spans="1:3" x14ac:dyDescent="0.25">
      <c r="A104">
        <v>410470007021</v>
      </c>
      <c r="B104">
        <v>410470008001</v>
      </c>
      <c r="C104">
        <v>2.4641609999999998</v>
      </c>
    </row>
    <row r="105" spans="1:3" x14ac:dyDescent="0.25">
      <c r="A105">
        <v>410470007021</v>
      </c>
      <c r="B105">
        <v>410470008002</v>
      </c>
      <c r="C105">
        <v>23.323927000000001</v>
      </c>
    </row>
    <row r="106" spans="1:3" x14ac:dyDescent="0.25">
      <c r="A106">
        <v>410470007022</v>
      </c>
      <c r="B106">
        <v>410470006003</v>
      </c>
      <c r="C106">
        <v>5.5349000000000002E-2</v>
      </c>
    </row>
    <row r="107" spans="1:3" x14ac:dyDescent="0.25">
      <c r="A107">
        <v>410470007022</v>
      </c>
      <c r="B107">
        <v>410470007002</v>
      </c>
      <c r="C107">
        <v>4.6339480000000002</v>
      </c>
    </row>
    <row r="108" spans="1:3" x14ac:dyDescent="0.25">
      <c r="A108">
        <v>410470007022</v>
      </c>
      <c r="B108">
        <v>410470008001</v>
      </c>
      <c r="C108">
        <v>93.512083000000004</v>
      </c>
    </row>
    <row r="109" spans="1:3" x14ac:dyDescent="0.25">
      <c r="A109">
        <v>410470007022</v>
      </c>
      <c r="B109">
        <v>410470008002</v>
      </c>
      <c r="C109">
        <v>6.1914999999999998E-2</v>
      </c>
    </row>
    <row r="110" spans="1:3" x14ac:dyDescent="0.25">
      <c r="A110">
        <v>410470007022</v>
      </c>
      <c r="B110">
        <v>410470009001</v>
      </c>
      <c r="C110">
        <v>0.14524999999999999</v>
      </c>
    </row>
    <row r="111" spans="1:3" x14ac:dyDescent="0.25">
      <c r="A111">
        <v>410470007022</v>
      </c>
      <c r="B111">
        <v>410470009006</v>
      </c>
      <c r="C111">
        <v>0.428728</v>
      </c>
    </row>
    <row r="112" spans="1:3" x14ac:dyDescent="0.25">
      <c r="A112">
        <v>410470007022</v>
      </c>
      <c r="B112">
        <v>410470010003</v>
      </c>
      <c r="C112">
        <v>1.1627270000000001</v>
      </c>
    </row>
    <row r="113" spans="1:3" x14ac:dyDescent="0.25">
      <c r="A113">
        <v>410470007031</v>
      </c>
      <c r="B113">
        <v>410470006001</v>
      </c>
      <c r="C113">
        <v>1.4728600000000001</v>
      </c>
    </row>
    <row r="114" spans="1:3" x14ac:dyDescent="0.25">
      <c r="A114">
        <v>410470007031</v>
      </c>
      <c r="B114">
        <v>410470007001</v>
      </c>
      <c r="C114">
        <v>97.253924999999995</v>
      </c>
    </row>
    <row r="115" spans="1:3" x14ac:dyDescent="0.25">
      <c r="A115">
        <v>410470007031</v>
      </c>
      <c r="B115">
        <v>410470007002</v>
      </c>
      <c r="C115">
        <v>1.273215</v>
      </c>
    </row>
    <row r="116" spans="1:3" x14ac:dyDescent="0.25">
      <c r="A116">
        <v>410470009001</v>
      </c>
      <c r="B116">
        <v>410470009001</v>
      </c>
      <c r="C116">
        <v>99.430171999999999</v>
      </c>
    </row>
    <row r="117" spans="1:3" x14ac:dyDescent="0.25">
      <c r="A117">
        <v>410470009001</v>
      </c>
      <c r="B117">
        <v>410470009002</v>
      </c>
      <c r="C117">
        <v>0.19961499999999999</v>
      </c>
    </row>
    <row r="118" spans="1:3" x14ac:dyDescent="0.25">
      <c r="A118">
        <v>410470009001</v>
      </c>
      <c r="B118">
        <v>410470009003</v>
      </c>
      <c r="C118">
        <v>0.114901</v>
      </c>
    </row>
    <row r="119" spans="1:3" x14ac:dyDescent="0.25">
      <c r="A119">
        <v>410470009001</v>
      </c>
      <c r="B119">
        <v>410470009004</v>
      </c>
      <c r="C119">
        <v>1.9009999999999999E-2</v>
      </c>
    </row>
    <row r="120" spans="1:3" x14ac:dyDescent="0.25">
      <c r="A120">
        <v>410470009001</v>
      </c>
      <c r="B120">
        <v>410470010003</v>
      </c>
      <c r="C120">
        <v>0.23630300000000001</v>
      </c>
    </row>
    <row r="121" spans="1:3" x14ac:dyDescent="0.25">
      <c r="A121">
        <v>410470009002</v>
      </c>
      <c r="B121">
        <v>410470009001</v>
      </c>
      <c r="C121">
        <v>0.94359700000000002</v>
      </c>
    </row>
    <row r="122" spans="1:3" x14ac:dyDescent="0.25">
      <c r="A122">
        <v>410470009002</v>
      </c>
      <c r="B122">
        <v>410470009002</v>
      </c>
      <c r="C122">
        <v>96.227163000000004</v>
      </c>
    </row>
    <row r="123" spans="1:3" x14ac:dyDescent="0.25">
      <c r="A123">
        <v>410470009002</v>
      </c>
      <c r="B123">
        <v>410470010001</v>
      </c>
      <c r="C123">
        <v>2.8292320000000002</v>
      </c>
    </row>
    <row r="124" spans="1:3" x14ac:dyDescent="0.25">
      <c r="A124">
        <v>410470009003</v>
      </c>
      <c r="B124">
        <v>410470002003</v>
      </c>
      <c r="C124">
        <v>0.91694299999999995</v>
      </c>
    </row>
    <row r="125" spans="1:3" x14ac:dyDescent="0.25">
      <c r="A125">
        <v>410470009003</v>
      </c>
      <c r="B125">
        <v>410470009001</v>
      </c>
      <c r="C125">
        <v>0.13364000000000001</v>
      </c>
    </row>
    <row r="126" spans="1:3" x14ac:dyDescent="0.25">
      <c r="A126">
        <v>410470009003</v>
      </c>
      <c r="B126">
        <v>410470009002</v>
      </c>
      <c r="C126">
        <v>0.40446500000000002</v>
      </c>
    </row>
    <row r="127" spans="1:3" x14ac:dyDescent="0.25">
      <c r="A127">
        <v>410470009003</v>
      </c>
      <c r="B127">
        <v>410470009003</v>
      </c>
      <c r="C127">
        <v>97.774332999999999</v>
      </c>
    </row>
    <row r="128" spans="1:3" x14ac:dyDescent="0.25">
      <c r="A128">
        <v>410470009003</v>
      </c>
      <c r="B128">
        <v>410470009004</v>
      </c>
      <c r="C128">
        <v>9.9999999999999995E-7</v>
      </c>
    </row>
    <row r="129" spans="1:3" x14ac:dyDescent="0.25">
      <c r="A129">
        <v>410470009003</v>
      </c>
      <c r="B129">
        <v>410470010001</v>
      </c>
      <c r="C129">
        <v>0.64859999999999995</v>
      </c>
    </row>
    <row r="130" spans="1:3" x14ac:dyDescent="0.25">
      <c r="A130">
        <v>410470009003</v>
      </c>
      <c r="B130">
        <v>410470010002</v>
      </c>
      <c r="C130">
        <v>9.7877000000000006E-2</v>
      </c>
    </row>
    <row r="131" spans="1:3" x14ac:dyDescent="0.25">
      <c r="A131">
        <v>410470009003</v>
      </c>
      <c r="B131">
        <v>410470012001</v>
      </c>
      <c r="C131">
        <v>2.4145E-2</v>
      </c>
    </row>
    <row r="132" spans="1:3" x14ac:dyDescent="0.25">
      <c r="A132">
        <v>410470009004</v>
      </c>
      <c r="B132">
        <v>410470002003</v>
      </c>
      <c r="C132">
        <v>0.88488599999999995</v>
      </c>
    </row>
    <row r="133" spans="1:3" x14ac:dyDescent="0.25">
      <c r="A133">
        <v>410470009004</v>
      </c>
      <c r="B133">
        <v>410470009001</v>
      </c>
      <c r="C133">
        <v>0.255272</v>
      </c>
    </row>
    <row r="134" spans="1:3" x14ac:dyDescent="0.25">
      <c r="A134">
        <v>410470009004</v>
      </c>
      <c r="B134">
        <v>410470009003</v>
      </c>
      <c r="C134">
        <v>3.3629509999999998</v>
      </c>
    </row>
    <row r="135" spans="1:3" x14ac:dyDescent="0.25">
      <c r="A135">
        <v>410470009004</v>
      </c>
      <c r="B135">
        <v>410470009004</v>
      </c>
      <c r="C135">
        <v>95.496891000000005</v>
      </c>
    </row>
    <row r="136" spans="1:3" x14ac:dyDescent="0.25">
      <c r="A136">
        <v>410470009005</v>
      </c>
      <c r="B136">
        <v>410470006003</v>
      </c>
      <c r="C136">
        <v>1.408636</v>
      </c>
    </row>
    <row r="137" spans="1:3" x14ac:dyDescent="0.25">
      <c r="A137">
        <v>410470009005</v>
      </c>
      <c r="B137">
        <v>410470009001</v>
      </c>
      <c r="C137">
        <v>2.4162360000000001</v>
      </c>
    </row>
    <row r="138" spans="1:3" x14ac:dyDescent="0.25">
      <c r="A138">
        <v>410470009005</v>
      </c>
      <c r="B138">
        <v>410470009005</v>
      </c>
      <c r="C138">
        <v>1.868147</v>
      </c>
    </row>
    <row r="139" spans="1:3" x14ac:dyDescent="0.25">
      <c r="A139">
        <v>410470009005</v>
      </c>
      <c r="B139">
        <v>410470009006</v>
      </c>
      <c r="C139">
        <v>94.306978999999998</v>
      </c>
    </row>
    <row r="140" spans="1:3" x14ac:dyDescent="0.25">
      <c r="A140">
        <v>410470009006</v>
      </c>
      <c r="B140">
        <v>410470002002</v>
      </c>
      <c r="C140">
        <v>0.249002</v>
      </c>
    </row>
    <row r="141" spans="1:3" x14ac:dyDescent="0.25">
      <c r="A141">
        <v>410470009006</v>
      </c>
      <c r="B141">
        <v>410470002003</v>
      </c>
      <c r="C141">
        <v>0.35233799999999998</v>
      </c>
    </row>
    <row r="142" spans="1:3" x14ac:dyDescent="0.25">
      <c r="A142">
        <v>410470009006</v>
      </c>
      <c r="B142">
        <v>410470006003</v>
      </c>
      <c r="C142">
        <v>0.147842</v>
      </c>
    </row>
    <row r="143" spans="1:3" x14ac:dyDescent="0.25">
      <c r="A143">
        <v>410470009006</v>
      </c>
      <c r="B143">
        <v>410470009001</v>
      </c>
      <c r="C143">
        <v>0.23221900000000001</v>
      </c>
    </row>
    <row r="144" spans="1:3" x14ac:dyDescent="0.25">
      <c r="A144">
        <v>410470009006</v>
      </c>
      <c r="B144">
        <v>410470009004</v>
      </c>
      <c r="C144">
        <v>2.7583039999999999</v>
      </c>
    </row>
    <row r="145" spans="1:3" x14ac:dyDescent="0.25">
      <c r="A145">
        <v>410470009006</v>
      </c>
      <c r="B145">
        <v>410470009005</v>
      </c>
      <c r="C145">
        <v>48.792909000000002</v>
      </c>
    </row>
    <row r="146" spans="1:3" x14ac:dyDescent="0.25">
      <c r="A146">
        <v>410470009006</v>
      </c>
      <c r="B146">
        <v>410470009006</v>
      </c>
      <c r="C146">
        <v>2.5609999999999999E-3</v>
      </c>
    </row>
    <row r="147" spans="1:3" x14ac:dyDescent="0.25">
      <c r="A147">
        <v>410470009006</v>
      </c>
      <c r="B147">
        <v>410470009007</v>
      </c>
      <c r="C147">
        <v>47.464827</v>
      </c>
    </row>
    <row r="148" spans="1:3" x14ac:dyDescent="0.25">
      <c r="A148">
        <v>410470010001</v>
      </c>
      <c r="B148">
        <v>410470009002</v>
      </c>
      <c r="C148">
        <v>3.1963999999999999E-2</v>
      </c>
    </row>
    <row r="149" spans="1:3" x14ac:dyDescent="0.25">
      <c r="A149">
        <v>410470010001</v>
      </c>
      <c r="B149">
        <v>410470009003</v>
      </c>
      <c r="C149">
        <v>0.24304600000000001</v>
      </c>
    </row>
    <row r="150" spans="1:3" x14ac:dyDescent="0.25">
      <c r="A150">
        <v>410470010001</v>
      </c>
      <c r="B150">
        <v>410470010001</v>
      </c>
      <c r="C150">
        <v>96.622602000000001</v>
      </c>
    </row>
    <row r="151" spans="1:3" x14ac:dyDescent="0.25">
      <c r="A151">
        <v>410470010001</v>
      </c>
      <c r="B151">
        <v>410470010002</v>
      </c>
      <c r="C151">
        <v>3.1023450000000001</v>
      </c>
    </row>
    <row r="152" spans="1:3" x14ac:dyDescent="0.25">
      <c r="A152">
        <v>410470010001</v>
      </c>
      <c r="B152">
        <v>410470010003</v>
      </c>
      <c r="C152">
        <v>4.6E-5</v>
      </c>
    </row>
    <row r="153" spans="1:3" x14ac:dyDescent="0.25">
      <c r="A153">
        <v>410470010002</v>
      </c>
      <c r="B153">
        <v>410470009003</v>
      </c>
      <c r="C153">
        <v>2.7879999999999999E-2</v>
      </c>
    </row>
    <row r="154" spans="1:3" x14ac:dyDescent="0.25">
      <c r="A154">
        <v>410470010002</v>
      </c>
      <c r="B154">
        <v>410470010001</v>
      </c>
      <c r="C154">
        <v>4.6189999999999998E-3</v>
      </c>
    </row>
    <row r="155" spans="1:3" x14ac:dyDescent="0.25">
      <c r="A155">
        <v>410470010002</v>
      </c>
      <c r="B155">
        <v>410470010002</v>
      </c>
      <c r="C155">
        <v>90.140615999999994</v>
      </c>
    </row>
    <row r="156" spans="1:3" x14ac:dyDescent="0.25">
      <c r="A156">
        <v>410470010002</v>
      </c>
      <c r="B156">
        <v>410470010003</v>
      </c>
      <c r="C156">
        <v>0.34121499999999999</v>
      </c>
    </row>
    <row r="157" spans="1:3" x14ac:dyDescent="0.25">
      <c r="A157">
        <v>410470010002</v>
      </c>
      <c r="B157">
        <v>410470010004</v>
      </c>
      <c r="C157">
        <v>6.0155019999999997</v>
      </c>
    </row>
    <row r="158" spans="1:3" x14ac:dyDescent="0.25">
      <c r="A158">
        <v>410470010002</v>
      </c>
      <c r="B158">
        <v>410470011001</v>
      </c>
      <c r="C158">
        <v>1.616887</v>
      </c>
    </row>
    <row r="159" spans="1:3" x14ac:dyDescent="0.25">
      <c r="A159">
        <v>410470010002</v>
      </c>
      <c r="B159">
        <v>410470011002</v>
      </c>
      <c r="C159">
        <v>2.5748E-2</v>
      </c>
    </row>
    <row r="160" spans="1:3" x14ac:dyDescent="0.25">
      <c r="A160">
        <v>410470010002</v>
      </c>
      <c r="B160">
        <v>410470012001</v>
      </c>
      <c r="C160">
        <v>0.96990399999999999</v>
      </c>
    </row>
    <row r="161" spans="1:3" x14ac:dyDescent="0.25">
      <c r="A161">
        <v>410470010002</v>
      </c>
      <c r="B161">
        <v>410470012002</v>
      </c>
      <c r="C161">
        <v>0.85762799999999995</v>
      </c>
    </row>
    <row r="162" spans="1:3" x14ac:dyDescent="0.25">
      <c r="A162">
        <v>410470010003</v>
      </c>
      <c r="B162">
        <v>410470008001</v>
      </c>
      <c r="C162">
        <v>1.2031E-2</v>
      </c>
    </row>
    <row r="163" spans="1:3" x14ac:dyDescent="0.25">
      <c r="A163">
        <v>410470010003</v>
      </c>
      <c r="B163">
        <v>410470009001</v>
      </c>
      <c r="C163">
        <v>2.1297E-2</v>
      </c>
    </row>
    <row r="164" spans="1:3" x14ac:dyDescent="0.25">
      <c r="A164">
        <v>410470010003</v>
      </c>
      <c r="B164">
        <v>410470009002</v>
      </c>
      <c r="C164">
        <v>6.5207000000000001E-2</v>
      </c>
    </row>
    <row r="165" spans="1:3" x14ac:dyDescent="0.25">
      <c r="A165">
        <v>410470010003</v>
      </c>
      <c r="B165">
        <v>410470010001</v>
      </c>
      <c r="C165">
        <v>5.7083000000000002E-2</v>
      </c>
    </row>
    <row r="166" spans="1:3" x14ac:dyDescent="0.25">
      <c r="A166">
        <v>410470010003</v>
      </c>
      <c r="B166">
        <v>410470010002</v>
      </c>
      <c r="C166">
        <v>5.5176999999999997E-2</v>
      </c>
    </row>
    <row r="167" spans="1:3" x14ac:dyDescent="0.25">
      <c r="A167">
        <v>410470010003</v>
      </c>
      <c r="B167">
        <v>410470010003</v>
      </c>
      <c r="C167">
        <v>62.537300999999999</v>
      </c>
    </row>
    <row r="168" spans="1:3" x14ac:dyDescent="0.25">
      <c r="A168">
        <v>410470010003</v>
      </c>
      <c r="B168">
        <v>410470010004</v>
      </c>
      <c r="C168">
        <v>36.918016999999999</v>
      </c>
    </row>
    <row r="169" spans="1:3" x14ac:dyDescent="0.25">
      <c r="A169">
        <v>410470010003</v>
      </c>
      <c r="B169">
        <v>410470011002</v>
      </c>
      <c r="C169">
        <v>9.3974000000000002E-2</v>
      </c>
    </row>
    <row r="170" spans="1:3" x14ac:dyDescent="0.25">
      <c r="A170">
        <v>410470010003</v>
      </c>
      <c r="B170">
        <v>410470020001</v>
      </c>
      <c r="C170">
        <v>0.228406</v>
      </c>
    </row>
    <row r="171" spans="1:3" x14ac:dyDescent="0.25">
      <c r="A171">
        <v>410470010003</v>
      </c>
      <c r="B171">
        <v>410470020002</v>
      </c>
      <c r="C171">
        <v>1.1508000000000001E-2</v>
      </c>
    </row>
    <row r="172" spans="1:3" x14ac:dyDescent="0.25">
      <c r="A172">
        <v>410470011001</v>
      </c>
      <c r="B172">
        <v>410470010002</v>
      </c>
      <c r="C172">
        <v>1.164121</v>
      </c>
    </row>
    <row r="173" spans="1:3" x14ac:dyDescent="0.25">
      <c r="A173">
        <v>410470011001</v>
      </c>
      <c r="B173">
        <v>410470011001</v>
      </c>
      <c r="C173">
        <v>98.226743999999997</v>
      </c>
    </row>
    <row r="174" spans="1:3" x14ac:dyDescent="0.25">
      <c r="A174">
        <v>410470011001</v>
      </c>
      <c r="B174">
        <v>410470012002</v>
      </c>
      <c r="C174">
        <v>0.60913499999999998</v>
      </c>
    </row>
    <row r="175" spans="1:3" x14ac:dyDescent="0.25">
      <c r="A175">
        <v>410470011002</v>
      </c>
      <c r="B175">
        <v>410470010002</v>
      </c>
      <c r="C175">
        <v>0.14558599999999999</v>
      </c>
    </row>
    <row r="176" spans="1:3" x14ac:dyDescent="0.25">
      <c r="A176">
        <v>410470011002</v>
      </c>
      <c r="B176">
        <v>410470010004</v>
      </c>
      <c r="C176">
        <v>1.1677169999999999</v>
      </c>
    </row>
    <row r="177" spans="1:3" x14ac:dyDescent="0.25">
      <c r="A177">
        <v>410470011002</v>
      </c>
      <c r="B177">
        <v>410470011001</v>
      </c>
      <c r="C177">
        <v>2.4535390000000001</v>
      </c>
    </row>
    <row r="178" spans="1:3" x14ac:dyDescent="0.25">
      <c r="A178">
        <v>410470011002</v>
      </c>
      <c r="B178">
        <v>410470011002</v>
      </c>
      <c r="C178">
        <v>94.605208000000005</v>
      </c>
    </row>
    <row r="179" spans="1:3" x14ac:dyDescent="0.25">
      <c r="A179">
        <v>410470011002</v>
      </c>
      <c r="B179">
        <v>410470020001</v>
      </c>
      <c r="C179">
        <v>0.82023999999999997</v>
      </c>
    </row>
    <row r="180" spans="1:3" x14ac:dyDescent="0.25">
      <c r="A180">
        <v>410470011002</v>
      </c>
      <c r="B180">
        <v>410470021001</v>
      </c>
      <c r="C180">
        <v>3.7347999999999999E-2</v>
      </c>
    </row>
    <row r="181" spans="1:3" x14ac:dyDescent="0.25">
      <c r="A181">
        <v>410470011002</v>
      </c>
      <c r="B181">
        <v>410470021002</v>
      </c>
      <c r="C181">
        <v>0.49023</v>
      </c>
    </row>
    <row r="182" spans="1:3" x14ac:dyDescent="0.25">
      <c r="A182">
        <v>410470011002</v>
      </c>
      <c r="B182">
        <v>410470021005</v>
      </c>
      <c r="C182">
        <v>0.28012799999999999</v>
      </c>
    </row>
    <row r="183" spans="1:3" x14ac:dyDescent="0.25">
      <c r="A183">
        <v>410470011003</v>
      </c>
      <c r="B183">
        <v>410470011001</v>
      </c>
      <c r="C183">
        <v>93.636741999999998</v>
      </c>
    </row>
    <row r="184" spans="1:3" x14ac:dyDescent="0.25">
      <c r="A184">
        <v>410470011003</v>
      </c>
      <c r="B184">
        <v>410470012002</v>
      </c>
      <c r="C184">
        <v>0.88303600000000004</v>
      </c>
    </row>
    <row r="185" spans="1:3" x14ac:dyDescent="0.25">
      <c r="A185">
        <v>410470011003</v>
      </c>
      <c r="B185">
        <v>410470013003</v>
      </c>
      <c r="C185">
        <v>0.493201</v>
      </c>
    </row>
    <row r="186" spans="1:3" x14ac:dyDescent="0.25">
      <c r="A186">
        <v>410470011003</v>
      </c>
      <c r="B186">
        <v>410470021001</v>
      </c>
      <c r="C186">
        <v>4.8979720000000002</v>
      </c>
    </row>
    <row r="187" spans="1:3" x14ac:dyDescent="0.25">
      <c r="A187">
        <v>410470011003</v>
      </c>
      <c r="B187">
        <v>410470022001</v>
      </c>
      <c r="C187">
        <v>8.9047000000000001E-2</v>
      </c>
    </row>
    <row r="188" spans="1:3" x14ac:dyDescent="0.25">
      <c r="A188">
        <v>410470012001</v>
      </c>
      <c r="B188">
        <v>410470002003</v>
      </c>
      <c r="C188">
        <v>7.8740000000000008E-3</v>
      </c>
    </row>
    <row r="189" spans="1:3" x14ac:dyDescent="0.25">
      <c r="A189">
        <v>410470012001</v>
      </c>
      <c r="B189">
        <v>410470012001</v>
      </c>
      <c r="C189">
        <v>99.196613999999997</v>
      </c>
    </row>
    <row r="190" spans="1:3" x14ac:dyDescent="0.25">
      <c r="A190">
        <v>410470012001</v>
      </c>
      <c r="B190">
        <v>410470012002</v>
      </c>
      <c r="C190">
        <v>4.3676E-2</v>
      </c>
    </row>
    <row r="191" spans="1:3" x14ac:dyDescent="0.25">
      <c r="A191">
        <v>410470012001</v>
      </c>
      <c r="B191">
        <v>410470013001</v>
      </c>
      <c r="C191">
        <v>8.3601999999999996E-2</v>
      </c>
    </row>
    <row r="192" spans="1:3" x14ac:dyDescent="0.25">
      <c r="A192">
        <v>410470012001</v>
      </c>
      <c r="B192">
        <v>410470013004</v>
      </c>
      <c r="C192">
        <v>0.66823299999999997</v>
      </c>
    </row>
    <row r="193" spans="1:3" x14ac:dyDescent="0.25">
      <c r="A193">
        <v>410470012002</v>
      </c>
      <c r="B193">
        <v>410470012001</v>
      </c>
      <c r="C193">
        <v>0.27769500000000003</v>
      </c>
    </row>
    <row r="194" spans="1:3" x14ac:dyDescent="0.25">
      <c r="A194">
        <v>410470012002</v>
      </c>
      <c r="B194">
        <v>410470012002</v>
      </c>
      <c r="C194">
        <v>97.846767999999997</v>
      </c>
    </row>
    <row r="195" spans="1:3" x14ac:dyDescent="0.25">
      <c r="A195">
        <v>410470012002</v>
      </c>
      <c r="B195">
        <v>410470013002</v>
      </c>
      <c r="C195">
        <v>0.36413000000000001</v>
      </c>
    </row>
    <row r="196" spans="1:3" x14ac:dyDescent="0.25">
      <c r="A196">
        <v>410470012002</v>
      </c>
      <c r="B196">
        <v>410470013003</v>
      </c>
      <c r="C196">
        <v>1.5006269999999999</v>
      </c>
    </row>
    <row r="197" spans="1:3" x14ac:dyDescent="0.25">
      <c r="A197">
        <v>410470012002</v>
      </c>
      <c r="B197">
        <v>410470013004</v>
      </c>
      <c r="C197">
        <v>1.0782E-2</v>
      </c>
    </row>
    <row r="198" spans="1:3" x14ac:dyDescent="0.25">
      <c r="A198">
        <v>410470013001</v>
      </c>
      <c r="B198">
        <v>410470002004</v>
      </c>
      <c r="C198">
        <v>0.18460599999999999</v>
      </c>
    </row>
    <row r="199" spans="1:3" x14ac:dyDescent="0.25">
      <c r="A199">
        <v>410470013001</v>
      </c>
      <c r="B199">
        <v>410470013001</v>
      </c>
      <c r="C199">
        <v>1.9289999999999999E-3</v>
      </c>
    </row>
    <row r="200" spans="1:3" x14ac:dyDescent="0.25">
      <c r="A200">
        <v>410470013001</v>
      </c>
      <c r="B200">
        <v>410470013002</v>
      </c>
      <c r="C200">
        <v>98.443011999999996</v>
      </c>
    </row>
    <row r="201" spans="1:3" x14ac:dyDescent="0.25">
      <c r="A201">
        <v>410470013001</v>
      </c>
      <c r="B201">
        <v>410470013003</v>
      </c>
      <c r="C201">
        <v>5.7276000000000001E-2</v>
      </c>
    </row>
    <row r="202" spans="1:3" x14ac:dyDescent="0.25">
      <c r="A202">
        <v>410470013001</v>
      </c>
      <c r="B202">
        <v>410470013004</v>
      </c>
      <c r="C202">
        <v>0.127082</v>
      </c>
    </row>
    <row r="203" spans="1:3" x14ac:dyDescent="0.25">
      <c r="A203">
        <v>410470013001</v>
      </c>
      <c r="B203">
        <v>410470022001</v>
      </c>
      <c r="C203">
        <v>3.5583999999999998E-2</v>
      </c>
    </row>
    <row r="204" spans="1:3" x14ac:dyDescent="0.25">
      <c r="A204">
        <v>410470013001</v>
      </c>
      <c r="B204">
        <v>410470024001</v>
      </c>
      <c r="C204">
        <v>1.9255999999999999E-2</v>
      </c>
    </row>
    <row r="205" spans="1:3" x14ac:dyDescent="0.25">
      <c r="A205">
        <v>410470013001</v>
      </c>
      <c r="B205">
        <v>410470024002</v>
      </c>
      <c r="C205">
        <v>0.155334</v>
      </c>
    </row>
    <row r="206" spans="1:3" x14ac:dyDescent="0.25">
      <c r="A206">
        <v>410470013001</v>
      </c>
      <c r="B206">
        <v>410530052013</v>
      </c>
      <c r="C206">
        <v>0.97592100000000004</v>
      </c>
    </row>
    <row r="207" spans="1:3" x14ac:dyDescent="0.25">
      <c r="A207">
        <v>410470013002</v>
      </c>
      <c r="B207">
        <v>410470002003</v>
      </c>
      <c r="C207">
        <v>0.18706</v>
      </c>
    </row>
    <row r="208" spans="1:3" x14ac:dyDescent="0.25">
      <c r="A208">
        <v>410470013002</v>
      </c>
      <c r="B208">
        <v>410470002004</v>
      </c>
      <c r="C208">
        <v>1.5879000000000001E-2</v>
      </c>
    </row>
    <row r="209" spans="1:3" x14ac:dyDescent="0.25">
      <c r="A209">
        <v>410470013002</v>
      </c>
      <c r="B209">
        <v>410470012001</v>
      </c>
      <c r="C209">
        <v>0.171795</v>
      </c>
    </row>
    <row r="210" spans="1:3" x14ac:dyDescent="0.25">
      <c r="A210">
        <v>410470013002</v>
      </c>
      <c r="B210">
        <v>410470013001</v>
      </c>
      <c r="C210">
        <v>44.995474000000002</v>
      </c>
    </row>
    <row r="211" spans="1:3" x14ac:dyDescent="0.25">
      <c r="A211">
        <v>410470013002</v>
      </c>
      <c r="B211">
        <v>410470013002</v>
      </c>
      <c r="C211">
        <v>4.1542289999999999</v>
      </c>
    </row>
    <row r="212" spans="1:3" x14ac:dyDescent="0.25">
      <c r="A212">
        <v>410470013002</v>
      </c>
      <c r="B212">
        <v>410470013004</v>
      </c>
      <c r="C212">
        <v>50.475560999999999</v>
      </c>
    </row>
    <row r="213" spans="1:3" x14ac:dyDescent="0.25">
      <c r="A213">
        <v>410470013003</v>
      </c>
      <c r="B213">
        <v>410470013002</v>
      </c>
      <c r="C213">
        <v>6.3870800000000001</v>
      </c>
    </row>
    <row r="214" spans="1:3" x14ac:dyDescent="0.25">
      <c r="A214">
        <v>410470013003</v>
      </c>
      <c r="B214">
        <v>410470013003</v>
      </c>
      <c r="C214">
        <v>93.360849000000002</v>
      </c>
    </row>
    <row r="215" spans="1:3" x14ac:dyDescent="0.25">
      <c r="A215">
        <v>410470013003</v>
      </c>
      <c r="B215">
        <v>410470022001</v>
      </c>
      <c r="C215">
        <v>0.25207299999999999</v>
      </c>
    </row>
    <row r="216" spans="1:3" x14ac:dyDescent="0.25">
      <c r="A216">
        <v>410470014011</v>
      </c>
      <c r="B216">
        <v>410470014001</v>
      </c>
      <c r="C216">
        <v>1.2154130000000001</v>
      </c>
    </row>
    <row r="217" spans="1:3" x14ac:dyDescent="0.25">
      <c r="A217">
        <v>410470014011</v>
      </c>
      <c r="B217">
        <v>410470014003</v>
      </c>
      <c r="C217">
        <v>97.579113000000007</v>
      </c>
    </row>
    <row r="218" spans="1:3" x14ac:dyDescent="0.25">
      <c r="A218">
        <v>410470014011</v>
      </c>
      <c r="B218">
        <v>410470015013</v>
      </c>
      <c r="C218">
        <v>0.52807199999999999</v>
      </c>
    </row>
    <row r="219" spans="1:3" x14ac:dyDescent="0.25">
      <c r="A219">
        <v>410470014011</v>
      </c>
      <c r="B219">
        <v>410470025002</v>
      </c>
      <c r="C219">
        <v>3.9999999999999998E-6</v>
      </c>
    </row>
    <row r="220" spans="1:3" x14ac:dyDescent="0.25">
      <c r="A220">
        <v>410470014011</v>
      </c>
      <c r="B220">
        <v>410470025003</v>
      </c>
      <c r="C220">
        <v>0.67740100000000003</v>
      </c>
    </row>
    <row r="221" spans="1:3" x14ac:dyDescent="0.25">
      <c r="A221">
        <v>410470014012</v>
      </c>
      <c r="B221">
        <v>410470014001</v>
      </c>
      <c r="C221">
        <v>1.4404999999999999E-2</v>
      </c>
    </row>
    <row r="222" spans="1:3" x14ac:dyDescent="0.25">
      <c r="A222">
        <v>410470014012</v>
      </c>
      <c r="B222">
        <v>410470014003</v>
      </c>
      <c r="C222">
        <v>97.327944000000002</v>
      </c>
    </row>
    <row r="223" spans="1:3" x14ac:dyDescent="0.25">
      <c r="A223">
        <v>410470014012</v>
      </c>
      <c r="B223">
        <v>410470014004</v>
      </c>
      <c r="C223">
        <v>1.400879</v>
      </c>
    </row>
    <row r="224" spans="1:3" x14ac:dyDescent="0.25">
      <c r="A224">
        <v>410470014012</v>
      </c>
      <c r="B224">
        <v>410470025002</v>
      </c>
      <c r="C224">
        <v>2.7118E-2</v>
      </c>
    </row>
    <row r="225" spans="1:3" x14ac:dyDescent="0.25">
      <c r="A225">
        <v>410470014012</v>
      </c>
      <c r="B225">
        <v>410530053001</v>
      </c>
      <c r="C225">
        <v>0.81260399999999999</v>
      </c>
    </row>
    <row r="226" spans="1:3" x14ac:dyDescent="0.25">
      <c r="A226">
        <v>410470014012</v>
      </c>
      <c r="B226">
        <v>410530053002</v>
      </c>
      <c r="C226">
        <v>0.41705199999999998</v>
      </c>
    </row>
    <row r="227" spans="1:3" x14ac:dyDescent="0.25">
      <c r="A227">
        <v>410470014013</v>
      </c>
      <c r="B227">
        <v>410470014001</v>
      </c>
      <c r="C227">
        <v>55.521272000000003</v>
      </c>
    </row>
    <row r="228" spans="1:3" x14ac:dyDescent="0.25">
      <c r="A228">
        <v>410470014013</v>
      </c>
      <c r="B228">
        <v>410470014003</v>
      </c>
      <c r="C228">
        <v>44.474699000000001</v>
      </c>
    </row>
    <row r="229" spans="1:3" x14ac:dyDescent="0.25">
      <c r="A229">
        <v>410470014013</v>
      </c>
      <c r="B229">
        <v>410470015013</v>
      </c>
      <c r="C229">
        <v>4.0309999999999999E-3</v>
      </c>
    </row>
    <row r="230" spans="1:3" x14ac:dyDescent="0.25">
      <c r="A230">
        <v>410470014021</v>
      </c>
      <c r="B230">
        <v>410470014001</v>
      </c>
      <c r="C230">
        <v>0.97777999999999998</v>
      </c>
    </row>
    <row r="231" spans="1:3" x14ac:dyDescent="0.25">
      <c r="A231">
        <v>410470014021</v>
      </c>
      <c r="B231">
        <v>410470014003</v>
      </c>
      <c r="C231">
        <v>0.93168200000000001</v>
      </c>
    </row>
    <row r="232" spans="1:3" x14ac:dyDescent="0.25">
      <c r="A232">
        <v>410470014021</v>
      </c>
      <c r="B232">
        <v>410470014004</v>
      </c>
      <c r="C232">
        <v>97.812603999999993</v>
      </c>
    </row>
    <row r="233" spans="1:3" x14ac:dyDescent="0.25">
      <c r="A233">
        <v>410470014021</v>
      </c>
      <c r="B233">
        <v>410530053002</v>
      </c>
      <c r="C233">
        <v>0.27793400000000001</v>
      </c>
    </row>
    <row r="234" spans="1:3" x14ac:dyDescent="0.25">
      <c r="A234">
        <v>410470014022</v>
      </c>
      <c r="B234">
        <v>410470014001</v>
      </c>
      <c r="C234">
        <v>98.959714000000005</v>
      </c>
    </row>
    <row r="235" spans="1:3" x14ac:dyDescent="0.25">
      <c r="A235">
        <v>410470014022</v>
      </c>
      <c r="B235">
        <v>410470014003</v>
      </c>
      <c r="C235">
        <v>0.972468</v>
      </c>
    </row>
    <row r="236" spans="1:3" x14ac:dyDescent="0.25">
      <c r="A236">
        <v>410470014022</v>
      </c>
      <c r="B236">
        <v>410470014004</v>
      </c>
      <c r="C236">
        <v>6.7817000000000002E-2</v>
      </c>
    </row>
    <row r="237" spans="1:3" x14ac:dyDescent="0.25">
      <c r="A237">
        <v>410470014023</v>
      </c>
      <c r="B237">
        <v>410470004002</v>
      </c>
      <c r="C237">
        <v>0.167129</v>
      </c>
    </row>
    <row r="238" spans="1:3" x14ac:dyDescent="0.25">
      <c r="A238">
        <v>410470014023</v>
      </c>
      <c r="B238">
        <v>410470014001</v>
      </c>
      <c r="C238">
        <v>3.449446</v>
      </c>
    </row>
    <row r="239" spans="1:3" x14ac:dyDescent="0.25">
      <c r="A239">
        <v>410470014023</v>
      </c>
      <c r="B239">
        <v>410470014002</v>
      </c>
      <c r="C239">
        <v>95.570738000000006</v>
      </c>
    </row>
    <row r="240" spans="1:3" x14ac:dyDescent="0.25">
      <c r="A240">
        <v>410470014023</v>
      </c>
      <c r="B240">
        <v>410470014004</v>
      </c>
      <c r="C240">
        <v>0.80912399999999995</v>
      </c>
    </row>
    <row r="241" spans="1:3" x14ac:dyDescent="0.25">
      <c r="A241">
        <v>410470014023</v>
      </c>
      <c r="B241">
        <v>410470015032</v>
      </c>
      <c r="C241">
        <v>3.3549999999999999E-3</v>
      </c>
    </row>
    <row r="242" spans="1:3" x14ac:dyDescent="0.25">
      <c r="A242">
        <v>410470014023</v>
      </c>
      <c r="B242">
        <v>410530052022</v>
      </c>
      <c r="C242">
        <v>1E-4</v>
      </c>
    </row>
    <row r="243" spans="1:3" x14ac:dyDescent="0.25">
      <c r="A243">
        <v>410470014023</v>
      </c>
      <c r="B243">
        <v>410530053002</v>
      </c>
      <c r="C243">
        <v>1.06E-4</v>
      </c>
    </row>
    <row r="244" spans="1:3" x14ac:dyDescent="0.25">
      <c r="A244">
        <v>410470015011</v>
      </c>
      <c r="B244">
        <v>410470015011</v>
      </c>
      <c r="C244">
        <v>96.648270999999994</v>
      </c>
    </row>
    <row r="245" spans="1:3" x14ac:dyDescent="0.25">
      <c r="A245">
        <v>410470015011</v>
      </c>
      <c r="B245">
        <v>410470015012</v>
      </c>
      <c r="C245">
        <v>0.82084800000000002</v>
      </c>
    </row>
    <row r="246" spans="1:3" x14ac:dyDescent="0.25">
      <c r="A246">
        <v>410470015011</v>
      </c>
      <c r="B246">
        <v>410470015022</v>
      </c>
      <c r="C246">
        <v>1.0720449999999999</v>
      </c>
    </row>
    <row r="247" spans="1:3" x14ac:dyDescent="0.25">
      <c r="A247">
        <v>410470015011</v>
      </c>
      <c r="B247">
        <v>410470025002</v>
      </c>
      <c r="C247">
        <v>1.4588350000000001</v>
      </c>
    </row>
    <row r="248" spans="1:3" x14ac:dyDescent="0.25">
      <c r="A248">
        <v>410470015012</v>
      </c>
      <c r="B248">
        <v>410470014003</v>
      </c>
      <c r="C248">
        <v>2.9315999999999998E-2</v>
      </c>
    </row>
    <row r="249" spans="1:3" x14ac:dyDescent="0.25">
      <c r="A249">
        <v>410470015012</v>
      </c>
      <c r="B249">
        <v>410470015011</v>
      </c>
      <c r="C249">
        <v>9.7841999999999998E-2</v>
      </c>
    </row>
    <row r="250" spans="1:3" x14ac:dyDescent="0.25">
      <c r="A250">
        <v>410470015012</v>
      </c>
      <c r="B250">
        <v>410470015012</v>
      </c>
      <c r="C250">
        <v>93.317373000000003</v>
      </c>
    </row>
    <row r="251" spans="1:3" x14ac:dyDescent="0.25">
      <c r="A251">
        <v>410470015012</v>
      </c>
      <c r="B251">
        <v>410470015013</v>
      </c>
      <c r="C251">
        <v>4.5599489999999996</v>
      </c>
    </row>
    <row r="252" spans="1:3" x14ac:dyDescent="0.25">
      <c r="A252">
        <v>410470015012</v>
      </c>
      <c r="B252">
        <v>410470015023</v>
      </c>
      <c r="C252">
        <v>0.111472</v>
      </c>
    </row>
    <row r="253" spans="1:3" x14ac:dyDescent="0.25">
      <c r="A253">
        <v>410470015012</v>
      </c>
      <c r="B253">
        <v>410470025002</v>
      </c>
      <c r="C253">
        <v>1.787085</v>
      </c>
    </row>
    <row r="254" spans="1:3" x14ac:dyDescent="0.25">
      <c r="A254">
        <v>410470015012</v>
      </c>
      <c r="B254">
        <v>410470025003</v>
      </c>
      <c r="C254">
        <v>9.6962999999999994E-2</v>
      </c>
    </row>
    <row r="255" spans="1:3" x14ac:dyDescent="0.25">
      <c r="A255">
        <v>410470015013</v>
      </c>
      <c r="B255">
        <v>410470014003</v>
      </c>
      <c r="C255">
        <v>0.603383</v>
      </c>
    </row>
    <row r="256" spans="1:3" x14ac:dyDescent="0.25">
      <c r="A256">
        <v>410470015013</v>
      </c>
      <c r="B256">
        <v>410470015012</v>
      </c>
      <c r="C256">
        <v>3.4759999999999999E-3</v>
      </c>
    </row>
    <row r="257" spans="1:3" x14ac:dyDescent="0.25">
      <c r="A257">
        <v>410470015013</v>
      </c>
      <c r="B257">
        <v>410470015013</v>
      </c>
      <c r="C257">
        <v>88.715824999999995</v>
      </c>
    </row>
    <row r="258" spans="1:3" x14ac:dyDescent="0.25">
      <c r="A258">
        <v>410470015013</v>
      </c>
      <c r="B258">
        <v>410470015021</v>
      </c>
      <c r="C258">
        <v>3.4322460000000001</v>
      </c>
    </row>
    <row r="259" spans="1:3" x14ac:dyDescent="0.25">
      <c r="A259">
        <v>410470015013</v>
      </c>
      <c r="B259">
        <v>410470015023</v>
      </c>
      <c r="C259">
        <v>7.2450669999999997</v>
      </c>
    </row>
    <row r="260" spans="1:3" x14ac:dyDescent="0.25">
      <c r="A260">
        <v>410470015021</v>
      </c>
      <c r="B260">
        <v>410470014001</v>
      </c>
      <c r="C260">
        <v>1.328668</v>
      </c>
    </row>
    <row r="261" spans="1:3" x14ac:dyDescent="0.25">
      <c r="A261">
        <v>410470015021</v>
      </c>
      <c r="B261">
        <v>410470014003</v>
      </c>
      <c r="C261">
        <v>5.5522000000000002E-2</v>
      </c>
    </row>
    <row r="262" spans="1:3" x14ac:dyDescent="0.25">
      <c r="A262">
        <v>410470015021</v>
      </c>
      <c r="B262">
        <v>410470015013</v>
      </c>
      <c r="C262">
        <v>1.5359640000000001</v>
      </c>
    </row>
    <row r="263" spans="1:3" x14ac:dyDescent="0.25">
      <c r="A263">
        <v>410470015021</v>
      </c>
      <c r="B263">
        <v>410470015021</v>
      </c>
      <c r="C263">
        <v>94.626986000000002</v>
      </c>
    </row>
    <row r="264" spans="1:3" x14ac:dyDescent="0.25">
      <c r="A264">
        <v>410470015021</v>
      </c>
      <c r="B264">
        <v>410470015022</v>
      </c>
      <c r="C264">
        <v>2.359623</v>
      </c>
    </row>
    <row r="265" spans="1:3" x14ac:dyDescent="0.25">
      <c r="A265">
        <v>410470015021</v>
      </c>
      <c r="B265">
        <v>410470015023</v>
      </c>
      <c r="C265">
        <v>1.7558000000000001E-2</v>
      </c>
    </row>
    <row r="266" spans="1:3" x14ac:dyDescent="0.25">
      <c r="A266">
        <v>410470015021</v>
      </c>
      <c r="B266">
        <v>410470015033</v>
      </c>
      <c r="C266">
        <v>7.5676999999999994E-2</v>
      </c>
    </row>
    <row r="267" spans="1:3" x14ac:dyDescent="0.25">
      <c r="A267">
        <v>410470015022</v>
      </c>
      <c r="B267">
        <v>410470004001</v>
      </c>
      <c r="C267">
        <v>1.849702</v>
      </c>
    </row>
    <row r="268" spans="1:3" x14ac:dyDescent="0.25">
      <c r="A268">
        <v>410470015022</v>
      </c>
      <c r="B268">
        <v>410470015011</v>
      </c>
      <c r="C268">
        <v>0.29395300000000002</v>
      </c>
    </row>
    <row r="269" spans="1:3" x14ac:dyDescent="0.25">
      <c r="A269">
        <v>410470015022</v>
      </c>
      <c r="B269">
        <v>410470015012</v>
      </c>
      <c r="C269">
        <v>8.7702000000000002E-2</v>
      </c>
    </row>
    <row r="270" spans="1:3" x14ac:dyDescent="0.25">
      <c r="A270">
        <v>410470015022</v>
      </c>
      <c r="B270">
        <v>410470015021</v>
      </c>
      <c r="C270">
        <v>1.2680169999999999</v>
      </c>
    </row>
    <row r="271" spans="1:3" x14ac:dyDescent="0.25">
      <c r="A271">
        <v>410470015022</v>
      </c>
      <c r="B271">
        <v>410470015022</v>
      </c>
      <c r="C271">
        <v>95.524726999999999</v>
      </c>
    </row>
    <row r="272" spans="1:3" x14ac:dyDescent="0.25">
      <c r="A272">
        <v>410470015022</v>
      </c>
      <c r="B272">
        <v>410470015023</v>
      </c>
      <c r="C272">
        <v>0.97589899999999996</v>
      </c>
    </row>
    <row r="273" spans="1:3" x14ac:dyDescent="0.25">
      <c r="A273">
        <v>410470015023</v>
      </c>
      <c r="B273">
        <v>410470015012</v>
      </c>
      <c r="C273">
        <v>9.1097999999999998E-2</v>
      </c>
    </row>
    <row r="274" spans="1:3" x14ac:dyDescent="0.25">
      <c r="A274">
        <v>410470015023</v>
      </c>
      <c r="B274">
        <v>410470015022</v>
      </c>
      <c r="C274">
        <v>1.3366</v>
      </c>
    </row>
    <row r="275" spans="1:3" x14ac:dyDescent="0.25">
      <c r="A275">
        <v>410470015023</v>
      </c>
      <c r="B275">
        <v>410470015023</v>
      </c>
      <c r="C275">
        <v>98.572304000000003</v>
      </c>
    </row>
    <row r="276" spans="1:3" x14ac:dyDescent="0.25">
      <c r="A276">
        <v>410470015031</v>
      </c>
      <c r="B276">
        <v>410470004001</v>
      </c>
      <c r="C276">
        <v>2.0944999999999998E-2</v>
      </c>
    </row>
    <row r="277" spans="1:3" x14ac:dyDescent="0.25">
      <c r="A277">
        <v>410470015031</v>
      </c>
      <c r="B277">
        <v>410470015031</v>
      </c>
      <c r="C277">
        <v>91.834377000000003</v>
      </c>
    </row>
    <row r="278" spans="1:3" x14ac:dyDescent="0.25">
      <c r="A278">
        <v>410470015031</v>
      </c>
      <c r="B278">
        <v>410470015032</v>
      </c>
      <c r="C278">
        <v>4.8199999999999996E-3</v>
      </c>
    </row>
    <row r="279" spans="1:3" x14ac:dyDescent="0.25">
      <c r="A279">
        <v>410470015031</v>
      </c>
      <c r="B279">
        <v>410470015033</v>
      </c>
      <c r="C279">
        <v>8.1398600000000005</v>
      </c>
    </row>
    <row r="280" spans="1:3" x14ac:dyDescent="0.25">
      <c r="A280">
        <v>410470015032</v>
      </c>
      <c r="B280">
        <v>410470004001</v>
      </c>
      <c r="C280">
        <v>8.5829000000000003E-2</v>
      </c>
    </row>
    <row r="281" spans="1:3" x14ac:dyDescent="0.25">
      <c r="A281">
        <v>410470015032</v>
      </c>
      <c r="B281">
        <v>410470004002</v>
      </c>
      <c r="C281">
        <v>5.1071999999999999E-2</v>
      </c>
    </row>
    <row r="282" spans="1:3" x14ac:dyDescent="0.25">
      <c r="A282">
        <v>410470015032</v>
      </c>
      <c r="B282">
        <v>410470014002</v>
      </c>
      <c r="C282">
        <v>1.901346</v>
      </c>
    </row>
    <row r="283" spans="1:3" x14ac:dyDescent="0.25">
      <c r="A283">
        <v>410470015032</v>
      </c>
      <c r="B283">
        <v>410470015031</v>
      </c>
      <c r="C283">
        <v>6.4971120000000004</v>
      </c>
    </row>
    <row r="284" spans="1:3" x14ac:dyDescent="0.25">
      <c r="A284">
        <v>410470015032</v>
      </c>
      <c r="B284">
        <v>410470015032</v>
      </c>
      <c r="C284">
        <v>91.447608000000002</v>
      </c>
    </row>
    <row r="285" spans="1:3" x14ac:dyDescent="0.25">
      <c r="A285">
        <v>410470015032</v>
      </c>
      <c r="B285">
        <v>410470015033</v>
      </c>
      <c r="C285">
        <v>1.7031000000000001E-2</v>
      </c>
    </row>
    <row r="286" spans="1:3" x14ac:dyDescent="0.25">
      <c r="A286">
        <v>410470015033</v>
      </c>
      <c r="B286">
        <v>410470014001</v>
      </c>
      <c r="C286">
        <v>0.80767999999999995</v>
      </c>
    </row>
    <row r="287" spans="1:3" x14ac:dyDescent="0.25">
      <c r="A287">
        <v>410470015033</v>
      </c>
      <c r="B287">
        <v>410470014002</v>
      </c>
      <c r="C287">
        <v>9.6787999999999999E-2</v>
      </c>
    </row>
    <row r="288" spans="1:3" x14ac:dyDescent="0.25">
      <c r="A288">
        <v>410470015033</v>
      </c>
      <c r="B288">
        <v>410470015021</v>
      </c>
      <c r="C288">
        <v>3.7359710000000002</v>
      </c>
    </row>
    <row r="289" spans="1:3" x14ac:dyDescent="0.25">
      <c r="A289">
        <v>410470015033</v>
      </c>
      <c r="B289">
        <v>410470015022</v>
      </c>
      <c r="C289">
        <v>0.83077100000000004</v>
      </c>
    </row>
    <row r="290" spans="1:3" x14ac:dyDescent="0.25">
      <c r="A290">
        <v>410470015033</v>
      </c>
      <c r="B290">
        <v>410470015031</v>
      </c>
      <c r="C290">
        <v>0.38017800000000002</v>
      </c>
    </row>
    <row r="291" spans="1:3" x14ac:dyDescent="0.25">
      <c r="A291">
        <v>410470015033</v>
      </c>
      <c r="B291">
        <v>410470015033</v>
      </c>
      <c r="C291">
        <v>94.148611000000002</v>
      </c>
    </row>
    <row r="292" spans="1:3" x14ac:dyDescent="0.25">
      <c r="A292">
        <v>410470016011</v>
      </c>
      <c r="B292">
        <v>410470004001</v>
      </c>
      <c r="C292">
        <v>1.4754750000000001</v>
      </c>
    </row>
    <row r="293" spans="1:3" x14ac:dyDescent="0.25">
      <c r="A293">
        <v>410470016011</v>
      </c>
      <c r="B293">
        <v>410470005001</v>
      </c>
      <c r="C293">
        <v>1.2727E-2</v>
      </c>
    </row>
    <row r="294" spans="1:3" x14ac:dyDescent="0.25">
      <c r="A294">
        <v>410470016011</v>
      </c>
      <c r="B294">
        <v>410470015022</v>
      </c>
      <c r="C294">
        <v>7.7798999999999993E-2</v>
      </c>
    </row>
    <row r="295" spans="1:3" x14ac:dyDescent="0.25">
      <c r="A295">
        <v>410470016011</v>
      </c>
      <c r="B295">
        <v>410470016011</v>
      </c>
      <c r="C295">
        <v>92.030424999999994</v>
      </c>
    </row>
    <row r="296" spans="1:3" x14ac:dyDescent="0.25">
      <c r="A296">
        <v>410470016011</v>
      </c>
      <c r="B296">
        <v>410470016012</v>
      </c>
      <c r="C296">
        <v>0.103112</v>
      </c>
    </row>
    <row r="297" spans="1:3" x14ac:dyDescent="0.25">
      <c r="A297">
        <v>410470016011</v>
      </c>
      <c r="B297">
        <v>410470016013</v>
      </c>
      <c r="C297">
        <v>0.70934399999999997</v>
      </c>
    </row>
    <row r="298" spans="1:3" x14ac:dyDescent="0.25">
      <c r="A298">
        <v>410470016011</v>
      </c>
      <c r="B298">
        <v>410470016021</v>
      </c>
      <c r="C298">
        <v>6.3375000000000001E-2</v>
      </c>
    </row>
    <row r="299" spans="1:3" x14ac:dyDescent="0.25">
      <c r="A299">
        <v>410470016011</v>
      </c>
      <c r="B299">
        <v>410470025004</v>
      </c>
      <c r="C299">
        <v>5.5277450000000004</v>
      </c>
    </row>
    <row r="300" spans="1:3" x14ac:dyDescent="0.25">
      <c r="A300">
        <v>410470016012</v>
      </c>
      <c r="B300">
        <v>410470016011</v>
      </c>
      <c r="C300">
        <v>0.367869</v>
      </c>
    </row>
    <row r="301" spans="1:3" x14ac:dyDescent="0.25">
      <c r="A301">
        <v>410470016012</v>
      </c>
      <c r="B301">
        <v>410470016012</v>
      </c>
      <c r="C301">
        <v>1.56538</v>
      </c>
    </row>
    <row r="302" spans="1:3" x14ac:dyDescent="0.25">
      <c r="A302">
        <v>410470016012</v>
      </c>
      <c r="B302">
        <v>410470016013</v>
      </c>
      <c r="C302">
        <v>90.317403999999996</v>
      </c>
    </row>
    <row r="303" spans="1:3" x14ac:dyDescent="0.25">
      <c r="A303">
        <v>410470016012</v>
      </c>
      <c r="B303">
        <v>410470016014</v>
      </c>
      <c r="C303">
        <v>2.4556480000000001</v>
      </c>
    </row>
    <row r="304" spans="1:3" x14ac:dyDescent="0.25">
      <c r="A304">
        <v>410470016012</v>
      </c>
      <c r="B304">
        <v>410470016021</v>
      </c>
      <c r="C304">
        <v>0.14655599999999999</v>
      </c>
    </row>
    <row r="305" spans="1:3" x14ac:dyDescent="0.25">
      <c r="A305">
        <v>410470016012</v>
      </c>
      <c r="B305">
        <v>410470016022</v>
      </c>
      <c r="C305">
        <v>1.9103939999999999</v>
      </c>
    </row>
    <row r="306" spans="1:3" x14ac:dyDescent="0.25">
      <c r="A306">
        <v>410470016012</v>
      </c>
      <c r="B306">
        <v>410470016024</v>
      </c>
      <c r="C306">
        <v>3.2367469999999998</v>
      </c>
    </row>
    <row r="307" spans="1:3" x14ac:dyDescent="0.25">
      <c r="A307">
        <v>410470016013</v>
      </c>
      <c r="B307">
        <v>410470016012</v>
      </c>
      <c r="C307">
        <v>0.20254</v>
      </c>
    </row>
    <row r="308" spans="1:3" x14ac:dyDescent="0.25">
      <c r="A308">
        <v>410470016013</v>
      </c>
      <c r="B308">
        <v>410470016013</v>
      </c>
      <c r="C308">
        <v>1.8739749999999999</v>
      </c>
    </row>
    <row r="309" spans="1:3" x14ac:dyDescent="0.25">
      <c r="A309">
        <v>410470016013</v>
      </c>
      <c r="B309">
        <v>410470016014</v>
      </c>
      <c r="C309">
        <v>96.618288000000007</v>
      </c>
    </row>
    <row r="310" spans="1:3" x14ac:dyDescent="0.25">
      <c r="A310">
        <v>410470016013</v>
      </c>
      <c r="B310">
        <v>410470016032</v>
      </c>
      <c r="C310">
        <v>1.305199</v>
      </c>
    </row>
    <row r="311" spans="1:3" x14ac:dyDescent="0.25">
      <c r="A311">
        <v>410470016014</v>
      </c>
      <c r="B311">
        <v>410470016011</v>
      </c>
      <c r="C311">
        <v>2.0185309999999999</v>
      </c>
    </row>
    <row r="312" spans="1:3" x14ac:dyDescent="0.25">
      <c r="A312">
        <v>410470016014</v>
      </c>
      <c r="B312">
        <v>410470016012</v>
      </c>
      <c r="C312">
        <v>94.755998000000005</v>
      </c>
    </row>
    <row r="313" spans="1:3" x14ac:dyDescent="0.25">
      <c r="A313">
        <v>410470016014</v>
      </c>
      <c r="B313">
        <v>410470016013</v>
      </c>
      <c r="C313">
        <v>1.2835099999999999</v>
      </c>
    </row>
    <row r="314" spans="1:3" x14ac:dyDescent="0.25">
      <c r="A314">
        <v>410470016014</v>
      </c>
      <c r="B314">
        <v>410470025004</v>
      </c>
      <c r="C314">
        <v>1.941961</v>
      </c>
    </row>
    <row r="315" spans="1:3" x14ac:dyDescent="0.25">
      <c r="A315">
        <v>410470016015</v>
      </c>
      <c r="B315">
        <v>410470016012</v>
      </c>
      <c r="C315">
        <v>87.685653000000002</v>
      </c>
    </row>
    <row r="316" spans="1:3" x14ac:dyDescent="0.25">
      <c r="A316">
        <v>410470016015</v>
      </c>
      <c r="B316">
        <v>410470016013</v>
      </c>
      <c r="C316">
        <v>0.118217</v>
      </c>
    </row>
    <row r="317" spans="1:3" x14ac:dyDescent="0.25">
      <c r="A317">
        <v>410470016015</v>
      </c>
      <c r="B317">
        <v>410470016014</v>
      </c>
      <c r="C317">
        <v>9.622617</v>
      </c>
    </row>
    <row r="318" spans="1:3" x14ac:dyDescent="0.25">
      <c r="A318">
        <v>410470016015</v>
      </c>
      <c r="B318">
        <v>410470025004</v>
      </c>
      <c r="C318">
        <v>2.5735109999999999</v>
      </c>
    </row>
    <row r="319" spans="1:3" x14ac:dyDescent="0.25">
      <c r="A319">
        <v>410470016031</v>
      </c>
      <c r="B319">
        <v>410470016012</v>
      </c>
      <c r="C319">
        <v>0.16535900000000001</v>
      </c>
    </row>
    <row r="320" spans="1:3" x14ac:dyDescent="0.25">
      <c r="A320">
        <v>410470016031</v>
      </c>
      <c r="B320">
        <v>410470016014</v>
      </c>
      <c r="C320">
        <v>7.3426000000000005E-2</v>
      </c>
    </row>
    <row r="321" spans="1:3" x14ac:dyDescent="0.25">
      <c r="A321">
        <v>410470016031</v>
      </c>
      <c r="B321">
        <v>410470016031</v>
      </c>
      <c r="C321">
        <v>97.256883000000002</v>
      </c>
    </row>
    <row r="322" spans="1:3" x14ac:dyDescent="0.25">
      <c r="A322">
        <v>410470016031</v>
      </c>
      <c r="B322">
        <v>410470016032</v>
      </c>
      <c r="C322">
        <v>0.41270099999999998</v>
      </c>
    </row>
    <row r="323" spans="1:3" x14ac:dyDescent="0.25">
      <c r="A323">
        <v>410470016031</v>
      </c>
      <c r="B323">
        <v>410470016033</v>
      </c>
      <c r="C323">
        <v>0.17278199999999999</v>
      </c>
    </row>
    <row r="324" spans="1:3" x14ac:dyDescent="0.25">
      <c r="A324">
        <v>410470016031</v>
      </c>
      <c r="B324">
        <v>410470016034</v>
      </c>
      <c r="C324">
        <v>3.5434E-2</v>
      </c>
    </row>
    <row r="325" spans="1:3" x14ac:dyDescent="0.25">
      <c r="A325">
        <v>410470016031</v>
      </c>
      <c r="B325">
        <v>410470016043</v>
      </c>
      <c r="C325">
        <v>0.20863799999999999</v>
      </c>
    </row>
    <row r="326" spans="1:3" x14ac:dyDescent="0.25">
      <c r="A326">
        <v>410470016031</v>
      </c>
      <c r="B326">
        <v>410470017022</v>
      </c>
      <c r="C326">
        <v>5.4701E-2</v>
      </c>
    </row>
    <row r="327" spans="1:3" x14ac:dyDescent="0.25">
      <c r="A327">
        <v>410470016031</v>
      </c>
      <c r="B327">
        <v>410470017031</v>
      </c>
      <c r="C327">
        <v>0.223496</v>
      </c>
    </row>
    <row r="328" spans="1:3" x14ac:dyDescent="0.25">
      <c r="A328">
        <v>410470016031</v>
      </c>
      <c r="B328">
        <v>410470025004</v>
      </c>
      <c r="C328">
        <v>0.12430099999999999</v>
      </c>
    </row>
    <row r="329" spans="1:3" x14ac:dyDescent="0.25">
      <c r="A329">
        <v>410470016031</v>
      </c>
      <c r="B329">
        <v>410470026001</v>
      </c>
      <c r="C329">
        <v>1.2572220000000001</v>
      </c>
    </row>
    <row r="330" spans="1:3" x14ac:dyDescent="0.25">
      <c r="A330">
        <v>410470016032</v>
      </c>
      <c r="B330">
        <v>410470016013</v>
      </c>
      <c r="C330">
        <v>1.1244130000000001</v>
      </c>
    </row>
    <row r="331" spans="1:3" x14ac:dyDescent="0.25">
      <c r="A331">
        <v>410470016032</v>
      </c>
      <c r="B331">
        <v>410470016014</v>
      </c>
      <c r="C331">
        <v>1.801474</v>
      </c>
    </row>
    <row r="332" spans="1:3" x14ac:dyDescent="0.25">
      <c r="A332">
        <v>410470016032</v>
      </c>
      <c r="B332">
        <v>410470016024</v>
      </c>
      <c r="C332">
        <v>2.226038</v>
      </c>
    </row>
    <row r="333" spans="1:3" x14ac:dyDescent="0.25">
      <c r="A333">
        <v>410470016032</v>
      </c>
      <c r="B333">
        <v>410470016032</v>
      </c>
      <c r="C333">
        <v>94.842096999999995</v>
      </c>
    </row>
    <row r="334" spans="1:3" x14ac:dyDescent="0.25">
      <c r="A334">
        <v>410470016032</v>
      </c>
      <c r="B334">
        <v>410470016033</v>
      </c>
      <c r="C334">
        <v>5.9789999999999999E-3</v>
      </c>
    </row>
    <row r="335" spans="1:3" x14ac:dyDescent="0.25">
      <c r="A335">
        <v>410470016033</v>
      </c>
      <c r="B335">
        <v>410470016023</v>
      </c>
      <c r="C335">
        <v>2.2182400000000002</v>
      </c>
    </row>
    <row r="336" spans="1:3" x14ac:dyDescent="0.25">
      <c r="A336">
        <v>410470016033</v>
      </c>
      <c r="B336">
        <v>410470016031</v>
      </c>
      <c r="C336">
        <v>3.9110000000000004E-3</v>
      </c>
    </row>
    <row r="337" spans="1:3" x14ac:dyDescent="0.25">
      <c r="A337">
        <v>410470016033</v>
      </c>
      <c r="B337">
        <v>410470016032</v>
      </c>
      <c r="C337">
        <v>0.240206</v>
      </c>
    </row>
    <row r="338" spans="1:3" x14ac:dyDescent="0.25">
      <c r="A338">
        <v>410470016033</v>
      </c>
      <c r="B338">
        <v>410470016033</v>
      </c>
      <c r="C338">
        <v>95.761499000000001</v>
      </c>
    </row>
    <row r="339" spans="1:3" x14ac:dyDescent="0.25">
      <c r="A339">
        <v>410470016033</v>
      </c>
      <c r="B339">
        <v>410470016034</v>
      </c>
      <c r="C339">
        <v>0.63783599999999996</v>
      </c>
    </row>
    <row r="340" spans="1:3" x14ac:dyDescent="0.25">
      <c r="A340">
        <v>410470016033</v>
      </c>
      <c r="B340">
        <v>410470016044</v>
      </c>
      <c r="C340">
        <v>1.138307</v>
      </c>
    </row>
    <row r="341" spans="1:3" x14ac:dyDescent="0.25">
      <c r="A341">
        <v>410470016034</v>
      </c>
      <c r="B341">
        <v>410470016031</v>
      </c>
      <c r="C341">
        <v>0.172682</v>
      </c>
    </row>
    <row r="342" spans="1:3" x14ac:dyDescent="0.25">
      <c r="A342">
        <v>410470016034</v>
      </c>
      <c r="B342">
        <v>410470016033</v>
      </c>
      <c r="C342">
        <v>4.6360999999999999E-2</v>
      </c>
    </row>
    <row r="343" spans="1:3" x14ac:dyDescent="0.25">
      <c r="A343">
        <v>410470016034</v>
      </c>
      <c r="B343">
        <v>410470016034</v>
      </c>
      <c r="C343">
        <v>93.812235000000001</v>
      </c>
    </row>
    <row r="344" spans="1:3" x14ac:dyDescent="0.25">
      <c r="A344">
        <v>410470016034</v>
      </c>
      <c r="B344">
        <v>410470016043</v>
      </c>
      <c r="C344">
        <v>2.2205819999999998</v>
      </c>
    </row>
    <row r="345" spans="1:3" x14ac:dyDescent="0.25">
      <c r="A345">
        <v>410470016034</v>
      </c>
      <c r="B345">
        <v>410470016044</v>
      </c>
      <c r="C345">
        <v>3.7481409999999999</v>
      </c>
    </row>
    <row r="346" spans="1:3" x14ac:dyDescent="0.25">
      <c r="A346">
        <v>410470016051</v>
      </c>
      <c r="B346">
        <v>410470005001</v>
      </c>
      <c r="C346">
        <v>1.1471E-2</v>
      </c>
    </row>
    <row r="347" spans="1:3" x14ac:dyDescent="0.25">
      <c r="A347">
        <v>410470016051</v>
      </c>
      <c r="B347">
        <v>410470016011</v>
      </c>
      <c r="C347">
        <v>2.965735</v>
      </c>
    </row>
    <row r="348" spans="1:3" x14ac:dyDescent="0.25">
      <c r="A348">
        <v>410470016051</v>
      </c>
      <c r="B348">
        <v>410470016021</v>
      </c>
      <c r="C348">
        <v>95.667491999999996</v>
      </c>
    </row>
    <row r="349" spans="1:3" x14ac:dyDescent="0.25">
      <c r="A349">
        <v>410470016051</v>
      </c>
      <c r="B349">
        <v>410470016022</v>
      </c>
      <c r="C349">
        <v>1.3553029999999999</v>
      </c>
    </row>
    <row r="350" spans="1:3" x14ac:dyDescent="0.25">
      <c r="A350">
        <v>410470016052</v>
      </c>
      <c r="B350">
        <v>410470005001</v>
      </c>
      <c r="C350">
        <v>2.5769999999999999E-3</v>
      </c>
    </row>
    <row r="351" spans="1:3" x14ac:dyDescent="0.25">
      <c r="A351">
        <v>410470016052</v>
      </c>
      <c r="B351">
        <v>410470005002</v>
      </c>
      <c r="C351">
        <v>2.6830000000000001E-3</v>
      </c>
    </row>
    <row r="352" spans="1:3" x14ac:dyDescent="0.25">
      <c r="A352">
        <v>410470016052</v>
      </c>
      <c r="B352">
        <v>410470016021</v>
      </c>
      <c r="C352">
        <v>96.797133000000002</v>
      </c>
    </row>
    <row r="353" spans="1:3" x14ac:dyDescent="0.25">
      <c r="A353">
        <v>410470016052</v>
      </c>
      <c r="B353">
        <v>410470016022</v>
      </c>
      <c r="C353">
        <v>1.1104579999999999</v>
      </c>
    </row>
    <row r="354" spans="1:3" x14ac:dyDescent="0.25">
      <c r="A354">
        <v>410470016052</v>
      </c>
      <c r="B354">
        <v>410470016041</v>
      </c>
      <c r="C354">
        <v>2.0300419999999999</v>
      </c>
    </row>
    <row r="355" spans="1:3" x14ac:dyDescent="0.25">
      <c r="A355">
        <v>410470016052</v>
      </c>
      <c r="B355">
        <v>410470016042</v>
      </c>
      <c r="C355">
        <v>5.7109E-2</v>
      </c>
    </row>
    <row r="356" spans="1:3" x14ac:dyDescent="0.25">
      <c r="A356">
        <v>410470016061</v>
      </c>
      <c r="B356">
        <v>410470016022</v>
      </c>
      <c r="C356">
        <v>1.5579160000000001</v>
      </c>
    </row>
    <row r="357" spans="1:3" x14ac:dyDescent="0.25">
      <c r="A357">
        <v>410470016061</v>
      </c>
      <c r="B357">
        <v>410470016023</v>
      </c>
      <c r="C357">
        <v>95.581502999999998</v>
      </c>
    </row>
    <row r="358" spans="1:3" x14ac:dyDescent="0.25">
      <c r="A358">
        <v>410470016061</v>
      </c>
      <c r="B358">
        <v>410470016024</v>
      </c>
      <c r="C358">
        <v>0.120834</v>
      </c>
    </row>
    <row r="359" spans="1:3" x14ac:dyDescent="0.25">
      <c r="A359">
        <v>410470016061</v>
      </c>
      <c r="B359">
        <v>410470016033</v>
      </c>
      <c r="C359">
        <v>0.91015699999999999</v>
      </c>
    </row>
    <row r="360" spans="1:3" x14ac:dyDescent="0.25">
      <c r="A360">
        <v>410470016061</v>
      </c>
      <c r="B360">
        <v>410470016044</v>
      </c>
      <c r="C360">
        <v>1.8295950000000001</v>
      </c>
    </row>
    <row r="361" spans="1:3" x14ac:dyDescent="0.25">
      <c r="A361">
        <v>410470016062</v>
      </c>
      <c r="B361">
        <v>410470016022</v>
      </c>
      <c r="C361">
        <v>0.75954100000000002</v>
      </c>
    </row>
    <row r="362" spans="1:3" x14ac:dyDescent="0.25">
      <c r="A362">
        <v>410470016062</v>
      </c>
      <c r="B362">
        <v>410470016023</v>
      </c>
      <c r="C362">
        <v>0.26672400000000002</v>
      </c>
    </row>
    <row r="363" spans="1:3" x14ac:dyDescent="0.25">
      <c r="A363">
        <v>410470016062</v>
      </c>
      <c r="B363">
        <v>410470016024</v>
      </c>
      <c r="C363">
        <v>97.697508999999997</v>
      </c>
    </row>
    <row r="364" spans="1:3" x14ac:dyDescent="0.25">
      <c r="A364">
        <v>410470016062</v>
      </c>
      <c r="B364">
        <v>410470016032</v>
      </c>
      <c r="C364">
        <v>1.19415</v>
      </c>
    </row>
    <row r="365" spans="1:3" x14ac:dyDescent="0.25">
      <c r="A365">
        <v>410470016062</v>
      </c>
      <c r="B365">
        <v>410470016033</v>
      </c>
      <c r="C365">
        <v>8.2077999999999998E-2</v>
      </c>
    </row>
    <row r="366" spans="1:3" x14ac:dyDescent="0.25">
      <c r="A366">
        <v>410470016063</v>
      </c>
      <c r="B366">
        <v>410470016022</v>
      </c>
      <c r="C366">
        <v>99.145077000000001</v>
      </c>
    </row>
    <row r="367" spans="1:3" x14ac:dyDescent="0.25">
      <c r="A367">
        <v>410470016063</v>
      </c>
      <c r="B367">
        <v>410470016024</v>
      </c>
      <c r="C367">
        <v>7.8759999999999993E-3</v>
      </c>
    </row>
    <row r="368" spans="1:3" x14ac:dyDescent="0.25">
      <c r="A368">
        <v>410470016063</v>
      </c>
      <c r="B368">
        <v>410470016042</v>
      </c>
      <c r="C368">
        <v>0.55135599999999996</v>
      </c>
    </row>
    <row r="369" spans="1:3" x14ac:dyDescent="0.25">
      <c r="A369">
        <v>410470016063</v>
      </c>
      <c r="B369">
        <v>410470016044</v>
      </c>
      <c r="C369">
        <v>0.29569200000000001</v>
      </c>
    </row>
    <row r="370" spans="1:3" x14ac:dyDescent="0.25">
      <c r="A370">
        <v>410470016071</v>
      </c>
      <c r="B370">
        <v>410470005002</v>
      </c>
      <c r="C370">
        <v>1.8931279999999999</v>
      </c>
    </row>
    <row r="371" spans="1:3" x14ac:dyDescent="0.25">
      <c r="A371">
        <v>410470016071</v>
      </c>
      <c r="B371">
        <v>410470007001</v>
      </c>
      <c r="C371">
        <v>6.6429999999999996E-3</v>
      </c>
    </row>
    <row r="372" spans="1:3" x14ac:dyDescent="0.25">
      <c r="A372">
        <v>410470016071</v>
      </c>
      <c r="B372">
        <v>410470016041</v>
      </c>
      <c r="C372">
        <v>97.540685999999994</v>
      </c>
    </row>
    <row r="373" spans="1:3" x14ac:dyDescent="0.25">
      <c r="A373">
        <v>410470016071</v>
      </c>
      <c r="B373">
        <v>410470016042</v>
      </c>
      <c r="C373">
        <v>0.35941400000000001</v>
      </c>
    </row>
    <row r="374" spans="1:3" x14ac:dyDescent="0.25">
      <c r="A374">
        <v>410470016071</v>
      </c>
      <c r="B374">
        <v>410470017011</v>
      </c>
      <c r="C374">
        <v>0.200129</v>
      </c>
    </row>
    <row r="375" spans="1:3" x14ac:dyDescent="0.25">
      <c r="A375">
        <v>410470016072</v>
      </c>
      <c r="B375">
        <v>410470016041</v>
      </c>
      <c r="C375">
        <v>11.408792999999999</v>
      </c>
    </row>
    <row r="376" spans="1:3" x14ac:dyDescent="0.25">
      <c r="A376">
        <v>410470016072</v>
      </c>
      <c r="B376">
        <v>410470016042</v>
      </c>
      <c r="C376">
        <v>88.447473000000002</v>
      </c>
    </row>
    <row r="377" spans="1:3" x14ac:dyDescent="0.25">
      <c r="A377">
        <v>410470016072</v>
      </c>
      <c r="B377">
        <v>410470017011</v>
      </c>
      <c r="C377">
        <v>0.143732</v>
      </c>
    </row>
    <row r="378" spans="1:3" x14ac:dyDescent="0.25">
      <c r="A378">
        <v>410470016081</v>
      </c>
      <c r="B378">
        <v>410470016031</v>
      </c>
      <c r="C378">
        <v>0.10763499999999999</v>
      </c>
    </row>
    <row r="379" spans="1:3" x14ac:dyDescent="0.25">
      <c r="A379">
        <v>410470016081</v>
      </c>
      <c r="B379">
        <v>410470016042</v>
      </c>
      <c r="C379">
        <v>2.4742329999999999</v>
      </c>
    </row>
    <row r="380" spans="1:3" x14ac:dyDescent="0.25">
      <c r="A380">
        <v>410470016081</v>
      </c>
      <c r="B380">
        <v>410470016043</v>
      </c>
      <c r="C380">
        <v>96.445519000000004</v>
      </c>
    </row>
    <row r="381" spans="1:3" x14ac:dyDescent="0.25">
      <c r="A381">
        <v>410470016081</v>
      </c>
      <c r="B381">
        <v>410470016044</v>
      </c>
      <c r="C381">
        <v>0.89568400000000004</v>
      </c>
    </row>
    <row r="382" spans="1:3" x14ac:dyDescent="0.25">
      <c r="A382">
        <v>410470016081</v>
      </c>
      <c r="B382">
        <v>410470017011</v>
      </c>
      <c r="C382">
        <v>5.0959999999999998E-2</v>
      </c>
    </row>
    <row r="383" spans="1:3" x14ac:dyDescent="0.25">
      <c r="A383">
        <v>410470016081</v>
      </c>
      <c r="B383">
        <v>410470017022</v>
      </c>
      <c r="C383">
        <v>2.5967E-2</v>
      </c>
    </row>
    <row r="384" spans="1:3" x14ac:dyDescent="0.25">
      <c r="A384">
        <v>410470016082</v>
      </c>
      <c r="B384">
        <v>410470016042</v>
      </c>
      <c r="C384">
        <v>4.6748159999999999</v>
      </c>
    </row>
    <row r="385" spans="1:3" x14ac:dyDescent="0.25">
      <c r="A385">
        <v>410470016082</v>
      </c>
      <c r="B385">
        <v>410470016043</v>
      </c>
      <c r="C385">
        <v>4.7128999999999997E-2</v>
      </c>
    </row>
    <row r="386" spans="1:3" x14ac:dyDescent="0.25">
      <c r="A386">
        <v>410470016082</v>
      </c>
      <c r="B386">
        <v>410470016044</v>
      </c>
      <c r="C386">
        <v>95.278057000000004</v>
      </c>
    </row>
    <row r="387" spans="1:3" x14ac:dyDescent="0.25">
      <c r="A387">
        <v>410470017011</v>
      </c>
      <c r="B387">
        <v>410470007001</v>
      </c>
      <c r="C387">
        <v>1.931357</v>
      </c>
    </row>
    <row r="388" spans="1:3" x14ac:dyDescent="0.25">
      <c r="A388">
        <v>410470017011</v>
      </c>
      <c r="B388">
        <v>410470016042</v>
      </c>
      <c r="C388">
        <v>3.0509999999999999E-3</v>
      </c>
    </row>
    <row r="389" spans="1:3" x14ac:dyDescent="0.25">
      <c r="A389">
        <v>410470017011</v>
      </c>
      <c r="B389">
        <v>410470016043</v>
      </c>
      <c r="C389">
        <v>4.0240999999999999E-2</v>
      </c>
    </row>
    <row r="390" spans="1:3" x14ac:dyDescent="0.25">
      <c r="A390">
        <v>410470017011</v>
      </c>
      <c r="B390">
        <v>410470017011</v>
      </c>
      <c r="C390">
        <v>94.874375999999998</v>
      </c>
    </row>
    <row r="391" spans="1:3" x14ac:dyDescent="0.25">
      <c r="A391">
        <v>410470017011</v>
      </c>
      <c r="B391">
        <v>410470017012</v>
      </c>
      <c r="C391">
        <v>1.454456</v>
      </c>
    </row>
    <row r="392" spans="1:3" x14ac:dyDescent="0.25">
      <c r="A392">
        <v>410470017011</v>
      </c>
      <c r="B392">
        <v>410470017023</v>
      </c>
      <c r="C392">
        <v>1.6965209999999999</v>
      </c>
    </row>
    <row r="393" spans="1:3" x14ac:dyDescent="0.25">
      <c r="A393">
        <v>410470017012</v>
      </c>
      <c r="B393">
        <v>410470007001</v>
      </c>
      <c r="C393">
        <v>2.4201069999999998</v>
      </c>
    </row>
    <row r="394" spans="1:3" x14ac:dyDescent="0.25">
      <c r="A394">
        <v>410470017012</v>
      </c>
      <c r="B394">
        <v>410470007002</v>
      </c>
      <c r="C394">
        <v>1.781744</v>
      </c>
    </row>
    <row r="395" spans="1:3" x14ac:dyDescent="0.25">
      <c r="A395">
        <v>410470017012</v>
      </c>
      <c r="B395">
        <v>410470017011</v>
      </c>
      <c r="C395">
        <v>9.8123000000000002E-2</v>
      </c>
    </row>
    <row r="396" spans="1:3" x14ac:dyDescent="0.25">
      <c r="A396">
        <v>410470017012</v>
      </c>
      <c r="B396">
        <v>410470017012</v>
      </c>
      <c r="C396">
        <v>93.652144000000007</v>
      </c>
    </row>
    <row r="397" spans="1:3" x14ac:dyDescent="0.25">
      <c r="A397">
        <v>410470017012</v>
      </c>
      <c r="B397">
        <v>410470017013</v>
      </c>
      <c r="C397">
        <v>1.8028850000000001</v>
      </c>
    </row>
    <row r="398" spans="1:3" x14ac:dyDescent="0.25">
      <c r="A398">
        <v>410470017012</v>
      </c>
      <c r="B398">
        <v>410470017023</v>
      </c>
      <c r="C398">
        <v>0.24499699999999999</v>
      </c>
    </row>
    <row r="399" spans="1:3" x14ac:dyDescent="0.25">
      <c r="A399">
        <v>410470017013</v>
      </c>
      <c r="B399">
        <v>410470007002</v>
      </c>
      <c r="C399">
        <v>6.2864649999999997</v>
      </c>
    </row>
    <row r="400" spans="1:3" x14ac:dyDescent="0.25">
      <c r="A400">
        <v>410470017013</v>
      </c>
      <c r="B400">
        <v>410470017012</v>
      </c>
      <c r="C400">
        <v>1.4007E-2</v>
      </c>
    </row>
    <row r="401" spans="1:3" x14ac:dyDescent="0.25">
      <c r="A401">
        <v>410470017013</v>
      </c>
      <c r="B401">
        <v>410470017013</v>
      </c>
      <c r="C401">
        <v>93.527388000000002</v>
      </c>
    </row>
    <row r="402" spans="1:3" x14ac:dyDescent="0.25">
      <c r="A402">
        <v>410470017013</v>
      </c>
      <c r="B402">
        <v>410470017032</v>
      </c>
      <c r="C402">
        <v>0.16253500000000001</v>
      </c>
    </row>
    <row r="403" spans="1:3" x14ac:dyDescent="0.25">
      <c r="A403">
        <v>410470017013</v>
      </c>
      <c r="B403">
        <v>410470018011</v>
      </c>
      <c r="C403">
        <v>9.606E-3</v>
      </c>
    </row>
    <row r="404" spans="1:3" x14ac:dyDescent="0.25">
      <c r="A404">
        <v>410470017021</v>
      </c>
      <c r="B404">
        <v>410470017021</v>
      </c>
      <c r="C404">
        <v>85.886928999999995</v>
      </c>
    </row>
    <row r="405" spans="1:3" x14ac:dyDescent="0.25">
      <c r="A405">
        <v>410470017021</v>
      </c>
      <c r="B405">
        <v>410470017022</v>
      </c>
      <c r="C405">
        <v>5.031593</v>
      </c>
    </row>
    <row r="406" spans="1:3" x14ac:dyDescent="0.25">
      <c r="A406">
        <v>410470017021</v>
      </c>
      <c r="B406">
        <v>410470017023</v>
      </c>
      <c r="C406">
        <v>8.8021650000000005</v>
      </c>
    </row>
    <row r="407" spans="1:3" x14ac:dyDescent="0.25">
      <c r="A407">
        <v>410470017021</v>
      </c>
      <c r="B407">
        <v>410470017032</v>
      </c>
      <c r="C407">
        <v>7.4395000000000003E-2</v>
      </c>
    </row>
    <row r="408" spans="1:3" x14ac:dyDescent="0.25">
      <c r="A408">
        <v>410470017021</v>
      </c>
      <c r="B408">
        <v>410470017033</v>
      </c>
      <c r="C408">
        <v>0.20491799999999999</v>
      </c>
    </row>
    <row r="409" spans="1:3" x14ac:dyDescent="0.25">
      <c r="A409">
        <v>410470017022</v>
      </c>
      <c r="B409">
        <v>410470016043</v>
      </c>
      <c r="C409">
        <v>0.242838</v>
      </c>
    </row>
    <row r="410" spans="1:3" x14ac:dyDescent="0.25">
      <c r="A410">
        <v>410470017022</v>
      </c>
      <c r="B410">
        <v>410470017011</v>
      </c>
      <c r="C410">
        <v>1.5014689999999999</v>
      </c>
    </row>
    <row r="411" spans="1:3" x14ac:dyDescent="0.25">
      <c r="A411">
        <v>410470017022</v>
      </c>
      <c r="B411">
        <v>410470017021</v>
      </c>
      <c r="C411">
        <v>0.16806499999999999</v>
      </c>
    </row>
    <row r="412" spans="1:3" x14ac:dyDescent="0.25">
      <c r="A412">
        <v>410470017022</v>
      </c>
      <c r="B412">
        <v>410470017022</v>
      </c>
      <c r="C412">
        <v>96.306946999999994</v>
      </c>
    </row>
    <row r="413" spans="1:3" x14ac:dyDescent="0.25">
      <c r="A413">
        <v>410470017022</v>
      </c>
      <c r="B413">
        <v>410470017023</v>
      </c>
      <c r="C413">
        <v>0.30692900000000001</v>
      </c>
    </row>
    <row r="414" spans="1:3" x14ac:dyDescent="0.25">
      <c r="A414">
        <v>410470017022</v>
      </c>
      <c r="B414">
        <v>410470017033</v>
      </c>
      <c r="C414">
        <v>1.473749</v>
      </c>
    </row>
    <row r="415" spans="1:3" x14ac:dyDescent="0.25">
      <c r="A415">
        <v>410470017023</v>
      </c>
      <c r="B415">
        <v>410470017011</v>
      </c>
      <c r="C415">
        <v>0.24948400000000001</v>
      </c>
    </row>
    <row r="416" spans="1:3" x14ac:dyDescent="0.25">
      <c r="A416">
        <v>410470017023</v>
      </c>
      <c r="B416">
        <v>410470017012</v>
      </c>
      <c r="C416">
        <v>1.9536150000000001</v>
      </c>
    </row>
    <row r="417" spans="1:3" x14ac:dyDescent="0.25">
      <c r="A417">
        <v>410470017023</v>
      </c>
      <c r="B417">
        <v>410470017023</v>
      </c>
      <c r="C417">
        <v>97.530929999999998</v>
      </c>
    </row>
    <row r="418" spans="1:3" x14ac:dyDescent="0.25">
      <c r="A418">
        <v>410470017023</v>
      </c>
      <c r="B418">
        <v>410470017032</v>
      </c>
      <c r="C418">
        <v>0.26597199999999999</v>
      </c>
    </row>
    <row r="419" spans="1:3" x14ac:dyDescent="0.25">
      <c r="A419">
        <v>410470017031</v>
      </c>
      <c r="B419">
        <v>410470017022</v>
      </c>
      <c r="C419">
        <v>0.27242</v>
      </c>
    </row>
    <row r="420" spans="1:3" x14ac:dyDescent="0.25">
      <c r="A420">
        <v>410470017031</v>
      </c>
      <c r="B420">
        <v>410470017031</v>
      </c>
      <c r="C420">
        <v>98.715530000000001</v>
      </c>
    </row>
    <row r="421" spans="1:3" x14ac:dyDescent="0.25">
      <c r="A421">
        <v>410470017031</v>
      </c>
      <c r="B421">
        <v>410470017032</v>
      </c>
      <c r="C421">
        <v>0.382326</v>
      </c>
    </row>
    <row r="422" spans="1:3" x14ac:dyDescent="0.25">
      <c r="A422">
        <v>410470017031</v>
      </c>
      <c r="B422">
        <v>410470017033</v>
      </c>
      <c r="C422">
        <v>0.490263</v>
      </c>
    </row>
    <row r="423" spans="1:3" x14ac:dyDescent="0.25">
      <c r="A423">
        <v>410470017031</v>
      </c>
      <c r="B423">
        <v>410470018011</v>
      </c>
      <c r="C423">
        <v>2.9700000000000001E-4</v>
      </c>
    </row>
    <row r="424" spans="1:3" x14ac:dyDescent="0.25">
      <c r="A424">
        <v>410470017031</v>
      </c>
      <c r="B424">
        <v>410470018021</v>
      </c>
      <c r="C424">
        <v>8.6429999999999996E-3</v>
      </c>
    </row>
    <row r="425" spans="1:3" x14ac:dyDescent="0.25">
      <c r="A425">
        <v>410470017031</v>
      </c>
      <c r="B425">
        <v>410470026001</v>
      </c>
      <c r="C425">
        <v>0.119246</v>
      </c>
    </row>
    <row r="426" spans="1:3" x14ac:dyDescent="0.25">
      <c r="A426">
        <v>410470017032</v>
      </c>
      <c r="B426">
        <v>410470017012</v>
      </c>
      <c r="C426">
        <v>1.373454</v>
      </c>
    </row>
    <row r="427" spans="1:3" x14ac:dyDescent="0.25">
      <c r="A427">
        <v>410470017032</v>
      </c>
      <c r="B427">
        <v>410470017013</v>
      </c>
      <c r="C427">
        <v>1.530608</v>
      </c>
    </row>
    <row r="428" spans="1:3" x14ac:dyDescent="0.25">
      <c r="A428">
        <v>410470017032</v>
      </c>
      <c r="B428">
        <v>410470017021</v>
      </c>
      <c r="C428">
        <v>0.34883399999999998</v>
      </c>
    </row>
    <row r="429" spans="1:3" x14ac:dyDescent="0.25">
      <c r="A429">
        <v>410470017032</v>
      </c>
      <c r="B429">
        <v>410470017032</v>
      </c>
      <c r="C429">
        <v>96.181189000000003</v>
      </c>
    </row>
    <row r="430" spans="1:3" x14ac:dyDescent="0.25">
      <c r="A430">
        <v>410470017032</v>
      </c>
      <c r="B430">
        <v>410470017033</v>
      </c>
      <c r="C430">
        <v>0.48750700000000002</v>
      </c>
    </row>
    <row r="431" spans="1:3" x14ac:dyDescent="0.25">
      <c r="A431">
        <v>410470017032</v>
      </c>
      <c r="B431">
        <v>410470018011</v>
      </c>
      <c r="C431">
        <v>7.8407000000000004E-2</v>
      </c>
    </row>
    <row r="432" spans="1:3" x14ac:dyDescent="0.25">
      <c r="A432">
        <v>410470017033</v>
      </c>
      <c r="B432">
        <v>410470017021</v>
      </c>
      <c r="C432">
        <v>1.4066609999999999</v>
      </c>
    </row>
    <row r="433" spans="1:3" x14ac:dyDescent="0.25">
      <c r="A433">
        <v>410470017033</v>
      </c>
      <c r="B433">
        <v>410470017022</v>
      </c>
      <c r="C433">
        <v>1.2475259999999999</v>
      </c>
    </row>
    <row r="434" spans="1:3" x14ac:dyDescent="0.25">
      <c r="A434">
        <v>410470017033</v>
      </c>
      <c r="B434">
        <v>410470017032</v>
      </c>
      <c r="C434">
        <v>0</v>
      </c>
    </row>
    <row r="435" spans="1:3" x14ac:dyDescent="0.25">
      <c r="A435">
        <v>410470017033</v>
      </c>
      <c r="B435">
        <v>410470017033</v>
      </c>
      <c r="C435">
        <v>97.345813000000007</v>
      </c>
    </row>
    <row r="436" spans="1:3" x14ac:dyDescent="0.25">
      <c r="A436">
        <v>410470018011</v>
      </c>
      <c r="B436">
        <v>410470007002</v>
      </c>
      <c r="C436">
        <v>2.3745959999999999</v>
      </c>
    </row>
    <row r="437" spans="1:3" x14ac:dyDescent="0.25">
      <c r="A437">
        <v>410470018011</v>
      </c>
      <c r="B437">
        <v>410470010003</v>
      </c>
      <c r="C437">
        <v>8.1555000000000002E-2</v>
      </c>
    </row>
    <row r="438" spans="1:3" x14ac:dyDescent="0.25">
      <c r="A438">
        <v>410470018011</v>
      </c>
      <c r="B438">
        <v>410470017013</v>
      </c>
      <c r="C438">
        <v>0.12501499999999999</v>
      </c>
    </row>
    <row r="439" spans="1:3" x14ac:dyDescent="0.25">
      <c r="A439">
        <v>410470018011</v>
      </c>
      <c r="B439">
        <v>410470017032</v>
      </c>
      <c r="C439">
        <v>1.9259999999999999E-2</v>
      </c>
    </row>
    <row r="440" spans="1:3" x14ac:dyDescent="0.25">
      <c r="A440">
        <v>410470018011</v>
      </c>
      <c r="B440">
        <v>410470018011</v>
      </c>
      <c r="C440">
        <v>97.029257000000001</v>
      </c>
    </row>
    <row r="441" spans="1:3" x14ac:dyDescent="0.25">
      <c r="A441">
        <v>410470018011</v>
      </c>
      <c r="B441">
        <v>410470018012</v>
      </c>
      <c r="C441">
        <v>0.30466199999999999</v>
      </c>
    </row>
    <row r="442" spans="1:3" x14ac:dyDescent="0.25">
      <c r="A442">
        <v>410470018011</v>
      </c>
      <c r="B442">
        <v>410470018014</v>
      </c>
      <c r="C442">
        <v>6.3950999999999994E-2</v>
      </c>
    </row>
    <row r="443" spans="1:3" x14ac:dyDescent="0.25">
      <c r="A443">
        <v>410470018011</v>
      </c>
      <c r="B443">
        <v>410470018021</v>
      </c>
      <c r="C443">
        <v>1.7030000000000001E-3</v>
      </c>
    </row>
    <row r="444" spans="1:3" x14ac:dyDescent="0.25">
      <c r="A444">
        <v>410470018012</v>
      </c>
      <c r="B444">
        <v>410470010003</v>
      </c>
      <c r="C444">
        <v>8.8627079999999996</v>
      </c>
    </row>
    <row r="445" spans="1:3" x14ac:dyDescent="0.25">
      <c r="A445">
        <v>410470018012</v>
      </c>
      <c r="B445">
        <v>410470018011</v>
      </c>
      <c r="C445">
        <v>8.1800000000000004E-4</v>
      </c>
    </row>
    <row r="446" spans="1:3" x14ac:dyDescent="0.25">
      <c r="A446">
        <v>410470018012</v>
      </c>
      <c r="B446">
        <v>410470018012</v>
      </c>
      <c r="C446">
        <v>89.675413000000006</v>
      </c>
    </row>
    <row r="447" spans="1:3" x14ac:dyDescent="0.25">
      <c r="A447">
        <v>410470018012</v>
      </c>
      <c r="B447">
        <v>410470018014</v>
      </c>
      <c r="C447">
        <v>0.41403200000000001</v>
      </c>
    </row>
    <row r="448" spans="1:3" x14ac:dyDescent="0.25">
      <c r="A448">
        <v>410470018012</v>
      </c>
      <c r="B448">
        <v>410470018031</v>
      </c>
      <c r="C448">
        <v>0.158106</v>
      </c>
    </row>
    <row r="449" spans="1:3" x14ac:dyDescent="0.25">
      <c r="A449">
        <v>410470018012</v>
      </c>
      <c r="B449">
        <v>410470018032</v>
      </c>
      <c r="C449">
        <v>0.88892599999999999</v>
      </c>
    </row>
    <row r="450" spans="1:3" x14ac:dyDescent="0.25">
      <c r="A450">
        <v>410470018013</v>
      </c>
      <c r="B450">
        <v>410470018012</v>
      </c>
      <c r="C450">
        <v>3.4341330000000001</v>
      </c>
    </row>
    <row r="451" spans="1:3" x14ac:dyDescent="0.25">
      <c r="A451">
        <v>410470018013</v>
      </c>
      <c r="B451">
        <v>410470018013</v>
      </c>
      <c r="C451">
        <v>91.421407000000002</v>
      </c>
    </row>
    <row r="452" spans="1:3" x14ac:dyDescent="0.25">
      <c r="A452">
        <v>410470018013</v>
      </c>
      <c r="B452">
        <v>410470018014</v>
      </c>
      <c r="C452">
        <v>5.0872419999999998</v>
      </c>
    </row>
    <row r="453" spans="1:3" x14ac:dyDescent="0.25">
      <c r="A453">
        <v>410470018013</v>
      </c>
      <c r="B453">
        <v>410470018023</v>
      </c>
      <c r="C453">
        <v>5.7214000000000001E-2</v>
      </c>
    </row>
    <row r="454" spans="1:3" x14ac:dyDescent="0.25">
      <c r="A454">
        <v>410470018014</v>
      </c>
      <c r="B454">
        <v>410470018011</v>
      </c>
      <c r="C454">
        <v>1.707689</v>
      </c>
    </row>
    <row r="455" spans="1:3" x14ac:dyDescent="0.25">
      <c r="A455">
        <v>410470018014</v>
      </c>
      <c r="B455">
        <v>410470018012</v>
      </c>
      <c r="C455">
        <v>2.8366730000000002</v>
      </c>
    </row>
    <row r="456" spans="1:3" x14ac:dyDescent="0.25">
      <c r="A456">
        <v>410470018014</v>
      </c>
      <c r="B456">
        <v>410470018013</v>
      </c>
      <c r="C456">
        <v>3.7618279999999999</v>
      </c>
    </row>
    <row r="457" spans="1:3" x14ac:dyDescent="0.25">
      <c r="A457">
        <v>410470018014</v>
      </c>
      <c r="B457">
        <v>410470018014</v>
      </c>
      <c r="C457">
        <v>90.789360000000002</v>
      </c>
    </row>
    <row r="458" spans="1:3" x14ac:dyDescent="0.25">
      <c r="A458">
        <v>410470018014</v>
      </c>
      <c r="B458">
        <v>410470018022</v>
      </c>
      <c r="C458">
        <v>0.84819599999999995</v>
      </c>
    </row>
    <row r="459" spans="1:3" x14ac:dyDescent="0.25">
      <c r="A459">
        <v>410470018014</v>
      </c>
      <c r="B459">
        <v>410470018023</v>
      </c>
      <c r="C459">
        <v>5.6259999999999998E-2</v>
      </c>
    </row>
    <row r="460" spans="1:3" x14ac:dyDescent="0.25">
      <c r="A460">
        <v>410470018021</v>
      </c>
      <c r="B460">
        <v>410470017031</v>
      </c>
      <c r="C460">
        <v>6.1640000000000002E-3</v>
      </c>
    </row>
    <row r="461" spans="1:3" x14ac:dyDescent="0.25">
      <c r="A461">
        <v>410470018021</v>
      </c>
      <c r="B461">
        <v>410470018011</v>
      </c>
      <c r="C461">
        <v>0.12450600000000001</v>
      </c>
    </row>
    <row r="462" spans="1:3" x14ac:dyDescent="0.25">
      <c r="A462">
        <v>410470018021</v>
      </c>
      <c r="B462">
        <v>410470018021</v>
      </c>
      <c r="C462">
        <v>98.377303999999995</v>
      </c>
    </row>
    <row r="463" spans="1:3" x14ac:dyDescent="0.25">
      <c r="A463">
        <v>410470018021</v>
      </c>
      <c r="B463">
        <v>410470018022</v>
      </c>
      <c r="C463">
        <v>0.17286599999999999</v>
      </c>
    </row>
    <row r="464" spans="1:3" x14ac:dyDescent="0.25">
      <c r="A464">
        <v>410470018021</v>
      </c>
      <c r="B464">
        <v>410470018023</v>
      </c>
      <c r="C464">
        <v>0.16068099999999999</v>
      </c>
    </row>
    <row r="465" spans="1:3" x14ac:dyDescent="0.25">
      <c r="A465">
        <v>410470018021</v>
      </c>
      <c r="B465">
        <v>410470018024</v>
      </c>
      <c r="C465">
        <v>0.63315500000000002</v>
      </c>
    </row>
    <row r="466" spans="1:3" x14ac:dyDescent="0.25">
      <c r="A466">
        <v>410470018021</v>
      </c>
      <c r="B466">
        <v>410470018025</v>
      </c>
      <c r="C466">
        <v>0.52505299999999999</v>
      </c>
    </row>
    <row r="467" spans="1:3" x14ac:dyDescent="0.25">
      <c r="A467">
        <v>410470018022</v>
      </c>
      <c r="B467">
        <v>410470018011</v>
      </c>
      <c r="C467">
        <v>3.1923490000000001</v>
      </c>
    </row>
    <row r="468" spans="1:3" x14ac:dyDescent="0.25">
      <c r="A468">
        <v>410470018022</v>
      </c>
      <c r="B468">
        <v>410470018014</v>
      </c>
      <c r="C468">
        <v>0.17768400000000001</v>
      </c>
    </row>
    <row r="469" spans="1:3" x14ac:dyDescent="0.25">
      <c r="A469">
        <v>410470018022</v>
      </c>
      <c r="B469">
        <v>410470018022</v>
      </c>
      <c r="C469">
        <v>94.459641000000005</v>
      </c>
    </row>
    <row r="470" spans="1:3" x14ac:dyDescent="0.25">
      <c r="A470">
        <v>410470018022</v>
      </c>
      <c r="B470">
        <v>410470018023</v>
      </c>
      <c r="C470">
        <v>2.1703229999999998</v>
      </c>
    </row>
    <row r="471" spans="1:3" x14ac:dyDescent="0.25">
      <c r="A471">
        <v>410470018023</v>
      </c>
      <c r="B471">
        <v>410470018013</v>
      </c>
      <c r="C471">
        <v>7.6619590000000004</v>
      </c>
    </row>
    <row r="472" spans="1:3" x14ac:dyDescent="0.25">
      <c r="A472">
        <v>410470018023</v>
      </c>
      <c r="B472">
        <v>410470018022</v>
      </c>
      <c r="C472">
        <v>3.6936200000000001</v>
      </c>
    </row>
    <row r="473" spans="1:3" x14ac:dyDescent="0.25">
      <c r="A473">
        <v>410470018023</v>
      </c>
      <c r="B473">
        <v>410470018023</v>
      </c>
      <c r="C473">
        <v>86.126341999999994</v>
      </c>
    </row>
    <row r="474" spans="1:3" x14ac:dyDescent="0.25">
      <c r="A474">
        <v>410470018023</v>
      </c>
      <c r="B474">
        <v>410470018025</v>
      </c>
      <c r="C474">
        <v>2.518078</v>
      </c>
    </row>
    <row r="475" spans="1:3" x14ac:dyDescent="0.25">
      <c r="A475">
        <v>410470018024</v>
      </c>
      <c r="B475">
        <v>410470018012</v>
      </c>
      <c r="C475">
        <v>0.55266999999999999</v>
      </c>
    </row>
    <row r="476" spans="1:3" x14ac:dyDescent="0.25">
      <c r="A476">
        <v>410470018024</v>
      </c>
      <c r="B476">
        <v>410470018013</v>
      </c>
      <c r="C476">
        <v>0.71988099999999999</v>
      </c>
    </row>
    <row r="477" spans="1:3" x14ac:dyDescent="0.25">
      <c r="A477">
        <v>410470018024</v>
      </c>
      <c r="B477">
        <v>410470018024</v>
      </c>
      <c r="C477">
        <v>94.702293999999995</v>
      </c>
    </row>
    <row r="478" spans="1:3" x14ac:dyDescent="0.25">
      <c r="A478">
        <v>410470018024</v>
      </c>
      <c r="B478">
        <v>410470018025</v>
      </c>
      <c r="C478">
        <v>3.2917830000000001</v>
      </c>
    </row>
    <row r="479" spans="1:3" x14ac:dyDescent="0.25">
      <c r="A479">
        <v>410470018024</v>
      </c>
      <c r="B479">
        <v>410470018031</v>
      </c>
      <c r="C479">
        <v>0.733371</v>
      </c>
    </row>
    <row r="480" spans="1:3" x14ac:dyDescent="0.25">
      <c r="A480">
        <v>410470018025</v>
      </c>
      <c r="B480">
        <v>410470018013</v>
      </c>
      <c r="C480">
        <v>1.227805</v>
      </c>
    </row>
    <row r="481" spans="1:3" x14ac:dyDescent="0.25">
      <c r="A481">
        <v>410470018025</v>
      </c>
      <c r="B481">
        <v>410470018021</v>
      </c>
      <c r="C481">
        <v>0.92299600000000004</v>
      </c>
    </row>
    <row r="482" spans="1:3" x14ac:dyDescent="0.25">
      <c r="A482">
        <v>410470018025</v>
      </c>
      <c r="B482">
        <v>410470018023</v>
      </c>
      <c r="C482">
        <v>0.13352900000000001</v>
      </c>
    </row>
    <row r="483" spans="1:3" x14ac:dyDescent="0.25">
      <c r="A483">
        <v>410470018025</v>
      </c>
      <c r="B483">
        <v>410470018024</v>
      </c>
      <c r="C483">
        <v>6.1943890000000001</v>
      </c>
    </row>
    <row r="484" spans="1:3" x14ac:dyDescent="0.25">
      <c r="A484">
        <v>410470018025</v>
      </c>
      <c r="B484">
        <v>410470018025</v>
      </c>
      <c r="C484">
        <v>91.521282999999997</v>
      </c>
    </row>
    <row r="485" spans="1:3" x14ac:dyDescent="0.25">
      <c r="A485">
        <v>410470018031</v>
      </c>
      <c r="B485">
        <v>410470018024</v>
      </c>
      <c r="C485">
        <v>0.78576299999999999</v>
      </c>
    </row>
    <row r="486" spans="1:3" x14ac:dyDescent="0.25">
      <c r="A486">
        <v>410470018031</v>
      </c>
      <c r="B486">
        <v>410470018031</v>
      </c>
      <c r="C486">
        <v>92.226760999999996</v>
      </c>
    </row>
    <row r="487" spans="1:3" x14ac:dyDescent="0.25">
      <c r="A487">
        <v>410470018031</v>
      </c>
      <c r="B487">
        <v>410470018032</v>
      </c>
      <c r="C487">
        <v>4.8806659999999997</v>
      </c>
    </row>
    <row r="488" spans="1:3" x14ac:dyDescent="0.25">
      <c r="A488">
        <v>410470018031</v>
      </c>
      <c r="B488">
        <v>410470018033</v>
      </c>
      <c r="C488">
        <v>2.106811</v>
      </c>
    </row>
    <row r="489" spans="1:3" x14ac:dyDescent="0.25">
      <c r="A489">
        <v>410470018032</v>
      </c>
      <c r="B489">
        <v>410470010003</v>
      </c>
      <c r="C489">
        <v>1.383265</v>
      </c>
    </row>
    <row r="490" spans="1:3" x14ac:dyDescent="0.25">
      <c r="A490">
        <v>410470018032</v>
      </c>
      <c r="B490">
        <v>410470010004</v>
      </c>
      <c r="C490">
        <v>0.537219</v>
      </c>
    </row>
    <row r="491" spans="1:3" x14ac:dyDescent="0.25">
      <c r="A491">
        <v>410470018032</v>
      </c>
      <c r="B491">
        <v>410470018021</v>
      </c>
      <c r="C491">
        <v>0.35756300000000002</v>
      </c>
    </row>
    <row r="492" spans="1:3" x14ac:dyDescent="0.25">
      <c r="A492">
        <v>410470018032</v>
      </c>
      <c r="B492">
        <v>410470018024</v>
      </c>
      <c r="C492">
        <v>3.065E-3</v>
      </c>
    </row>
    <row r="493" spans="1:3" x14ac:dyDescent="0.25">
      <c r="A493">
        <v>410470018032</v>
      </c>
      <c r="B493">
        <v>410470018031</v>
      </c>
      <c r="C493">
        <v>5.8416000000000003E-2</v>
      </c>
    </row>
    <row r="494" spans="1:3" x14ac:dyDescent="0.25">
      <c r="A494">
        <v>410470018032</v>
      </c>
      <c r="B494">
        <v>410470018032</v>
      </c>
      <c r="C494">
        <v>73.880058000000005</v>
      </c>
    </row>
    <row r="495" spans="1:3" x14ac:dyDescent="0.25">
      <c r="A495">
        <v>410470018032</v>
      </c>
      <c r="B495">
        <v>410470018033</v>
      </c>
      <c r="C495">
        <v>22.805886000000001</v>
      </c>
    </row>
    <row r="496" spans="1:3" x14ac:dyDescent="0.25">
      <c r="A496">
        <v>410470018032</v>
      </c>
      <c r="B496">
        <v>410470020002</v>
      </c>
      <c r="C496">
        <v>0.40288600000000002</v>
      </c>
    </row>
    <row r="497" spans="1:3" x14ac:dyDescent="0.25">
      <c r="A497">
        <v>410470018032</v>
      </c>
      <c r="B497">
        <v>410470027001</v>
      </c>
      <c r="C497">
        <v>1.2602E-2</v>
      </c>
    </row>
    <row r="498" spans="1:3" x14ac:dyDescent="0.25">
      <c r="A498">
        <v>410470018032</v>
      </c>
      <c r="B498">
        <v>410470027003</v>
      </c>
      <c r="C498">
        <v>0.45261299999999999</v>
      </c>
    </row>
    <row r="499" spans="1:3" x14ac:dyDescent="0.25">
      <c r="A499">
        <v>410470018032</v>
      </c>
      <c r="B499">
        <v>410470027005</v>
      </c>
      <c r="C499">
        <v>0.10642500000000001</v>
      </c>
    </row>
    <row r="500" spans="1:3" x14ac:dyDescent="0.25">
      <c r="A500">
        <v>410470020011</v>
      </c>
      <c r="B500">
        <v>410470010004</v>
      </c>
      <c r="C500">
        <v>0.13528000000000001</v>
      </c>
    </row>
    <row r="501" spans="1:3" x14ac:dyDescent="0.25">
      <c r="A501">
        <v>410470020011</v>
      </c>
      <c r="B501">
        <v>410470011002</v>
      </c>
      <c r="C501">
        <v>2.598166</v>
      </c>
    </row>
    <row r="502" spans="1:3" x14ac:dyDescent="0.25">
      <c r="A502">
        <v>410470020011</v>
      </c>
      <c r="B502">
        <v>410470020001</v>
      </c>
      <c r="C502">
        <v>96.245422000000005</v>
      </c>
    </row>
    <row r="503" spans="1:3" x14ac:dyDescent="0.25">
      <c r="A503">
        <v>410470020011</v>
      </c>
      <c r="B503">
        <v>410470021002</v>
      </c>
      <c r="C503">
        <v>0.22629299999999999</v>
      </c>
    </row>
    <row r="504" spans="1:3" x14ac:dyDescent="0.25">
      <c r="A504">
        <v>410470020011</v>
      </c>
      <c r="B504">
        <v>410470021004</v>
      </c>
      <c r="C504">
        <v>0.79483999999999999</v>
      </c>
    </row>
    <row r="505" spans="1:3" x14ac:dyDescent="0.25">
      <c r="A505">
        <v>410470020012</v>
      </c>
      <c r="B505">
        <v>410470010004</v>
      </c>
      <c r="C505">
        <v>0.26139499999999999</v>
      </c>
    </row>
    <row r="506" spans="1:3" x14ac:dyDescent="0.25">
      <c r="A506">
        <v>410470020012</v>
      </c>
      <c r="B506">
        <v>410470020001</v>
      </c>
      <c r="C506">
        <v>99.303713000000002</v>
      </c>
    </row>
    <row r="507" spans="1:3" x14ac:dyDescent="0.25">
      <c r="A507">
        <v>410470020012</v>
      </c>
      <c r="B507">
        <v>410470020002</v>
      </c>
      <c r="C507">
        <v>8.3389000000000005E-2</v>
      </c>
    </row>
    <row r="508" spans="1:3" x14ac:dyDescent="0.25">
      <c r="A508">
        <v>410470020012</v>
      </c>
      <c r="B508">
        <v>410470021004</v>
      </c>
      <c r="C508">
        <v>1.4454E-2</v>
      </c>
    </row>
    <row r="509" spans="1:3" x14ac:dyDescent="0.25">
      <c r="A509">
        <v>410470020012</v>
      </c>
      <c r="B509">
        <v>410470023021</v>
      </c>
      <c r="C509">
        <v>0.33704899999999999</v>
      </c>
    </row>
    <row r="510" spans="1:3" x14ac:dyDescent="0.25">
      <c r="A510">
        <v>410470020021</v>
      </c>
      <c r="B510">
        <v>410470010004</v>
      </c>
      <c r="C510">
        <v>4.2864250000000004</v>
      </c>
    </row>
    <row r="511" spans="1:3" x14ac:dyDescent="0.25">
      <c r="A511">
        <v>410470020021</v>
      </c>
      <c r="B511">
        <v>410470018032</v>
      </c>
      <c r="C511">
        <v>4.0299000000000001E-2</v>
      </c>
    </row>
    <row r="512" spans="1:3" x14ac:dyDescent="0.25">
      <c r="A512">
        <v>410470020021</v>
      </c>
      <c r="B512">
        <v>410470020001</v>
      </c>
      <c r="C512">
        <v>2.4123869999999998</v>
      </c>
    </row>
    <row r="513" spans="1:3" x14ac:dyDescent="0.25">
      <c r="A513">
        <v>410470020021</v>
      </c>
      <c r="B513">
        <v>410470020002</v>
      </c>
      <c r="C513">
        <v>93.260887999999994</v>
      </c>
    </row>
    <row r="514" spans="1:3" x14ac:dyDescent="0.25">
      <c r="A514">
        <v>410470020022</v>
      </c>
      <c r="B514">
        <v>410470020001</v>
      </c>
      <c r="C514">
        <v>1.105156</v>
      </c>
    </row>
    <row r="515" spans="1:3" x14ac:dyDescent="0.25">
      <c r="A515">
        <v>410470020022</v>
      </c>
      <c r="B515">
        <v>410470020002</v>
      </c>
      <c r="C515">
        <v>98.628546</v>
      </c>
    </row>
    <row r="516" spans="1:3" x14ac:dyDescent="0.25">
      <c r="A516">
        <v>410470020022</v>
      </c>
      <c r="B516">
        <v>410470023021</v>
      </c>
      <c r="C516">
        <v>2.0599999999999999E-4</v>
      </c>
    </row>
    <row r="517" spans="1:3" x14ac:dyDescent="0.25">
      <c r="A517">
        <v>410470020022</v>
      </c>
      <c r="B517">
        <v>410470023025</v>
      </c>
      <c r="C517">
        <v>0.244141</v>
      </c>
    </row>
    <row r="518" spans="1:3" x14ac:dyDescent="0.25">
      <c r="A518">
        <v>410470020022</v>
      </c>
      <c r="B518">
        <v>410470028002</v>
      </c>
      <c r="C518">
        <v>2.1950999999999998E-2</v>
      </c>
    </row>
    <row r="519" spans="1:3" x14ac:dyDescent="0.25">
      <c r="A519">
        <v>410470021011</v>
      </c>
      <c r="B519">
        <v>410470011001</v>
      </c>
      <c r="C519">
        <v>0.12698000000000001</v>
      </c>
    </row>
    <row r="520" spans="1:3" x14ac:dyDescent="0.25">
      <c r="A520">
        <v>410470021011</v>
      </c>
      <c r="B520">
        <v>410470011002</v>
      </c>
      <c r="C520">
        <v>0.63366800000000001</v>
      </c>
    </row>
    <row r="521" spans="1:3" x14ac:dyDescent="0.25">
      <c r="A521">
        <v>410470021011</v>
      </c>
      <c r="B521">
        <v>410470013003</v>
      </c>
      <c r="C521">
        <v>0.173458</v>
      </c>
    </row>
    <row r="522" spans="1:3" x14ac:dyDescent="0.25">
      <c r="A522">
        <v>410470021011</v>
      </c>
      <c r="B522">
        <v>410470021001</v>
      </c>
      <c r="C522">
        <v>91.423805999999999</v>
      </c>
    </row>
    <row r="523" spans="1:3" x14ac:dyDescent="0.25">
      <c r="A523">
        <v>410470021011</v>
      </c>
      <c r="B523">
        <v>410470022001</v>
      </c>
      <c r="C523">
        <v>3.4310260000000001</v>
      </c>
    </row>
    <row r="524" spans="1:3" x14ac:dyDescent="0.25">
      <c r="A524">
        <v>410470021011</v>
      </c>
      <c r="B524">
        <v>410470022002</v>
      </c>
      <c r="C524">
        <v>4.2110620000000001</v>
      </c>
    </row>
    <row r="525" spans="1:3" x14ac:dyDescent="0.25">
      <c r="A525">
        <v>410470021012</v>
      </c>
      <c r="B525">
        <v>410470021001</v>
      </c>
      <c r="C525">
        <v>4.8510309999999999</v>
      </c>
    </row>
    <row r="526" spans="1:3" x14ac:dyDescent="0.25">
      <c r="A526">
        <v>410470021012</v>
      </c>
      <c r="B526">
        <v>410470021005</v>
      </c>
      <c r="C526">
        <v>91.373819999999995</v>
      </c>
    </row>
    <row r="527" spans="1:3" x14ac:dyDescent="0.25">
      <c r="A527">
        <v>410470021012</v>
      </c>
      <c r="B527">
        <v>410470022002</v>
      </c>
      <c r="C527">
        <v>3.7751489999999999</v>
      </c>
    </row>
    <row r="528" spans="1:3" x14ac:dyDescent="0.25">
      <c r="A528">
        <v>410470021021</v>
      </c>
      <c r="B528">
        <v>410470021002</v>
      </c>
      <c r="C528">
        <v>94.306415999999999</v>
      </c>
    </row>
    <row r="529" spans="1:3" x14ac:dyDescent="0.25">
      <c r="A529">
        <v>410470021021</v>
      </c>
      <c r="B529">
        <v>410470021005</v>
      </c>
      <c r="C529">
        <v>4.146255</v>
      </c>
    </row>
    <row r="530" spans="1:3" x14ac:dyDescent="0.25">
      <c r="A530">
        <v>410470021021</v>
      </c>
      <c r="B530">
        <v>410470022002</v>
      </c>
      <c r="C530">
        <v>9.5652000000000001E-2</v>
      </c>
    </row>
    <row r="531" spans="1:3" x14ac:dyDescent="0.25">
      <c r="A531">
        <v>410470021021</v>
      </c>
      <c r="B531">
        <v>410470022003</v>
      </c>
      <c r="C531">
        <v>1.451678</v>
      </c>
    </row>
    <row r="532" spans="1:3" x14ac:dyDescent="0.25">
      <c r="A532">
        <v>410470021022</v>
      </c>
      <c r="B532">
        <v>410470021002</v>
      </c>
      <c r="C532">
        <v>11.536027000000001</v>
      </c>
    </row>
    <row r="533" spans="1:3" x14ac:dyDescent="0.25">
      <c r="A533">
        <v>410470021022</v>
      </c>
      <c r="B533">
        <v>410470021006</v>
      </c>
      <c r="C533">
        <v>84.097759999999994</v>
      </c>
    </row>
    <row r="534" spans="1:3" x14ac:dyDescent="0.25">
      <c r="A534">
        <v>410470021022</v>
      </c>
      <c r="B534">
        <v>410470022003</v>
      </c>
      <c r="C534">
        <v>2.2730160000000001</v>
      </c>
    </row>
    <row r="535" spans="1:3" x14ac:dyDescent="0.25">
      <c r="A535">
        <v>410470021022</v>
      </c>
      <c r="B535">
        <v>410470022004</v>
      </c>
      <c r="C535">
        <v>2.0931950000000001</v>
      </c>
    </row>
    <row r="536" spans="1:3" x14ac:dyDescent="0.25">
      <c r="A536">
        <v>410470021023</v>
      </c>
      <c r="B536">
        <v>410470021003</v>
      </c>
      <c r="C536">
        <v>92.723093000000006</v>
      </c>
    </row>
    <row r="537" spans="1:3" x14ac:dyDescent="0.25">
      <c r="A537">
        <v>410470021023</v>
      </c>
      <c r="B537">
        <v>410470021006</v>
      </c>
      <c r="C537">
        <v>3.679554</v>
      </c>
    </row>
    <row r="538" spans="1:3" x14ac:dyDescent="0.25">
      <c r="A538">
        <v>410470021023</v>
      </c>
      <c r="B538">
        <v>410470022004</v>
      </c>
      <c r="C538">
        <v>3.5973579999999998</v>
      </c>
    </row>
    <row r="539" spans="1:3" x14ac:dyDescent="0.25">
      <c r="A539">
        <v>410470021024</v>
      </c>
      <c r="B539">
        <v>410470021002</v>
      </c>
      <c r="C539">
        <v>3.78085</v>
      </c>
    </row>
    <row r="540" spans="1:3" x14ac:dyDescent="0.25">
      <c r="A540">
        <v>410470021024</v>
      </c>
      <c r="B540">
        <v>410470021003</v>
      </c>
      <c r="C540">
        <v>1.307345</v>
      </c>
    </row>
    <row r="541" spans="1:3" x14ac:dyDescent="0.25">
      <c r="A541">
        <v>410470021024</v>
      </c>
      <c r="B541">
        <v>410470021004</v>
      </c>
      <c r="C541">
        <v>93.887647999999999</v>
      </c>
    </row>
    <row r="542" spans="1:3" x14ac:dyDescent="0.25">
      <c r="A542">
        <v>410470021024</v>
      </c>
      <c r="B542">
        <v>410470021006</v>
      </c>
      <c r="C542">
        <v>1.024154</v>
      </c>
    </row>
    <row r="543" spans="1:3" x14ac:dyDescent="0.25">
      <c r="A543">
        <v>410470022011</v>
      </c>
      <c r="B543">
        <v>410470013002</v>
      </c>
      <c r="C543">
        <v>2.3475090000000001</v>
      </c>
    </row>
    <row r="544" spans="1:3" x14ac:dyDescent="0.25">
      <c r="A544">
        <v>410470022011</v>
      </c>
      <c r="B544">
        <v>410470013003</v>
      </c>
      <c r="C544">
        <v>0.36019099999999998</v>
      </c>
    </row>
    <row r="545" spans="1:3" x14ac:dyDescent="0.25">
      <c r="A545">
        <v>410470022011</v>
      </c>
      <c r="B545">
        <v>410470022001</v>
      </c>
      <c r="C545">
        <v>96.204740000000001</v>
      </c>
    </row>
    <row r="546" spans="1:3" x14ac:dyDescent="0.25">
      <c r="A546">
        <v>410470022011</v>
      </c>
      <c r="B546">
        <v>410470022002</v>
      </c>
      <c r="C546">
        <v>1.3942E-2</v>
      </c>
    </row>
    <row r="547" spans="1:3" x14ac:dyDescent="0.25">
      <c r="A547">
        <v>410470022011</v>
      </c>
      <c r="B547">
        <v>410470024001</v>
      </c>
      <c r="C547">
        <v>1.073615</v>
      </c>
    </row>
    <row r="548" spans="1:3" x14ac:dyDescent="0.25">
      <c r="A548">
        <v>410470022012</v>
      </c>
      <c r="B548">
        <v>410470022001</v>
      </c>
      <c r="C548">
        <v>4.3925939999999999</v>
      </c>
    </row>
    <row r="549" spans="1:3" x14ac:dyDescent="0.25">
      <c r="A549">
        <v>410470022012</v>
      </c>
      <c r="B549">
        <v>410470022002</v>
      </c>
      <c r="C549">
        <v>95.607217000000006</v>
      </c>
    </row>
    <row r="550" spans="1:3" x14ac:dyDescent="0.25">
      <c r="A550">
        <v>410470022012</v>
      </c>
      <c r="B550">
        <v>410470022003</v>
      </c>
      <c r="C550">
        <v>1.9000000000000001E-4</v>
      </c>
    </row>
    <row r="551" spans="1:3" x14ac:dyDescent="0.25">
      <c r="A551">
        <v>410470022021</v>
      </c>
      <c r="B551">
        <v>410470022001</v>
      </c>
      <c r="C551">
        <v>0.56585399999999997</v>
      </c>
    </row>
    <row r="552" spans="1:3" x14ac:dyDescent="0.25">
      <c r="A552">
        <v>410470022021</v>
      </c>
      <c r="B552">
        <v>410470022002</v>
      </c>
      <c r="C552">
        <v>2.2530830000000002</v>
      </c>
    </row>
    <row r="553" spans="1:3" x14ac:dyDescent="0.25">
      <c r="A553">
        <v>410470022021</v>
      </c>
      <c r="B553">
        <v>410470022003</v>
      </c>
      <c r="C553">
        <v>95.270216000000005</v>
      </c>
    </row>
    <row r="554" spans="1:3" x14ac:dyDescent="0.25">
      <c r="A554">
        <v>410470022021</v>
      </c>
      <c r="B554">
        <v>410470022004</v>
      </c>
      <c r="C554">
        <v>0.18676000000000001</v>
      </c>
    </row>
    <row r="555" spans="1:3" x14ac:dyDescent="0.25">
      <c r="A555">
        <v>410470022021</v>
      </c>
      <c r="B555">
        <v>410470024001</v>
      </c>
      <c r="C555">
        <v>1.6838630000000001</v>
      </c>
    </row>
    <row r="556" spans="1:3" x14ac:dyDescent="0.25">
      <c r="A556">
        <v>410470022021</v>
      </c>
      <c r="B556">
        <v>410470024002</v>
      </c>
      <c r="C556">
        <v>4.0224999999999997E-2</v>
      </c>
    </row>
    <row r="557" spans="1:3" x14ac:dyDescent="0.25">
      <c r="A557">
        <v>410470022022</v>
      </c>
      <c r="B557">
        <v>410470022002</v>
      </c>
      <c r="C557">
        <v>93.837117000000006</v>
      </c>
    </row>
    <row r="558" spans="1:3" x14ac:dyDescent="0.25">
      <c r="A558">
        <v>410470022022</v>
      </c>
      <c r="B558">
        <v>410470022003</v>
      </c>
      <c r="C558">
        <v>6.162884</v>
      </c>
    </row>
    <row r="559" spans="1:3" x14ac:dyDescent="0.25">
      <c r="A559">
        <v>410470022023</v>
      </c>
      <c r="B559">
        <v>410470022003</v>
      </c>
      <c r="C559">
        <v>6.7184169999999996</v>
      </c>
    </row>
    <row r="560" spans="1:3" x14ac:dyDescent="0.25">
      <c r="A560">
        <v>410470022023</v>
      </c>
      <c r="B560">
        <v>410470022004</v>
      </c>
      <c r="C560">
        <v>93.061205999999999</v>
      </c>
    </row>
    <row r="561" spans="1:3" x14ac:dyDescent="0.25">
      <c r="A561">
        <v>410470022023</v>
      </c>
      <c r="B561">
        <v>410470023011</v>
      </c>
      <c r="C561">
        <v>0.12088500000000001</v>
      </c>
    </row>
    <row r="562" spans="1:3" x14ac:dyDescent="0.25">
      <c r="A562">
        <v>410470022023</v>
      </c>
      <c r="B562">
        <v>410470024002</v>
      </c>
      <c r="C562">
        <v>9.9491999999999997E-2</v>
      </c>
    </row>
    <row r="563" spans="1:3" x14ac:dyDescent="0.25">
      <c r="A563">
        <v>410470023011</v>
      </c>
      <c r="B563">
        <v>410470022004</v>
      </c>
      <c r="C563">
        <v>0.71350599999999997</v>
      </c>
    </row>
    <row r="564" spans="1:3" x14ac:dyDescent="0.25">
      <c r="A564">
        <v>410470023011</v>
      </c>
      <c r="B564">
        <v>410470023011</v>
      </c>
      <c r="C564">
        <v>95.212063000000001</v>
      </c>
    </row>
    <row r="565" spans="1:3" x14ac:dyDescent="0.25">
      <c r="A565">
        <v>410470023011</v>
      </c>
      <c r="B565">
        <v>410470023012</v>
      </c>
      <c r="C565">
        <v>2.297911</v>
      </c>
    </row>
    <row r="566" spans="1:3" x14ac:dyDescent="0.25">
      <c r="A566">
        <v>410470023011</v>
      </c>
      <c r="B566">
        <v>410470024002</v>
      </c>
      <c r="C566">
        <v>1.7765200000000001</v>
      </c>
    </row>
    <row r="567" spans="1:3" x14ac:dyDescent="0.25">
      <c r="A567">
        <v>410470023012</v>
      </c>
      <c r="B567">
        <v>410470023011</v>
      </c>
      <c r="C567">
        <v>0.70305099999999998</v>
      </c>
    </row>
    <row r="568" spans="1:3" x14ac:dyDescent="0.25">
      <c r="A568">
        <v>410470023012</v>
      </c>
      <c r="B568">
        <v>410470023012</v>
      </c>
      <c r="C568">
        <v>98.668861000000007</v>
      </c>
    </row>
    <row r="569" spans="1:3" x14ac:dyDescent="0.25">
      <c r="A569">
        <v>410470023012</v>
      </c>
      <c r="B569">
        <v>410470023024</v>
      </c>
      <c r="C569">
        <v>8.3975999999999995E-2</v>
      </c>
    </row>
    <row r="570" spans="1:3" x14ac:dyDescent="0.25">
      <c r="A570">
        <v>410470023012</v>
      </c>
      <c r="B570">
        <v>410470024002</v>
      </c>
      <c r="C570">
        <v>0.50464299999999995</v>
      </c>
    </row>
    <row r="571" spans="1:3" x14ac:dyDescent="0.25">
      <c r="A571">
        <v>410470023012</v>
      </c>
      <c r="B571">
        <v>410470028002</v>
      </c>
      <c r="C571">
        <v>3.9444E-2</v>
      </c>
    </row>
    <row r="572" spans="1:3" x14ac:dyDescent="0.25">
      <c r="A572">
        <v>410470023031</v>
      </c>
      <c r="B572">
        <v>410470021003</v>
      </c>
      <c r="C572">
        <v>0.92694600000000005</v>
      </c>
    </row>
    <row r="573" spans="1:3" x14ac:dyDescent="0.25">
      <c r="A573">
        <v>410470023031</v>
      </c>
      <c r="B573">
        <v>410470022004</v>
      </c>
      <c r="C573">
        <v>0.186223</v>
      </c>
    </row>
    <row r="574" spans="1:3" x14ac:dyDescent="0.25">
      <c r="A574">
        <v>410470023031</v>
      </c>
      <c r="B574">
        <v>410470023011</v>
      </c>
      <c r="C574">
        <v>0.88311099999999998</v>
      </c>
    </row>
    <row r="575" spans="1:3" x14ac:dyDescent="0.25">
      <c r="A575">
        <v>410470023031</v>
      </c>
      <c r="B575">
        <v>410470023012</v>
      </c>
      <c r="C575">
        <v>0.13761699999999999</v>
      </c>
    </row>
    <row r="576" spans="1:3" x14ac:dyDescent="0.25">
      <c r="A576">
        <v>410470023031</v>
      </c>
      <c r="B576">
        <v>410470023022</v>
      </c>
      <c r="C576">
        <v>1.657429</v>
      </c>
    </row>
    <row r="577" spans="1:3" x14ac:dyDescent="0.25">
      <c r="A577">
        <v>410470023031</v>
      </c>
      <c r="B577">
        <v>410470023023</v>
      </c>
      <c r="C577">
        <v>44.033313999999997</v>
      </c>
    </row>
    <row r="578" spans="1:3" x14ac:dyDescent="0.25">
      <c r="A578">
        <v>410470023031</v>
      </c>
      <c r="B578">
        <v>410470023024</v>
      </c>
      <c r="C578">
        <v>52.175359999999998</v>
      </c>
    </row>
    <row r="579" spans="1:3" x14ac:dyDescent="0.25">
      <c r="A579">
        <v>410470023032</v>
      </c>
      <c r="B579">
        <v>410470021003</v>
      </c>
      <c r="C579">
        <v>4.5520999999999999E-2</v>
      </c>
    </row>
    <row r="580" spans="1:3" x14ac:dyDescent="0.25">
      <c r="A580">
        <v>410470023032</v>
      </c>
      <c r="B580">
        <v>410470021004</v>
      </c>
      <c r="C580">
        <v>2.2273990000000001</v>
      </c>
    </row>
    <row r="581" spans="1:3" x14ac:dyDescent="0.25">
      <c r="A581">
        <v>410470023032</v>
      </c>
      <c r="B581">
        <v>410470023022</v>
      </c>
      <c r="C581">
        <v>95.681962999999996</v>
      </c>
    </row>
    <row r="582" spans="1:3" x14ac:dyDescent="0.25">
      <c r="A582">
        <v>410470023032</v>
      </c>
      <c r="B582">
        <v>410470023023</v>
      </c>
      <c r="C582">
        <v>1.5812280000000001</v>
      </c>
    </row>
    <row r="583" spans="1:3" x14ac:dyDescent="0.25">
      <c r="A583">
        <v>410470023032</v>
      </c>
      <c r="B583">
        <v>410470023024</v>
      </c>
      <c r="C583">
        <v>0.463889</v>
      </c>
    </row>
    <row r="584" spans="1:3" x14ac:dyDescent="0.25">
      <c r="A584">
        <v>410470023033</v>
      </c>
      <c r="B584">
        <v>410470021004</v>
      </c>
      <c r="C584">
        <v>1.1618919999999999</v>
      </c>
    </row>
    <row r="585" spans="1:3" x14ac:dyDescent="0.25">
      <c r="A585">
        <v>410470023033</v>
      </c>
      <c r="B585">
        <v>410470023021</v>
      </c>
      <c r="C585">
        <v>95.658803000000006</v>
      </c>
    </row>
    <row r="586" spans="1:3" x14ac:dyDescent="0.25">
      <c r="A586">
        <v>410470023033</v>
      </c>
      <c r="B586">
        <v>410470023022</v>
      </c>
      <c r="C586">
        <v>2.7231339999999999</v>
      </c>
    </row>
    <row r="587" spans="1:3" x14ac:dyDescent="0.25">
      <c r="A587">
        <v>410470023033</v>
      </c>
      <c r="B587">
        <v>410470023024</v>
      </c>
      <c r="C587">
        <v>0.45616899999999999</v>
      </c>
    </row>
    <row r="588" spans="1:3" x14ac:dyDescent="0.25">
      <c r="A588">
        <v>410470023041</v>
      </c>
      <c r="B588">
        <v>410470023012</v>
      </c>
      <c r="C588">
        <v>0.40468799999999999</v>
      </c>
    </row>
    <row r="589" spans="1:3" x14ac:dyDescent="0.25">
      <c r="A589">
        <v>410470023041</v>
      </c>
      <c r="B589">
        <v>410470023024</v>
      </c>
      <c r="C589">
        <v>98.341549999999998</v>
      </c>
    </row>
    <row r="590" spans="1:3" x14ac:dyDescent="0.25">
      <c r="A590">
        <v>410470023041</v>
      </c>
      <c r="B590">
        <v>410470023025</v>
      </c>
      <c r="C590">
        <v>4.1181000000000002E-2</v>
      </c>
    </row>
    <row r="591" spans="1:3" x14ac:dyDescent="0.25">
      <c r="A591">
        <v>410470023041</v>
      </c>
      <c r="B591">
        <v>410470028002</v>
      </c>
      <c r="C591">
        <v>1.21258</v>
      </c>
    </row>
    <row r="592" spans="1:3" x14ac:dyDescent="0.25">
      <c r="A592">
        <v>410470023042</v>
      </c>
      <c r="B592">
        <v>410470023021</v>
      </c>
      <c r="C592">
        <v>98.176449000000005</v>
      </c>
    </row>
    <row r="593" spans="1:3" x14ac:dyDescent="0.25">
      <c r="A593">
        <v>410470023042</v>
      </c>
      <c r="B593">
        <v>410470023024</v>
      </c>
      <c r="C593">
        <v>1.823556</v>
      </c>
    </row>
    <row r="594" spans="1:3" x14ac:dyDescent="0.25">
      <c r="A594">
        <v>410470023043</v>
      </c>
      <c r="B594">
        <v>410470020002</v>
      </c>
      <c r="C594">
        <v>0.12435499999999999</v>
      </c>
    </row>
    <row r="595" spans="1:3" x14ac:dyDescent="0.25">
      <c r="A595">
        <v>410470023043</v>
      </c>
      <c r="B595">
        <v>410470023021</v>
      </c>
      <c r="C595">
        <v>3.1841900000000001</v>
      </c>
    </row>
    <row r="596" spans="1:3" x14ac:dyDescent="0.25">
      <c r="A596">
        <v>410470023043</v>
      </c>
      <c r="B596">
        <v>410470023024</v>
      </c>
      <c r="C596">
        <v>0.66586999999999996</v>
      </c>
    </row>
    <row r="597" spans="1:3" x14ac:dyDescent="0.25">
      <c r="A597">
        <v>410470023043</v>
      </c>
      <c r="B597">
        <v>410470023025</v>
      </c>
      <c r="C597">
        <v>95.566175999999999</v>
      </c>
    </row>
    <row r="598" spans="1:3" x14ac:dyDescent="0.25">
      <c r="A598">
        <v>410470023043</v>
      </c>
      <c r="B598">
        <v>410470028002</v>
      </c>
      <c r="C598">
        <v>0.45940799999999998</v>
      </c>
    </row>
    <row r="599" spans="1:3" x14ac:dyDescent="0.25">
      <c r="A599">
        <v>410470023044</v>
      </c>
      <c r="B599">
        <v>410470023024</v>
      </c>
      <c r="C599">
        <v>3.1121020000000001</v>
      </c>
    </row>
    <row r="600" spans="1:3" x14ac:dyDescent="0.25">
      <c r="A600">
        <v>410470023044</v>
      </c>
      <c r="B600">
        <v>410470023025</v>
      </c>
      <c r="C600">
        <v>96.332834000000005</v>
      </c>
    </row>
    <row r="601" spans="1:3" x14ac:dyDescent="0.25">
      <c r="A601">
        <v>410470023044</v>
      </c>
      <c r="B601">
        <v>410470028002</v>
      </c>
      <c r="C601">
        <v>0.55506500000000003</v>
      </c>
    </row>
    <row r="602" spans="1:3" x14ac:dyDescent="0.25">
      <c r="A602">
        <v>410470024001</v>
      </c>
      <c r="B602">
        <v>410470013002</v>
      </c>
      <c r="C602">
        <v>0.49460199999999999</v>
      </c>
    </row>
    <row r="603" spans="1:3" x14ac:dyDescent="0.25">
      <c r="A603">
        <v>410470024001</v>
      </c>
      <c r="B603">
        <v>410470022001</v>
      </c>
      <c r="C603">
        <v>1.66E-4</v>
      </c>
    </row>
    <row r="604" spans="1:3" x14ac:dyDescent="0.25">
      <c r="A604">
        <v>410470024001</v>
      </c>
      <c r="B604">
        <v>410470022003</v>
      </c>
      <c r="C604">
        <v>9.6100000000000005E-4</v>
      </c>
    </row>
    <row r="605" spans="1:3" x14ac:dyDescent="0.25">
      <c r="A605">
        <v>410470024001</v>
      </c>
      <c r="B605">
        <v>410470024001</v>
      </c>
      <c r="C605">
        <v>98.710639999999998</v>
      </c>
    </row>
    <row r="606" spans="1:3" x14ac:dyDescent="0.25">
      <c r="A606">
        <v>410470024001</v>
      </c>
      <c r="B606">
        <v>410470024002</v>
      </c>
      <c r="C606">
        <v>0.79363099999999998</v>
      </c>
    </row>
    <row r="607" spans="1:3" x14ac:dyDescent="0.25">
      <c r="A607">
        <v>410470024002</v>
      </c>
      <c r="B607">
        <v>410470013002</v>
      </c>
      <c r="C607">
        <v>0.26255000000000001</v>
      </c>
    </row>
    <row r="608" spans="1:3" x14ac:dyDescent="0.25">
      <c r="A608">
        <v>410470024002</v>
      </c>
      <c r="B608">
        <v>410470022003</v>
      </c>
      <c r="C608">
        <v>2.5418E-2</v>
      </c>
    </row>
    <row r="609" spans="1:3" x14ac:dyDescent="0.25">
      <c r="A609">
        <v>410470024002</v>
      </c>
      <c r="B609">
        <v>410470022004</v>
      </c>
      <c r="C609">
        <v>4.9290000000000002E-3</v>
      </c>
    </row>
    <row r="610" spans="1:3" x14ac:dyDescent="0.25">
      <c r="A610">
        <v>410470024002</v>
      </c>
      <c r="B610">
        <v>410470023012</v>
      </c>
      <c r="C610">
        <v>4.0479000000000001E-2</v>
      </c>
    </row>
    <row r="611" spans="1:3" x14ac:dyDescent="0.25">
      <c r="A611">
        <v>410470024002</v>
      </c>
      <c r="B611">
        <v>410470024001</v>
      </c>
      <c r="C611">
        <v>0.15259900000000001</v>
      </c>
    </row>
    <row r="612" spans="1:3" x14ac:dyDescent="0.25">
      <c r="A612">
        <v>410470024002</v>
      </c>
      <c r="B612">
        <v>410470024002</v>
      </c>
      <c r="C612">
        <v>98.783258000000004</v>
      </c>
    </row>
    <row r="613" spans="1:3" x14ac:dyDescent="0.25">
      <c r="A613">
        <v>410470024002</v>
      </c>
      <c r="B613">
        <v>410470028001</v>
      </c>
      <c r="C613">
        <v>9.3134999999999996E-2</v>
      </c>
    </row>
    <row r="614" spans="1:3" x14ac:dyDescent="0.25">
      <c r="A614">
        <v>410470024002</v>
      </c>
      <c r="B614">
        <v>410470028002</v>
      </c>
      <c r="C614">
        <v>0.149371</v>
      </c>
    </row>
    <row r="615" spans="1:3" x14ac:dyDescent="0.25">
      <c r="A615">
        <v>410470024002</v>
      </c>
      <c r="B615">
        <v>410530052013</v>
      </c>
      <c r="C615">
        <v>0.187805</v>
      </c>
    </row>
    <row r="616" spans="1:3" x14ac:dyDescent="0.25">
      <c r="A616">
        <v>410470024002</v>
      </c>
      <c r="B616">
        <v>410530053003</v>
      </c>
      <c r="C616">
        <v>0.29468699999999998</v>
      </c>
    </row>
    <row r="617" spans="1:3" x14ac:dyDescent="0.25">
      <c r="A617">
        <v>410470025021</v>
      </c>
      <c r="B617">
        <v>410470014003</v>
      </c>
      <c r="C617">
        <v>0.100922</v>
      </c>
    </row>
    <row r="618" spans="1:3" x14ac:dyDescent="0.25">
      <c r="A618">
        <v>410470025021</v>
      </c>
      <c r="B618">
        <v>410470015011</v>
      </c>
      <c r="C618">
        <v>1.5041000000000001E-2</v>
      </c>
    </row>
    <row r="619" spans="1:3" x14ac:dyDescent="0.25">
      <c r="A619">
        <v>410470025021</v>
      </c>
      <c r="B619">
        <v>410470025001</v>
      </c>
      <c r="C619">
        <v>0.108276</v>
      </c>
    </row>
    <row r="620" spans="1:3" x14ac:dyDescent="0.25">
      <c r="A620">
        <v>410470025021</v>
      </c>
      <c r="B620">
        <v>410470025002</v>
      </c>
      <c r="C620">
        <v>99.688125999999997</v>
      </c>
    </row>
    <row r="621" spans="1:3" x14ac:dyDescent="0.25">
      <c r="A621">
        <v>410470025021</v>
      </c>
      <c r="B621">
        <v>410470025003</v>
      </c>
      <c r="C621">
        <v>1.2300000000000001E-4</v>
      </c>
    </row>
    <row r="622" spans="1:3" x14ac:dyDescent="0.25">
      <c r="A622">
        <v>410470025021</v>
      </c>
      <c r="B622">
        <v>410470025004</v>
      </c>
      <c r="C622">
        <v>5.3025000000000003E-2</v>
      </c>
    </row>
    <row r="623" spans="1:3" x14ac:dyDescent="0.25">
      <c r="A623">
        <v>410470025021</v>
      </c>
      <c r="B623">
        <v>410530053001</v>
      </c>
      <c r="C623">
        <v>1.9999999999999999E-6</v>
      </c>
    </row>
    <row r="624" spans="1:3" x14ac:dyDescent="0.25">
      <c r="A624">
        <v>410470025021</v>
      </c>
      <c r="B624">
        <v>410530053004</v>
      </c>
      <c r="C624">
        <v>3.3612000000000003E-2</v>
      </c>
    </row>
    <row r="625" spans="1:3" x14ac:dyDescent="0.25">
      <c r="A625">
        <v>410470025022</v>
      </c>
      <c r="B625">
        <v>410470016031</v>
      </c>
      <c r="C625">
        <v>0.17208499999999999</v>
      </c>
    </row>
    <row r="626" spans="1:3" x14ac:dyDescent="0.25">
      <c r="A626">
        <v>410470025022</v>
      </c>
      <c r="B626">
        <v>410470025001</v>
      </c>
      <c r="C626">
        <v>99.672443999999999</v>
      </c>
    </row>
    <row r="627" spans="1:3" x14ac:dyDescent="0.25">
      <c r="A627">
        <v>410470025022</v>
      </c>
      <c r="B627">
        <v>410470025002</v>
      </c>
      <c r="C627">
        <v>2.383E-2</v>
      </c>
    </row>
    <row r="628" spans="1:3" x14ac:dyDescent="0.25">
      <c r="A628">
        <v>410470025022</v>
      </c>
      <c r="B628">
        <v>410470025004</v>
      </c>
      <c r="C628">
        <v>1.0843999999999999E-2</v>
      </c>
    </row>
    <row r="629" spans="1:3" x14ac:dyDescent="0.25">
      <c r="A629">
        <v>410470025022</v>
      </c>
      <c r="B629">
        <v>410470026001</v>
      </c>
      <c r="C629">
        <v>0.11003400000000001</v>
      </c>
    </row>
    <row r="630" spans="1:3" x14ac:dyDescent="0.25">
      <c r="A630">
        <v>410470025023</v>
      </c>
      <c r="B630">
        <v>410470015011</v>
      </c>
      <c r="C630">
        <v>0.72936999999999996</v>
      </c>
    </row>
    <row r="631" spans="1:3" x14ac:dyDescent="0.25">
      <c r="A631">
        <v>410470025023</v>
      </c>
      <c r="B631">
        <v>410470015022</v>
      </c>
      <c r="C631">
        <v>0.82384000000000002</v>
      </c>
    </row>
    <row r="632" spans="1:3" x14ac:dyDescent="0.25">
      <c r="A632">
        <v>410470025023</v>
      </c>
      <c r="B632">
        <v>410470016031</v>
      </c>
      <c r="C632">
        <v>3.5490000000000001E-3</v>
      </c>
    </row>
    <row r="633" spans="1:3" x14ac:dyDescent="0.25">
      <c r="A633">
        <v>410470025023</v>
      </c>
      <c r="B633">
        <v>410470025001</v>
      </c>
      <c r="C633">
        <v>1.02308</v>
      </c>
    </row>
    <row r="634" spans="1:3" x14ac:dyDescent="0.25">
      <c r="A634">
        <v>410470025023</v>
      </c>
      <c r="B634">
        <v>410470025002</v>
      </c>
      <c r="C634">
        <v>0.29391699999999998</v>
      </c>
    </row>
    <row r="635" spans="1:3" x14ac:dyDescent="0.25">
      <c r="A635">
        <v>410470025023</v>
      </c>
      <c r="B635">
        <v>410470025004</v>
      </c>
      <c r="C635">
        <v>97.126244</v>
      </c>
    </row>
    <row r="636" spans="1:3" x14ac:dyDescent="0.25">
      <c r="A636">
        <v>410470025031</v>
      </c>
      <c r="B636">
        <v>410470025002</v>
      </c>
      <c r="C636">
        <v>94.396913999999995</v>
      </c>
    </row>
    <row r="637" spans="1:3" x14ac:dyDescent="0.25">
      <c r="A637">
        <v>410470025031</v>
      </c>
      <c r="B637">
        <v>410470025003</v>
      </c>
      <c r="C637">
        <v>5.6030899999999999</v>
      </c>
    </row>
    <row r="638" spans="1:3" x14ac:dyDescent="0.25">
      <c r="A638">
        <v>410470025032</v>
      </c>
      <c r="B638">
        <v>410470014003</v>
      </c>
      <c r="C638">
        <v>0.431365</v>
      </c>
    </row>
    <row r="639" spans="1:3" x14ac:dyDescent="0.25">
      <c r="A639">
        <v>410470025032</v>
      </c>
      <c r="B639">
        <v>410470025002</v>
      </c>
      <c r="C639">
        <v>0.89508299999999996</v>
      </c>
    </row>
    <row r="640" spans="1:3" x14ac:dyDescent="0.25">
      <c r="A640">
        <v>410470025032</v>
      </c>
      <c r="B640">
        <v>410470025003</v>
      </c>
      <c r="C640">
        <v>98.673551000000003</v>
      </c>
    </row>
    <row r="641" spans="1:3" x14ac:dyDescent="0.25">
      <c r="A641">
        <v>410470025033</v>
      </c>
      <c r="B641">
        <v>410470015011</v>
      </c>
      <c r="C641">
        <v>0.47383700000000001</v>
      </c>
    </row>
    <row r="642" spans="1:3" x14ac:dyDescent="0.25">
      <c r="A642">
        <v>410470025033</v>
      </c>
      <c r="B642">
        <v>410470015012</v>
      </c>
      <c r="C642">
        <v>0.32860699999999998</v>
      </c>
    </row>
    <row r="643" spans="1:3" x14ac:dyDescent="0.25">
      <c r="A643">
        <v>410470025033</v>
      </c>
      <c r="B643">
        <v>410470025002</v>
      </c>
      <c r="C643">
        <v>98.619846999999993</v>
      </c>
    </row>
    <row r="644" spans="1:3" x14ac:dyDescent="0.25">
      <c r="A644">
        <v>410470025033</v>
      </c>
      <c r="B644">
        <v>410470025003</v>
      </c>
      <c r="C644">
        <v>0.577708</v>
      </c>
    </row>
    <row r="645" spans="1:3" x14ac:dyDescent="0.25">
      <c r="A645">
        <v>410470025041</v>
      </c>
      <c r="B645">
        <v>410470025002</v>
      </c>
      <c r="C645">
        <v>100</v>
      </c>
    </row>
    <row r="646" spans="1:3" x14ac:dyDescent="0.25">
      <c r="A646">
        <v>410470025042</v>
      </c>
      <c r="B646">
        <v>410470025002</v>
      </c>
      <c r="C646">
        <v>99.999999000000003</v>
      </c>
    </row>
    <row r="647" spans="1:3" x14ac:dyDescent="0.25">
      <c r="A647">
        <v>410470025043</v>
      </c>
      <c r="B647">
        <v>410470025002</v>
      </c>
      <c r="C647">
        <v>100</v>
      </c>
    </row>
    <row r="648" spans="1:3" x14ac:dyDescent="0.25">
      <c r="A648">
        <v>410470026001</v>
      </c>
      <c r="B648">
        <v>410470016031</v>
      </c>
      <c r="C648">
        <v>15.446704</v>
      </c>
    </row>
    <row r="649" spans="1:3" x14ac:dyDescent="0.25">
      <c r="A649">
        <v>410470026001</v>
      </c>
      <c r="B649">
        <v>410470017031</v>
      </c>
      <c r="C649">
        <v>2.4640209999999998</v>
      </c>
    </row>
    <row r="650" spans="1:3" x14ac:dyDescent="0.25">
      <c r="A650">
        <v>410470026001</v>
      </c>
      <c r="B650">
        <v>410470018021</v>
      </c>
      <c r="C650">
        <v>0.93843600000000005</v>
      </c>
    </row>
    <row r="651" spans="1:3" x14ac:dyDescent="0.25">
      <c r="A651">
        <v>410470026001</v>
      </c>
      <c r="B651">
        <v>410470025001</v>
      </c>
      <c r="C651">
        <v>30.780819999999999</v>
      </c>
    </row>
    <row r="652" spans="1:3" x14ac:dyDescent="0.25">
      <c r="A652">
        <v>410470026001</v>
      </c>
      <c r="B652">
        <v>410470026001</v>
      </c>
      <c r="C652">
        <v>45.836568999999997</v>
      </c>
    </row>
    <row r="653" spans="1:3" x14ac:dyDescent="0.25">
      <c r="A653">
        <v>410470026001</v>
      </c>
      <c r="B653">
        <v>410470026002</v>
      </c>
      <c r="C653">
        <v>2.6921E-2</v>
      </c>
    </row>
    <row r="654" spans="1:3" x14ac:dyDescent="0.25">
      <c r="A654">
        <v>410470026002</v>
      </c>
      <c r="B654">
        <v>410470025001</v>
      </c>
      <c r="C654">
        <v>37.779940000000003</v>
      </c>
    </row>
    <row r="655" spans="1:3" x14ac:dyDescent="0.25">
      <c r="A655">
        <v>410470026002</v>
      </c>
      <c r="B655">
        <v>410470026002</v>
      </c>
      <c r="C655">
        <v>42.409533000000003</v>
      </c>
    </row>
    <row r="656" spans="1:3" x14ac:dyDescent="0.25">
      <c r="A656">
        <v>410470027011</v>
      </c>
      <c r="B656">
        <v>410470018032</v>
      </c>
      <c r="C656">
        <v>1.1366449999999999</v>
      </c>
    </row>
    <row r="657" spans="1:3" x14ac:dyDescent="0.25">
      <c r="A657">
        <v>410470027011</v>
      </c>
      <c r="B657">
        <v>410470018033</v>
      </c>
      <c r="C657">
        <v>0.63444299999999998</v>
      </c>
    </row>
    <row r="658" spans="1:3" x14ac:dyDescent="0.25">
      <c r="A658">
        <v>410470027011</v>
      </c>
      <c r="B658">
        <v>410470027001</v>
      </c>
      <c r="C658">
        <v>96.750951999999998</v>
      </c>
    </row>
    <row r="659" spans="1:3" x14ac:dyDescent="0.25">
      <c r="A659">
        <v>410470027011</v>
      </c>
      <c r="B659">
        <v>410470027002</v>
      </c>
      <c r="C659">
        <v>0.23238400000000001</v>
      </c>
    </row>
    <row r="660" spans="1:3" x14ac:dyDescent="0.25">
      <c r="A660">
        <v>410470027011</v>
      </c>
      <c r="B660">
        <v>410470027003</v>
      </c>
      <c r="C660">
        <v>5.1381999999999997E-2</v>
      </c>
    </row>
    <row r="661" spans="1:3" x14ac:dyDescent="0.25">
      <c r="A661">
        <v>410470027011</v>
      </c>
      <c r="B661">
        <v>410470027004</v>
      </c>
      <c r="C661">
        <v>0.58194900000000005</v>
      </c>
    </row>
    <row r="662" spans="1:3" x14ac:dyDescent="0.25">
      <c r="A662">
        <v>410470027011</v>
      </c>
      <c r="B662">
        <v>410470027005</v>
      </c>
      <c r="C662">
        <v>0.57925899999999997</v>
      </c>
    </row>
    <row r="663" spans="1:3" x14ac:dyDescent="0.25">
      <c r="A663">
        <v>410470027012</v>
      </c>
      <c r="B663">
        <v>410470027001</v>
      </c>
      <c r="C663">
        <v>0.78162600000000004</v>
      </c>
    </row>
    <row r="664" spans="1:3" x14ac:dyDescent="0.25">
      <c r="A664">
        <v>410470027012</v>
      </c>
      <c r="B664">
        <v>410470027002</v>
      </c>
      <c r="C664">
        <v>99.050224999999998</v>
      </c>
    </row>
    <row r="665" spans="1:3" x14ac:dyDescent="0.25">
      <c r="A665">
        <v>410470027012</v>
      </c>
      <c r="B665">
        <v>410470027003</v>
      </c>
      <c r="C665">
        <v>7.1542999999999995E-2</v>
      </c>
    </row>
    <row r="666" spans="1:3" x14ac:dyDescent="0.25">
      <c r="A666">
        <v>410470027013</v>
      </c>
      <c r="B666">
        <v>410470018032</v>
      </c>
      <c r="C666">
        <v>0.32760400000000001</v>
      </c>
    </row>
    <row r="667" spans="1:3" x14ac:dyDescent="0.25">
      <c r="A667">
        <v>410470027013</v>
      </c>
      <c r="B667">
        <v>410470020002</v>
      </c>
      <c r="C667">
        <v>1.90673</v>
      </c>
    </row>
    <row r="668" spans="1:3" x14ac:dyDescent="0.25">
      <c r="A668">
        <v>410470027013</v>
      </c>
      <c r="B668">
        <v>410470027002</v>
      </c>
      <c r="C668">
        <v>0.56392699999999996</v>
      </c>
    </row>
    <row r="669" spans="1:3" x14ac:dyDescent="0.25">
      <c r="A669">
        <v>410470027013</v>
      </c>
      <c r="B669">
        <v>410470027003</v>
      </c>
      <c r="C669">
        <v>97.172883999999996</v>
      </c>
    </row>
    <row r="670" spans="1:3" x14ac:dyDescent="0.25">
      <c r="A670">
        <v>410470027013</v>
      </c>
      <c r="B670">
        <v>410470028002</v>
      </c>
      <c r="C670">
        <v>4.1529999999999996E-3</v>
      </c>
    </row>
    <row r="671" spans="1:3" x14ac:dyDescent="0.25">
      <c r="A671">
        <v>410470027021</v>
      </c>
      <c r="B671">
        <v>410470027001</v>
      </c>
      <c r="C671">
        <v>2.8673000000000001E-2</v>
      </c>
    </row>
    <row r="672" spans="1:3" x14ac:dyDescent="0.25">
      <c r="A672">
        <v>410470027021</v>
      </c>
      <c r="B672">
        <v>410470027004</v>
      </c>
      <c r="C672">
        <v>97.576730999999995</v>
      </c>
    </row>
    <row r="673" spans="1:3" x14ac:dyDescent="0.25">
      <c r="A673">
        <v>410470027021</v>
      </c>
      <c r="B673">
        <v>410470027005</v>
      </c>
      <c r="C673">
        <v>1.830017</v>
      </c>
    </row>
    <row r="674" spans="1:3" x14ac:dyDescent="0.25">
      <c r="A674">
        <v>410470027022</v>
      </c>
      <c r="B674">
        <v>410470018021</v>
      </c>
      <c r="C674">
        <v>1.409518</v>
      </c>
    </row>
    <row r="675" spans="1:3" x14ac:dyDescent="0.25">
      <c r="A675">
        <v>410470027022</v>
      </c>
      <c r="B675">
        <v>410470026001</v>
      </c>
      <c r="C675">
        <v>0.162549</v>
      </c>
    </row>
    <row r="676" spans="1:3" x14ac:dyDescent="0.25">
      <c r="A676">
        <v>410470027022</v>
      </c>
      <c r="B676">
        <v>410470027001</v>
      </c>
      <c r="C676">
        <v>2.4020000000000001E-3</v>
      </c>
    </row>
    <row r="677" spans="1:3" x14ac:dyDescent="0.25">
      <c r="A677">
        <v>410470027022</v>
      </c>
      <c r="B677">
        <v>410470027004</v>
      </c>
      <c r="C677">
        <v>9.7670000000000007E-2</v>
      </c>
    </row>
    <row r="678" spans="1:3" x14ac:dyDescent="0.25">
      <c r="A678">
        <v>410470027022</v>
      </c>
      <c r="B678">
        <v>410470027005</v>
      </c>
      <c r="C678">
        <v>98.308604000000003</v>
      </c>
    </row>
    <row r="679" spans="1:3" x14ac:dyDescent="0.25">
      <c r="A679">
        <v>410470028001</v>
      </c>
      <c r="B679">
        <v>410470024002</v>
      </c>
      <c r="C679">
        <v>0.13506000000000001</v>
      </c>
    </row>
    <row r="680" spans="1:3" x14ac:dyDescent="0.25">
      <c r="A680">
        <v>410470028001</v>
      </c>
      <c r="B680">
        <v>410470028001</v>
      </c>
      <c r="C680">
        <v>99.484420999999998</v>
      </c>
    </row>
    <row r="681" spans="1:3" x14ac:dyDescent="0.25">
      <c r="A681">
        <v>410470028001</v>
      </c>
      <c r="B681">
        <v>410470028002</v>
      </c>
      <c r="C681">
        <v>0.15083199999999999</v>
      </c>
    </row>
    <row r="682" spans="1:3" x14ac:dyDescent="0.25">
      <c r="A682">
        <v>410470028001</v>
      </c>
      <c r="B682">
        <v>410470108022</v>
      </c>
      <c r="C682">
        <v>0.18223300000000001</v>
      </c>
    </row>
    <row r="683" spans="1:3" x14ac:dyDescent="0.25">
      <c r="A683">
        <v>410470028002</v>
      </c>
      <c r="B683">
        <v>410470020002</v>
      </c>
      <c r="C683">
        <v>0.14712500000000001</v>
      </c>
    </row>
    <row r="684" spans="1:3" x14ac:dyDescent="0.25">
      <c r="A684">
        <v>410470028002</v>
      </c>
      <c r="B684">
        <v>410470023012</v>
      </c>
      <c r="C684">
        <v>0.353265</v>
      </c>
    </row>
    <row r="685" spans="1:3" x14ac:dyDescent="0.25">
      <c r="A685">
        <v>410470028002</v>
      </c>
      <c r="B685">
        <v>410470023024</v>
      </c>
      <c r="C685">
        <v>0.49077799999999999</v>
      </c>
    </row>
    <row r="686" spans="1:3" x14ac:dyDescent="0.25">
      <c r="A686">
        <v>410470028002</v>
      </c>
      <c r="B686">
        <v>410470023025</v>
      </c>
      <c r="C686">
        <v>0.20780999999999999</v>
      </c>
    </row>
    <row r="687" spans="1:3" x14ac:dyDescent="0.25">
      <c r="A687">
        <v>410470028002</v>
      </c>
      <c r="B687">
        <v>410470027003</v>
      </c>
      <c r="C687">
        <v>3.176E-3</v>
      </c>
    </row>
    <row r="688" spans="1:3" x14ac:dyDescent="0.25">
      <c r="A688">
        <v>410470028002</v>
      </c>
      <c r="B688">
        <v>410470028001</v>
      </c>
      <c r="C688">
        <v>0.88443099999999997</v>
      </c>
    </row>
    <row r="689" spans="1:3" x14ac:dyDescent="0.25">
      <c r="A689">
        <v>410470028002</v>
      </c>
      <c r="B689">
        <v>410470028002</v>
      </c>
      <c r="C689">
        <v>97.900240999999994</v>
      </c>
    </row>
    <row r="690" spans="1:3" x14ac:dyDescent="0.25">
      <c r="A690">
        <v>410470108022</v>
      </c>
      <c r="B690">
        <v>410470028001</v>
      </c>
      <c r="C690">
        <v>29.712544999999999</v>
      </c>
    </row>
    <row r="691" spans="1:3" x14ac:dyDescent="0.25">
      <c r="A691">
        <v>410470108022</v>
      </c>
      <c r="B691">
        <v>410470108022</v>
      </c>
      <c r="C691">
        <v>63.327821</v>
      </c>
    </row>
    <row r="692" spans="1:3" x14ac:dyDescent="0.25">
      <c r="A692">
        <v>410530051001</v>
      </c>
      <c r="B692">
        <v>410530051001</v>
      </c>
      <c r="C692">
        <v>88.941537999999994</v>
      </c>
    </row>
    <row r="693" spans="1:3" x14ac:dyDescent="0.25">
      <c r="A693">
        <v>410530051001</v>
      </c>
      <c r="B693">
        <v>410530051002</v>
      </c>
      <c r="C693">
        <v>0.99489000000000005</v>
      </c>
    </row>
    <row r="694" spans="1:3" x14ac:dyDescent="0.25">
      <c r="A694">
        <v>410530051001</v>
      </c>
      <c r="B694">
        <v>410530052011</v>
      </c>
      <c r="C694">
        <v>6.550459</v>
      </c>
    </row>
    <row r="695" spans="1:3" x14ac:dyDescent="0.25">
      <c r="A695">
        <v>410530051001</v>
      </c>
      <c r="B695">
        <v>410530052013</v>
      </c>
      <c r="C695">
        <v>0.32310100000000003</v>
      </c>
    </row>
    <row r="696" spans="1:3" x14ac:dyDescent="0.25">
      <c r="A696">
        <v>410530051001</v>
      </c>
      <c r="B696">
        <v>410530052022</v>
      </c>
      <c r="C696">
        <v>3.190013</v>
      </c>
    </row>
    <row r="697" spans="1:3" x14ac:dyDescent="0.25">
      <c r="A697">
        <v>410530051002</v>
      </c>
      <c r="B697">
        <v>410530051002</v>
      </c>
      <c r="C697">
        <v>93.017138000000003</v>
      </c>
    </row>
    <row r="698" spans="1:3" x14ac:dyDescent="0.25">
      <c r="A698">
        <v>410530051002</v>
      </c>
      <c r="B698">
        <v>410530052011</v>
      </c>
      <c r="C698">
        <v>6.9828640000000002</v>
      </c>
    </row>
    <row r="699" spans="1:3" x14ac:dyDescent="0.25">
      <c r="A699">
        <v>410530052031</v>
      </c>
      <c r="B699">
        <v>410530051001</v>
      </c>
      <c r="C699">
        <v>4.7699999999999999E-4</v>
      </c>
    </row>
    <row r="700" spans="1:3" x14ac:dyDescent="0.25">
      <c r="A700">
        <v>410530052031</v>
      </c>
      <c r="B700">
        <v>410530051002</v>
      </c>
      <c r="C700">
        <v>1.639999</v>
      </c>
    </row>
    <row r="701" spans="1:3" x14ac:dyDescent="0.25">
      <c r="A701">
        <v>410530052031</v>
      </c>
      <c r="B701">
        <v>410530052011</v>
      </c>
      <c r="C701">
        <v>81.992808999999994</v>
      </c>
    </row>
    <row r="702" spans="1:3" x14ac:dyDescent="0.25">
      <c r="A702">
        <v>410530052031</v>
      </c>
      <c r="B702">
        <v>410530052012</v>
      </c>
      <c r="C702">
        <v>8.9850879999999993</v>
      </c>
    </row>
    <row r="703" spans="1:3" x14ac:dyDescent="0.25">
      <c r="A703">
        <v>410530052031</v>
      </c>
      <c r="B703">
        <v>410530052013</v>
      </c>
      <c r="C703">
        <v>2.189E-3</v>
      </c>
    </row>
    <row r="704" spans="1:3" x14ac:dyDescent="0.25">
      <c r="A704">
        <v>410530052031</v>
      </c>
      <c r="B704">
        <v>410530052021</v>
      </c>
      <c r="C704">
        <v>6.7762010000000004</v>
      </c>
    </row>
    <row r="705" spans="1:3" x14ac:dyDescent="0.25">
      <c r="A705">
        <v>410530052031</v>
      </c>
      <c r="B705">
        <v>410530052023</v>
      </c>
      <c r="C705">
        <v>0.60323300000000002</v>
      </c>
    </row>
    <row r="706" spans="1:3" x14ac:dyDescent="0.25">
      <c r="A706">
        <v>410530052032</v>
      </c>
      <c r="B706">
        <v>410530052012</v>
      </c>
      <c r="C706">
        <v>91.051254</v>
      </c>
    </row>
    <row r="707" spans="1:3" x14ac:dyDescent="0.25">
      <c r="A707">
        <v>410530052032</v>
      </c>
      <c r="B707">
        <v>410530052023</v>
      </c>
      <c r="C707">
        <v>3.8991929999999999</v>
      </c>
    </row>
    <row r="708" spans="1:3" x14ac:dyDescent="0.25">
      <c r="A708">
        <v>410530052032</v>
      </c>
      <c r="B708">
        <v>410530053001</v>
      </c>
      <c r="C708">
        <v>5.0495549999999998</v>
      </c>
    </row>
    <row r="709" spans="1:3" x14ac:dyDescent="0.25">
      <c r="A709">
        <v>410530052033</v>
      </c>
      <c r="B709">
        <v>410530052011</v>
      </c>
      <c r="C709">
        <v>0.54100599999999999</v>
      </c>
    </row>
    <row r="710" spans="1:3" x14ac:dyDescent="0.25">
      <c r="A710">
        <v>410530052033</v>
      </c>
      <c r="B710">
        <v>410530052012</v>
      </c>
      <c r="C710">
        <v>95.966774000000001</v>
      </c>
    </row>
    <row r="711" spans="1:3" x14ac:dyDescent="0.25">
      <c r="A711">
        <v>410530052033</v>
      </c>
      <c r="B711">
        <v>410530052023</v>
      </c>
      <c r="C711">
        <v>3.4922209999999998</v>
      </c>
    </row>
    <row r="712" spans="1:3" x14ac:dyDescent="0.25">
      <c r="A712">
        <v>410530052041</v>
      </c>
      <c r="B712">
        <v>410470013002</v>
      </c>
      <c r="C712">
        <v>3.839E-3</v>
      </c>
    </row>
    <row r="713" spans="1:3" x14ac:dyDescent="0.25">
      <c r="A713">
        <v>410530052041</v>
      </c>
      <c r="B713">
        <v>410470024002</v>
      </c>
      <c r="C713">
        <v>5.0900000000000001E-4</v>
      </c>
    </row>
    <row r="714" spans="1:3" x14ac:dyDescent="0.25">
      <c r="A714">
        <v>410530052041</v>
      </c>
      <c r="B714">
        <v>410530051001</v>
      </c>
      <c r="C714">
        <v>1.3424590000000001</v>
      </c>
    </row>
    <row r="715" spans="1:3" x14ac:dyDescent="0.25">
      <c r="A715">
        <v>410530052041</v>
      </c>
      <c r="B715">
        <v>410530051002</v>
      </c>
      <c r="C715">
        <v>0.377919</v>
      </c>
    </row>
    <row r="716" spans="1:3" x14ac:dyDescent="0.25">
      <c r="A716">
        <v>410530052041</v>
      </c>
      <c r="B716">
        <v>410530052011</v>
      </c>
      <c r="C716">
        <v>0.70288200000000001</v>
      </c>
    </row>
    <row r="717" spans="1:3" x14ac:dyDescent="0.25">
      <c r="A717">
        <v>410530052041</v>
      </c>
      <c r="B717">
        <v>410530052012</v>
      </c>
      <c r="C717">
        <v>1.6571050000000001</v>
      </c>
    </row>
    <row r="718" spans="1:3" x14ac:dyDescent="0.25">
      <c r="A718">
        <v>410530052041</v>
      </c>
      <c r="B718">
        <v>410530052013</v>
      </c>
      <c r="C718">
        <v>95.915287000000006</v>
      </c>
    </row>
    <row r="719" spans="1:3" x14ac:dyDescent="0.25">
      <c r="A719">
        <v>410530052042</v>
      </c>
      <c r="B719">
        <v>410470024002</v>
      </c>
      <c r="C719">
        <v>7.9769999999999997E-3</v>
      </c>
    </row>
    <row r="720" spans="1:3" x14ac:dyDescent="0.25">
      <c r="A720">
        <v>410530052042</v>
      </c>
      <c r="B720">
        <v>410530052012</v>
      </c>
      <c r="C720">
        <v>3.1763859999999999</v>
      </c>
    </row>
    <row r="721" spans="1:3" x14ac:dyDescent="0.25">
      <c r="A721">
        <v>410530052042</v>
      </c>
      <c r="B721">
        <v>410530052013</v>
      </c>
      <c r="C721">
        <v>93.947761</v>
      </c>
    </row>
    <row r="722" spans="1:3" x14ac:dyDescent="0.25">
      <c r="A722">
        <v>410530052042</v>
      </c>
      <c r="B722">
        <v>410530053001</v>
      </c>
      <c r="C722">
        <v>2.8652980000000001</v>
      </c>
    </row>
    <row r="723" spans="1:3" x14ac:dyDescent="0.25">
      <c r="A723">
        <v>410530052051</v>
      </c>
      <c r="B723">
        <v>410530052021</v>
      </c>
      <c r="C723">
        <v>92.250555000000006</v>
      </c>
    </row>
    <row r="724" spans="1:3" x14ac:dyDescent="0.25">
      <c r="A724">
        <v>410530052051</v>
      </c>
      <c r="B724">
        <v>410530052022</v>
      </c>
      <c r="C724">
        <v>0.31769799999999998</v>
      </c>
    </row>
    <row r="725" spans="1:3" x14ac:dyDescent="0.25">
      <c r="A725">
        <v>410530052051</v>
      </c>
      <c r="B725">
        <v>410530052023</v>
      </c>
      <c r="C725">
        <v>5.261495</v>
      </c>
    </row>
    <row r="726" spans="1:3" x14ac:dyDescent="0.25">
      <c r="A726">
        <v>410530052051</v>
      </c>
      <c r="B726">
        <v>410530052024</v>
      </c>
      <c r="C726">
        <v>2.1702530000000002</v>
      </c>
    </row>
    <row r="727" spans="1:3" x14ac:dyDescent="0.25">
      <c r="A727">
        <v>410530052052</v>
      </c>
      <c r="B727">
        <v>410530052021</v>
      </c>
      <c r="C727">
        <v>8.9774999999999994E-2</v>
      </c>
    </row>
    <row r="728" spans="1:3" x14ac:dyDescent="0.25">
      <c r="A728">
        <v>410530052052</v>
      </c>
      <c r="B728">
        <v>410530052023</v>
      </c>
      <c r="C728">
        <v>97.360727999999995</v>
      </c>
    </row>
    <row r="729" spans="1:3" x14ac:dyDescent="0.25">
      <c r="A729">
        <v>410530052052</v>
      </c>
      <c r="B729">
        <v>410530052024</v>
      </c>
      <c r="C729">
        <v>1.9041870000000001</v>
      </c>
    </row>
    <row r="730" spans="1:3" x14ac:dyDescent="0.25">
      <c r="A730">
        <v>410530052052</v>
      </c>
      <c r="B730">
        <v>410530053001</v>
      </c>
      <c r="C730">
        <v>0.64530799999999999</v>
      </c>
    </row>
    <row r="731" spans="1:3" x14ac:dyDescent="0.25">
      <c r="A731">
        <v>410530052053</v>
      </c>
      <c r="B731">
        <v>410530052021</v>
      </c>
      <c r="C731">
        <v>0.69664099999999995</v>
      </c>
    </row>
    <row r="732" spans="1:3" x14ac:dyDescent="0.25">
      <c r="A732">
        <v>410530052053</v>
      </c>
      <c r="B732">
        <v>410530052022</v>
      </c>
      <c r="C732">
        <v>0.19284599999999999</v>
      </c>
    </row>
    <row r="733" spans="1:3" x14ac:dyDescent="0.25">
      <c r="A733">
        <v>410530052053</v>
      </c>
      <c r="B733">
        <v>410530052023</v>
      </c>
      <c r="C733">
        <v>0.47781099999999999</v>
      </c>
    </row>
    <row r="734" spans="1:3" x14ac:dyDescent="0.25">
      <c r="A734">
        <v>410530052053</v>
      </c>
      <c r="B734">
        <v>410530052024</v>
      </c>
      <c r="C734">
        <v>96.411672999999993</v>
      </c>
    </row>
    <row r="735" spans="1:3" x14ac:dyDescent="0.25">
      <c r="A735">
        <v>410530052053</v>
      </c>
      <c r="B735">
        <v>410530053001</v>
      </c>
      <c r="C735">
        <v>1.6627860000000001</v>
      </c>
    </row>
    <row r="736" spans="1:3" x14ac:dyDescent="0.25">
      <c r="A736">
        <v>410530052053</v>
      </c>
      <c r="B736">
        <v>410530053002</v>
      </c>
      <c r="C736">
        <v>0.55824399999999996</v>
      </c>
    </row>
    <row r="737" spans="1:3" x14ac:dyDescent="0.25">
      <c r="A737">
        <v>410530052061</v>
      </c>
      <c r="B737">
        <v>410470003003</v>
      </c>
      <c r="C737">
        <v>2.3314689999999998</v>
      </c>
    </row>
    <row r="738" spans="1:3" x14ac:dyDescent="0.25">
      <c r="A738">
        <v>410530052061</v>
      </c>
      <c r="B738">
        <v>410470004002</v>
      </c>
      <c r="C738">
        <v>0.21151500000000001</v>
      </c>
    </row>
    <row r="739" spans="1:3" x14ac:dyDescent="0.25">
      <c r="A739">
        <v>410530052061</v>
      </c>
      <c r="B739">
        <v>410470014002</v>
      </c>
      <c r="C739">
        <v>1.03E-4</v>
      </c>
    </row>
    <row r="740" spans="1:3" x14ac:dyDescent="0.25">
      <c r="A740">
        <v>410530052061</v>
      </c>
      <c r="B740">
        <v>410530051001</v>
      </c>
      <c r="C740">
        <v>0.17882500000000001</v>
      </c>
    </row>
    <row r="741" spans="1:3" x14ac:dyDescent="0.25">
      <c r="A741">
        <v>410530052061</v>
      </c>
      <c r="B741">
        <v>410530052011</v>
      </c>
      <c r="C741">
        <v>4.9945999999999997E-2</v>
      </c>
    </row>
    <row r="742" spans="1:3" x14ac:dyDescent="0.25">
      <c r="A742">
        <v>410530052061</v>
      </c>
      <c r="B742">
        <v>410530052021</v>
      </c>
      <c r="C742">
        <v>0.408495</v>
      </c>
    </row>
    <row r="743" spans="1:3" x14ac:dyDescent="0.25">
      <c r="A743">
        <v>410530052061</v>
      </c>
      <c r="B743">
        <v>410530052022</v>
      </c>
      <c r="C743">
        <v>95.846806999999998</v>
      </c>
    </row>
    <row r="744" spans="1:3" x14ac:dyDescent="0.25">
      <c r="A744">
        <v>410530052061</v>
      </c>
      <c r="B744">
        <v>410530052024</v>
      </c>
      <c r="C744">
        <v>3.8516000000000002E-2</v>
      </c>
    </row>
    <row r="745" spans="1:3" x14ac:dyDescent="0.25">
      <c r="A745">
        <v>410530052061</v>
      </c>
      <c r="B745">
        <v>410530053002</v>
      </c>
      <c r="C745">
        <v>0.93432300000000001</v>
      </c>
    </row>
    <row r="746" spans="1:3" x14ac:dyDescent="0.25">
      <c r="A746">
        <v>410530053011</v>
      </c>
      <c r="B746">
        <v>410530052012</v>
      </c>
      <c r="C746">
        <v>5.6400000000000005E-4</v>
      </c>
    </row>
    <row r="747" spans="1:3" x14ac:dyDescent="0.25">
      <c r="A747">
        <v>410530053011</v>
      </c>
      <c r="B747">
        <v>410530052023</v>
      </c>
      <c r="C747">
        <v>7.1339999999999997E-3</v>
      </c>
    </row>
    <row r="748" spans="1:3" x14ac:dyDescent="0.25">
      <c r="A748">
        <v>410530053011</v>
      </c>
      <c r="B748">
        <v>410530052024</v>
      </c>
      <c r="C748">
        <v>2.8800000000000002E-3</v>
      </c>
    </row>
    <row r="749" spans="1:3" x14ac:dyDescent="0.25">
      <c r="A749">
        <v>410530053011</v>
      </c>
      <c r="B749">
        <v>410530053001</v>
      </c>
      <c r="C749">
        <v>99.989422000000005</v>
      </c>
    </row>
    <row r="750" spans="1:3" x14ac:dyDescent="0.25">
      <c r="A750">
        <v>410530053012</v>
      </c>
      <c r="B750">
        <v>410470014002</v>
      </c>
      <c r="C750">
        <v>0.334816</v>
      </c>
    </row>
    <row r="751" spans="1:3" x14ac:dyDescent="0.25">
      <c r="A751">
        <v>410530053012</v>
      </c>
      <c r="B751">
        <v>410470014003</v>
      </c>
      <c r="C751">
        <v>2.6400000000000002E-4</v>
      </c>
    </row>
    <row r="752" spans="1:3" x14ac:dyDescent="0.25">
      <c r="A752">
        <v>410530053012</v>
      </c>
      <c r="B752">
        <v>410470014004</v>
      </c>
      <c r="C752">
        <v>0.29657</v>
      </c>
    </row>
    <row r="753" spans="1:3" x14ac:dyDescent="0.25">
      <c r="A753">
        <v>410530053012</v>
      </c>
      <c r="B753">
        <v>410530052022</v>
      </c>
      <c r="C753">
        <v>0.33646300000000001</v>
      </c>
    </row>
    <row r="754" spans="1:3" x14ac:dyDescent="0.25">
      <c r="A754">
        <v>410530053012</v>
      </c>
      <c r="B754">
        <v>410530052024</v>
      </c>
      <c r="C754">
        <v>2.4712000000000001E-2</v>
      </c>
    </row>
    <row r="755" spans="1:3" x14ac:dyDescent="0.25">
      <c r="A755">
        <v>410530053012</v>
      </c>
      <c r="B755">
        <v>410530053001</v>
      </c>
      <c r="C755">
        <v>1.649891</v>
      </c>
    </row>
    <row r="756" spans="1:3" x14ac:dyDescent="0.25">
      <c r="A756">
        <v>410530053012</v>
      </c>
      <c r="B756">
        <v>410530053002</v>
      </c>
      <c r="C756">
        <v>97.357285000000005</v>
      </c>
    </row>
    <row r="757" spans="1:3" x14ac:dyDescent="0.25">
      <c r="A757">
        <v>410530053013</v>
      </c>
      <c r="B757">
        <v>410470014003</v>
      </c>
      <c r="C757">
        <v>7.3737999999999998E-2</v>
      </c>
    </row>
    <row r="758" spans="1:3" x14ac:dyDescent="0.25">
      <c r="A758">
        <v>410530053013</v>
      </c>
      <c r="B758">
        <v>410530052024</v>
      </c>
      <c r="C758">
        <v>4.326E-3</v>
      </c>
    </row>
    <row r="759" spans="1:3" x14ac:dyDescent="0.25">
      <c r="A759">
        <v>410530053013</v>
      </c>
      <c r="B759">
        <v>410530053001</v>
      </c>
      <c r="C759">
        <v>99.155810000000002</v>
      </c>
    </row>
    <row r="760" spans="1:3" x14ac:dyDescent="0.25">
      <c r="A760">
        <v>410530053013</v>
      </c>
      <c r="B760">
        <v>410530053002</v>
      </c>
      <c r="C760">
        <v>0.47408899999999998</v>
      </c>
    </row>
    <row r="761" spans="1:3" x14ac:dyDescent="0.25">
      <c r="A761">
        <v>410530053013</v>
      </c>
      <c r="B761">
        <v>410530053004</v>
      </c>
      <c r="C761">
        <v>0.29203699999999999</v>
      </c>
    </row>
    <row r="762" spans="1:3" x14ac:dyDescent="0.25">
      <c r="A762">
        <v>410530053014</v>
      </c>
      <c r="B762">
        <v>410530052013</v>
      </c>
      <c r="C762">
        <v>5.6152000000000001E-2</v>
      </c>
    </row>
    <row r="763" spans="1:3" x14ac:dyDescent="0.25">
      <c r="A763">
        <v>410530053014</v>
      </c>
      <c r="B763">
        <v>410530053001</v>
      </c>
      <c r="C763">
        <v>99.331607000000005</v>
      </c>
    </row>
    <row r="764" spans="1:3" x14ac:dyDescent="0.25">
      <c r="A764">
        <v>410530053014</v>
      </c>
      <c r="B764">
        <v>410530053003</v>
      </c>
      <c r="C764">
        <v>4.8098000000000002E-2</v>
      </c>
    </row>
    <row r="765" spans="1:3" x14ac:dyDescent="0.25">
      <c r="A765">
        <v>410530053014</v>
      </c>
      <c r="B765">
        <v>410530053004</v>
      </c>
      <c r="C765">
        <v>0.55391900000000005</v>
      </c>
    </row>
    <row r="766" spans="1:3" x14ac:dyDescent="0.25">
      <c r="A766">
        <v>410530053021</v>
      </c>
      <c r="B766">
        <v>410470024002</v>
      </c>
      <c r="C766">
        <v>2.7894860000000001</v>
      </c>
    </row>
    <row r="767" spans="1:3" x14ac:dyDescent="0.25">
      <c r="A767">
        <v>410530053021</v>
      </c>
      <c r="B767">
        <v>410530052013</v>
      </c>
      <c r="C767">
        <v>0.29896</v>
      </c>
    </row>
    <row r="768" spans="1:3" x14ac:dyDescent="0.25">
      <c r="A768">
        <v>410530053021</v>
      </c>
      <c r="B768">
        <v>410530053001</v>
      </c>
      <c r="C768">
        <v>2.4761039999999999</v>
      </c>
    </row>
    <row r="769" spans="1:3" x14ac:dyDescent="0.25">
      <c r="A769">
        <v>410530053021</v>
      </c>
      <c r="B769">
        <v>410530053003</v>
      </c>
      <c r="C769">
        <v>91.925195000000002</v>
      </c>
    </row>
    <row r="770" spans="1:3" x14ac:dyDescent="0.25">
      <c r="A770">
        <v>410530053021</v>
      </c>
      <c r="B770">
        <v>410530053004</v>
      </c>
      <c r="C770">
        <v>2.3930750000000001</v>
      </c>
    </row>
    <row r="771" spans="1:3" x14ac:dyDescent="0.25">
      <c r="A771">
        <v>410530053022</v>
      </c>
      <c r="B771">
        <v>410530053001</v>
      </c>
      <c r="C771">
        <v>0.89013299999999995</v>
      </c>
    </row>
    <row r="772" spans="1:3" x14ac:dyDescent="0.25">
      <c r="A772">
        <v>410530053022</v>
      </c>
      <c r="B772">
        <v>410530053003</v>
      </c>
      <c r="C772">
        <v>0.103134</v>
      </c>
    </row>
    <row r="773" spans="1:3" x14ac:dyDescent="0.25">
      <c r="A773">
        <v>410530053022</v>
      </c>
      <c r="B773">
        <v>410530053004</v>
      </c>
      <c r="C773">
        <v>99.002930000000006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A2AD-7D4E-487C-AF4E-DAED1F1ACBA4}">
  <dimension ref="A1:C622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28.5703125" customWidth="1"/>
    <col min="3" max="3" width="11.85546875" bestFit="1" customWidth="1"/>
  </cols>
  <sheetData>
    <row r="1" spans="1:3" x14ac:dyDescent="0.25">
      <c r="A1" t="s">
        <v>11</v>
      </c>
      <c r="B1" t="s">
        <v>21</v>
      </c>
      <c r="C1" t="s">
        <v>17</v>
      </c>
    </row>
    <row r="2" spans="1:3" x14ac:dyDescent="0.25">
      <c r="A2">
        <v>31</v>
      </c>
      <c r="B2" t="s">
        <v>22</v>
      </c>
      <c r="C2">
        <v>0.99809197999999999</v>
      </c>
    </row>
    <row r="3" spans="1:3" x14ac:dyDescent="0.25">
      <c r="A3">
        <v>31</v>
      </c>
      <c r="B3" t="s">
        <v>23</v>
      </c>
      <c r="C3">
        <v>1.9080200000000001E-3</v>
      </c>
    </row>
    <row r="4" spans="1:3" x14ac:dyDescent="0.25">
      <c r="A4">
        <v>32</v>
      </c>
      <c r="B4" t="s">
        <v>22</v>
      </c>
      <c r="C4">
        <v>0.99852118000000001</v>
      </c>
    </row>
    <row r="5" spans="1:3" x14ac:dyDescent="0.25">
      <c r="A5">
        <v>32</v>
      </c>
      <c r="B5" t="s">
        <v>24</v>
      </c>
      <c r="C5">
        <v>7.5234999999999994E-4</v>
      </c>
    </row>
    <row r="6" spans="1:3" x14ac:dyDescent="0.25">
      <c r="A6">
        <v>32</v>
      </c>
      <c r="B6" t="s">
        <v>23</v>
      </c>
      <c r="C6">
        <v>7.2647E-4</v>
      </c>
    </row>
    <row r="7" spans="1:3" x14ac:dyDescent="0.25">
      <c r="A7">
        <v>33</v>
      </c>
      <c r="B7" t="s">
        <v>22</v>
      </c>
      <c r="C7">
        <v>0.82044813999999999</v>
      </c>
    </row>
    <row r="8" spans="1:3" x14ac:dyDescent="0.25">
      <c r="A8">
        <v>33</v>
      </c>
      <c r="B8" t="s">
        <v>23</v>
      </c>
      <c r="C8">
        <v>0.17955186000000001</v>
      </c>
    </row>
    <row r="9" spans="1:3" x14ac:dyDescent="0.25">
      <c r="A9">
        <v>34</v>
      </c>
      <c r="B9" t="s">
        <v>22</v>
      </c>
      <c r="C9">
        <v>0.99980148999999996</v>
      </c>
    </row>
    <row r="10" spans="1:3" x14ac:dyDescent="0.25">
      <c r="A10">
        <v>34</v>
      </c>
      <c r="B10" t="s">
        <v>24</v>
      </c>
      <c r="C10">
        <v>1.6061E-4</v>
      </c>
    </row>
    <row r="11" spans="1:3" x14ac:dyDescent="0.25">
      <c r="A11">
        <v>34</v>
      </c>
      <c r="B11" t="s">
        <v>23</v>
      </c>
      <c r="C11">
        <v>3.7910000000000001E-5</v>
      </c>
    </row>
    <row r="12" spans="1:3" x14ac:dyDescent="0.25">
      <c r="A12">
        <v>35</v>
      </c>
      <c r="B12" t="s">
        <v>22</v>
      </c>
      <c r="C12">
        <v>0.99914624000000007</v>
      </c>
    </row>
    <row r="13" spans="1:3" x14ac:dyDescent="0.25">
      <c r="A13">
        <v>35</v>
      </c>
      <c r="B13" t="s">
        <v>23</v>
      </c>
      <c r="C13">
        <v>8.537699999999999E-4</v>
      </c>
    </row>
    <row r="14" spans="1:3" x14ac:dyDescent="0.25">
      <c r="A14">
        <v>36</v>
      </c>
      <c r="B14" t="s">
        <v>22</v>
      </c>
      <c r="C14">
        <v>0.9984048900000001</v>
      </c>
    </row>
    <row r="15" spans="1:3" x14ac:dyDescent="0.25">
      <c r="A15">
        <v>36</v>
      </c>
      <c r="B15" t="s">
        <v>23</v>
      </c>
      <c r="C15">
        <v>1.5951100000000001E-3</v>
      </c>
    </row>
    <row r="16" spans="1:3" x14ac:dyDescent="0.25">
      <c r="A16">
        <v>37</v>
      </c>
      <c r="B16" t="s">
        <v>22</v>
      </c>
      <c r="C16">
        <v>0.93213003999999999</v>
      </c>
    </row>
    <row r="17" spans="1:3" x14ac:dyDescent="0.25">
      <c r="A17">
        <v>37</v>
      </c>
      <c r="B17" t="s">
        <v>23</v>
      </c>
      <c r="C17">
        <v>6.7869949999999998E-2</v>
      </c>
    </row>
    <row r="18" spans="1:3" x14ac:dyDescent="0.25">
      <c r="A18">
        <v>38</v>
      </c>
      <c r="B18" t="s">
        <v>22</v>
      </c>
      <c r="C18">
        <v>0.99828158999999994</v>
      </c>
    </row>
    <row r="19" spans="1:3" x14ac:dyDescent="0.25">
      <c r="A19">
        <v>38</v>
      </c>
      <c r="B19" t="s">
        <v>24</v>
      </c>
      <c r="C19">
        <v>1.71843E-3</v>
      </c>
    </row>
    <row r="20" spans="1:3" x14ac:dyDescent="0.25">
      <c r="A20">
        <v>39</v>
      </c>
      <c r="B20" t="s">
        <v>22</v>
      </c>
      <c r="C20">
        <v>0.99971267999999991</v>
      </c>
    </row>
    <row r="21" spans="1:3" x14ac:dyDescent="0.25">
      <c r="A21">
        <v>39</v>
      </c>
      <c r="B21" t="s">
        <v>24</v>
      </c>
      <c r="C21">
        <v>2.8733000000000003E-4</v>
      </c>
    </row>
    <row r="22" spans="1:3" x14ac:dyDescent="0.25">
      <c r="A22">
        <v>40</v>
      </c>
      <c r="B22" t="s">
        <v>25</v>
      </c>
      <c r="C22">
        <v>5.3170309999999998E-2</v>
      </c>
    </row>
    <row r="23" spans="1:3" x14ac:dyDescent="0.25">
      <c r="A23">
        <v>40</v>
      </c>
      <c r="B23" t="s">
        <v>22</v>
      </c>
      <c r="C23">
        <v>0.94632527999999994</v>
      </c>
    </row>
    <row r="24" spans="1:3" x14ac:dyDescent="0.25">
      <c r="A24">
        <v>40</v>
      </c>
      <c r="B24" t="s">
        <v>24</v>
      </c>
      <c r="C24">
        <v>5.0438999999999996E-4</v>
      </c>
    </row>
    <row r="25" spans="1:3" x14ac:dyDescent="0.25">
      <c r="A25">
        <v>41</v>
      </c>
      <c r="B25" t="s">
        <v>25</v>
      </c>
      <c r="C25">
        <v>1.6999999999999999E-7</v>
      </c>
    </row>
    <row r="26" spans="1:3" x14ac:dyDescent="0.25">
      <c r="A26">
        <v>41</v>
      </c>
      <c r="B26" t="s">
        <v>22</v>
      </c>
      <c r="C26">
        <v>0.99999983999999997</v>
      </c>
    </row>
    <row r="27" spans="1:3" x14ac:dyDescent="0.25">
      <c r="A27">
        <v>42</v>
      </c>
      <c r="B27" t="s">
        <v>22</v>
      </c>
      <c r="C27">
        <v>0.97728848999999995</v>
      </c>
    </row>
    <row r="28" spans="1:3" x14ac:dyDescent="0.25">
      <c r="A28">
        <v>42</v>
      </c>
      <c r="B28" t="s">
        <v>24</v>
      </c>
      <c r="C28">
        <v>5.5120000000000001E-5</v>
      </c>
    </row>
    <row r="29" spans="1:3" x14ac:dyDescent="0.25">
      <c r="A29">
        <v>42</v>
      </c>
      <c r="B29" t="s">
        <v>23</v>
      </c>
      <c r="C29">
        <v>2.2656390000000002E-2</v>
      </c>
    </row>
    <row r="30" spans="1:3" x14ac:dyDescent="0.25">
      <c r="A30">
        <v>43</v>
      </c>
      <c r="B30" t="s">
        <v>25</v>
      </c>
      <c r="C30">
        <v>1.136727E-2</v>
      </c>
    </row>
    <row r="31" spans="1:3" x14ac:dyDescent="0.25">
      <c r="A31">
        <v>43</v>
      </c>
      <c r="B31" t="s">
        <v>22</v>
      </c>
      <c r="C31">
        <v>0.98284143999999996</v>
      </c>
    </row>
    <row r="32" spans="1:3" x14ac:dyDescent="0.25">
      <c r="A32">
        <v>43</v>
      </c>
      <c r="B32" t="s">
        <v>26</v>
      </c>
      <c r="C32">
        <v>7.5827000000000002E-4</v>
      </c>
    </row>
    <row r="33" spans="1:3" x14ac:dyDescent="0.25">
      <c r="A33">
        <v>43</v>
      </c>
      <c r="B33" t="s">
        <v>24</v>
      </c>
      <c r="C33">
        <v>5.0329999999999993E-3</v>
      </c>
    </row>
    <row r="34" spans="1:3" x14ac:dyDescent="0.25">
      <c r="A34">
        <v>44</v>
      </c>
      <c r="B34" t="s">
        <v>22</v>
      </c>
      <c r="C34">
        <v>1.380058E-2</v>
      </c>
    </row>
    <row r="35" spans="1:3" x14ac:dyDescent="0.25">
      <c r="A35">
        <v>44</v>
      </c>
      <c r="B35" t="s">
        <v>24</v>
      </c>
      <c r="C35">
        <v>0.9861994300000001</v>
      </c>
    </row>
    <row r="36" spans="1:3" x14ac:dyDescent="0.25">
      <c r="A36">
        <v>45</v>
      </c>
      <c r="B36" t="s">
        <v>22</v>
      </c>
      <c r="C36">
        <v>8.8632599999999995E-3</v>
      </c>
    </row>
    <row r="37" spans="1:3" x14ac:dyDescent="0.25">
      <c r="A37">
        <v>45</v>
      </c>
      <c r="B37" t="s">
        <v>24</v>
      </c>
      <c r="C37">
        <v>0.99113671999999997</v>
      </c>
    </row>
    <row r="38" spans="1:3" x14ac:dyDescent="0.25">
      <c r="A38">
        <v>47</v>
      </c>
      <c r="B38" t="s">
        <v>22</v>
      </c>
      <c r="C38">
        <v>5.3000000000000001E-6</v>
      </c>
    </row>
    <row r="39" spans="1:3" x14ac:dyDescent="0.25">
      <c r="A39">
        <v>47</v>
      </c>
      <c r="B39" t="s">
        <v>24</v>
      </c>
      <c r="C39">
        <v>0.99999466999999997</v>
      </c>
    </row>
    <row r="40" spans="1:3" x14ac:dyDescent="0.25">
      <c r="A40">
        <v>48</v>
      </c>
      <c r="B40" t="s">
        <v>22</v>
      </c>
      <c r="C40">
        <v>0.98997968000000003</v>
      </c>
    </row>
    <row r="41" spans="1:3" x14ac:dyDescent="0.25">
      <c r="A41">
        <v>48</v>
      </c>
      <c r="B41" t="s">
        <v>24</v>
      </c>
      <c r="C41">
        <v>1.0019229999999999E-2</v>
      </c>
    </row>
    <row r="42" spans="1:3" x14ac:dyDescent="0.25">
      <c r="A42">
        <v>49</v>
      </c>
      <c r="B42" t="s">
        <v>22</v>
      </c>
      <c r="C42">
        <v>1.1793619999999999E-2</v>
      </c>
    </row>
    <row r="43" spans="1:3" x14ac:dyDescent="0.25">
      <c r="A43">
        <v>49</v>
      </c>
      <c r="B43" t="s">
        <v>24</v>
      </c>
      <c r="C43">
        <v>0.98820638999999999</v>
      </c>
    </row>
    <row r="44" spans="1:3" x14ac:dyDescent="0.25">
      <c r="A44">
        <v>50</v>
      </c>
      <c r="B44" t="s">
        <v>25</v>
      </c>
      <c r="C44">
        <v>1.4380000000000001E-5</v>
      </c>
    </row>
    <row r="45" spans="1:3" x14ac:dyDescent="0.25">
      <c r="A45">
        <v>50</v>
      </c>
      <c r="B45" t="s">
        <v>22</v>
      </c>
      <c r="C45">
        <v>0.99417500000000003</v>
      </c>
    </row>
    <row r="46" spans="1:3" x14ac:dyDescent="0.25">
      <c r="A46">
        <v>50</v>
      </c>
      <c r="B46" t="s">
        <v>24</v>
      </c>
      <c r="C46">
        <v>5.8106199999999998E-3</v>
      </c>
    </row>
    <row r="47" spans="1:3" x14ac:dyDescent="0.25">
      <c r="A47">
        <v>51</v>
      </c>
      <c r="B47" t="s">
        <v>22</v>
      </c>
      <c r="C47">
        <v>9.1144000000000001E-4</v>
      </c>
    </row>
    <row r="48" spans="1:3" x14ac:dyDescent="0.25">
      <c r="A48">
        <v>51</v>
      </c>
      <c r="B48" t="s">
        <v>24</v>
      </c>
      <c r="C48">
        <v>0.99908854000000002</v>
      </c>
    </row>
    <row r="49" spans="1:3" x14ac:dyDescent="0.25">
      <c r="A49">
        <v>52</v>
      </c>
      <c r="B49" t="s">
        <v>22</v>
      </c>
      <c r="C49">
        <v>3.4016999999999999E-4</v>
      </c>
    </row>
    <row r="50" spans="1:3" x14ac:dyDescent="0.25">
      <c r="A50">
        <v>52</v>
      </c>
      <c r="B50" t="s">
        <v>24</v>
      </c>
      <c r="C50">
        <v>0.99965982999999992</v>
      </c>
    </row>
    <row r="51" spans="1:3" x14ac:dyDescent="0.25">
      <c r="A51">
        <v>53</v>
      </c>
      <c r="B51" t="s">
        <v>22</v>
      </c>
      <c r="C51">
        <v>0.26425045999999996</v>
      </c>
    </row>
    <row r="52" spans="1:3" x14ac:dyDescent="0.25">
      <c r="A52">
        <v>53</v>
      </c>
      <c r="B52" t="s">
        <v>24</v>
      </c>
      <c r="C52">
        <v>0.7357495799999999</v>
      </c>
    </row>
    <row r="53" spans="1:3" x14ac:dyDescent="0.25">
      <c r="A53">
        <v>54</v>
      </c>
      <c r="B53" t="s">
        <v>24</v>
      </c>
      <c r="C53">
        <v>1</v>
      </c>
    </row>
    <row r="54" spans="1:3" x14ac:dyDescent="0.25">
      <c r="A54">
        <v>55</v>
      </c>
      <c r="B54" t="s">
        <v>25</v>
      </c>
      <c r="C54">
        <v>0.99087694000000004</v>
      </c>
    </row>
    <row r="55" spans="1:3" x14ac:dyDescent="0.25">
      <c r="A55">
        <v>55</v>
      </c>
      <c r="B55" t="s">
        <v>22</v>
      </c>
      <c r="C55">
        <v>2.5978299999999998E-3</v>
      </c>
    </row>
    <row r="56" spans="1:3" x14ac:dyDescent="0.25">
      <c r="A56">
        <v>55</v>
      </c>
      <c r="B56" t="s">
        <v>24</v>
      </c>
      <c r="C56">
        <v>6.5250699999999991E-3</v>
      </c>
    </row>
    <row r="57" spans="1:3" x14ac:dyDescent="0.25">
      <c r="A57">
        <v>56</v>
      </c>
      <c r="B57" t="s">
        <v>25</v>
      </c>
      <c r="C57">
        <v>0.11749034999999999</v>
      </c>
    </row>
    <row r="58" spans="1:3" x14ac:dyDescent="0.25">
      <c r="A58">
        <v>56</v>
      </c>
      <c r="B58" t="s">
        <v>22</v>
      </c>
      <c r="C58">
        <v>0.29180154999999997</v>
      </c>
    </row>
    <row r="59" spans="1:3" x14ac:dyDescent="0.25">
      <c r="A59">
        <v>56</v>
      </c>
      <c r="B59" t="s">
        <v>24</v>
      </c>
      <c r="C59">
        <v>0.59070811000000001</v>
      </c>
    </row>
    <row r="60" spans="1:3" x14ac:dyDescent="0.25">
      <c r="A60">
        <v>61</v>
      </c>
      <c r="B60" t="s">
        <v>25</v>
      </c>
      <c r="C60">
        <v>0.79824090000000003</v>
      </c>
    </row>
    <row r="61" spans="1:3" x14ac:dyDescent="0.25">
      <c r="A61">
        <v>61</v>
      </c>
      <c r="B61" t="s">
        <v>22</v>
      </c>
      <c r="C61">
        <v>8.32E-6</v>
      </c>
    </row>
    <row r="62" spans="1:3" x14ac:dyDescent="0.25">
      <c r="A62">
        <v>61</v>
      </c>
      <c r="B62" t="s">
        <v>24</v>
      </c>
      <c r="C62">
        <v>0.20175077999999999</v>
      </c>
    </row>
    <row r="63" spans="1:3" x14ac:dyDescent="0.25">
      <c r="A63">
        <v>64</v>
      </c>
      <c r="B63" t="s">
        <v>25</v>
      </c>
      <c r="C63">
        <v>0.87164859000000006</v>
      </c>
    </row>
    <row r="64" spans="1:3" x14ac:dyDescent="0.25">
      <c r="A64">
        <v>64</v>
      </c>
      <c r="B64" t="s">
        <v>24</v>
      </c>
      <c r="C64">
        <v>0.12835141999999999</v>
      </c>
    </row>
    <row r="65" spans="1:3" x14ac:dyDescent="0.25">
      <c r="A65">
        <v>65</v>
      </c>
      <c r="B65" t="s">
        <v>24</v>
      </c>
      <c r="C65">
        <v>1</v>
      </c>
    </row>
    <row r="66" spans="1:3" x14ac:dyDescent="0.25">
      <c r="A66">
        <v>66</v>
      </c>
      <c r="B66" t="s">
        <v>24</v>
      </c>
      <c r="C66">
        <v>0.99999999000000006</v>
      </c>
    </row>
    <row r="67" spans="1:3" x14ac:dyDescent="0.25">
      <c r="A67">
        <v>67</v>
      </c>
      <c r="B67" t="s">
        <v>25</v>
      </c>
      <c r="C67">
        <v>1.21791E-3</v>
      </c>
    </row>
    <row r="68" spans="1:3" x14ac:dyDescent="0.25">
      <c r="A68">
        <v>67</v>
      </c>
      <c r="B68" t="s">
        <v>24</v>
      </c>
      <c r="C68">
        <v>0.99878210999999995</v>
      </c>
    </row>
    <row r="69" spans="1:3" x14ac:dyDescent="0.25">
      <c r="A69">
        <v>70</v>
      </c>
      <c r="B69" t="s">
        <v>22</v>
      </c>
      <c r="C69">
        <v>6.2057399999999995E-3</v>
      </c>
    </row>
    <row r="70" spans="1:3" x14ac:dyDescent="0.25">
      <c r="A70">
        <v>70</v>
      </c>
      <c r="B70" t="s">
        <v>24</v>
      </c>
      <c r="C70">
        <v>0.99379416000000009</v>
      </c>
    </row>
    <row r="71" spans="1:3" x14ac:dyDescent="0.25">
      <c r="A71">
        <v>71</v>
      </c>
      <c r="B71" t="s">
        <v>25</v>
      </c>
      <c r="C71">
        <v>7.0197060000000006E-2</v>
      </c>
    </row>
    <row r="72" spans="1:3" x14ac:dyDescent="0.25">
      <c r="A72">
        <v>71</v>
      </c>
      <c r="B72" t="s">
        <v>22</v>
      </c>
      <c r="C72">
        <v>9.5870899999999995E-3</v>
      </c>
    </row>
    <row r="73" spans="1:3" x14ac:dyDescent="0.25">
      <c r="A73">
        <v>71</v>
      </c>
      <c r="B73" t="s">
        <v>24</v>
      </c>
      <c r="C73">
        <v>0.92021585000000006</v>
      </c>
    </row>
    <row r="74" spans="1:3" x14ac:dyDescent="0.25">
      <c r="A74">
        <v>74</v>
      </c>
      <c r="B74" t="s">
        <v>24</v>
      </c>
      <c r="C74">
        <v>0.99999995999999991</v>
      </c>
    </row>
    <row r="75" spans="1:3" x14ac:dyDescent="0.25">
      <c r="A75">
        <v>75</v>
      </c>
      <c r="B75" t="s">
        <v>25</v>
      </c>
      <c r="C75">
        <v>3.0281799999999997E-3</v>
      </c>
    </row>
    <row r="76" spans="1:3" x14ac:dyDescent="0.25">
      <c r="A76">
        <v>75</v>
      </c>
      <c r="B76" t="s">
        <v>26</v>
      </c>
      <c r="C76">
        <v>3.5994E-4</v>
      </c>
    </row>
    <row r="77" spans="1:3" x14ac:dyDescent="0.25">
      <c r="A77">
        <v>75</v>
      </c>
      <c r="B77" t="s">
        <v>24</v>
      </c>
      <c r="C77">
        <v>0.99661186000000002</v>
      </c>
    </row>
    <row r="78" spans="1:3" x14ac:dyDescent="0.25">
      <c r="A78">
        <v>76</v>
      </c>
      <c r="B78" t="s">
        <v>25</v>
      </c>
      <c r="C78">
        <v>0.80801873000000002</v>
      </c>
    </row>
    <row r="79" spans="1:3" x14ac:dyDescent="0.25">
      <c r="A79">
        <v>76</v>
      </c>
      <c r="B79" t="s">
        <v>26</v>
      </c>
      <c r="C79">
        <v>2.1E-7</v>
      </c>
    </row>
    <row r="80" spans="1:3" x14ac:dyDescent="0.25">
      <c r="A80">
        <v>76</v>
      </c>
      <c r="B80" t="s">
        <v>24</v>
      </c>
      <c r="C80">
        <v>0.19198103</v>
      </c>
    </row>
    <row r="81" spans="1:3" x14ac:dyDescent="0.25">
      <c r="A81">
        <v>77</v>
      </c>
      <c r="B81" t="s">
        <v>25</v>
      </c>
      <c r="C81">
        <v>0.88049327000000011</v>
      </c>
    </row>
    <row r="82" spans="1:3" x14ac:dyDescent="0.25">
      <c r="A82">
        <v>77</v>
      </c>
      <c r="B82" t="s">
        <v>22</v>
      </c>
      <c r="C82">
        <v>1.6333900000000002E-3</v>
      </c>
    </row>
    <row r="83" spans="1:3" x14ac:dyDescent="0.25">
      <c r="A83">
        <v>77</v>
      </c>
      <c r="B83" t="s">
        <v>26</v>
      </c>
      <c r="C83">
        <v>1.9582800000000002E-3</v>
      </c>
    </row>
    <row r="84" spans="1:3" x14ac:dyDescent="0.25">
      <c r="A84">
        <v>77</v>
      </c>
      <c r="B84" t="s">
        <v>24</v>
      </c>
      <c r="C84">
        <v>0.11591499000000001</v>
      </c>
    </row>
    <row r="85" spans="1:3" x14ac:dyDescent="0.25">
      <c r="A85">
        <v>78</v>
      </c>
      <c r="B85" t="s">
        <v>25</v>
      </c>
      <c r="C85">
        <v>1.2284699999999999E-2</v>
      </c>
    </row>
    <row r="86" spans="1:3" x14ac:dyDescent="0.25">
      <c r="A86">
        <v>78</v>
      </c>
      <c r="B86" t="s">
        <v>26</v>
      </c>
      <c r="C86">
        <v>0.75031200999999992</v>
      </c>
    </row>
    <row r="87" spans="1:3" x14ac:dyDescent="0.25">
      <c r="A87">
        <v>78</v>
      </c>
      <c r="B87" t="s">
        <v>24</v>
      </c>
      <c r="C87">
        <v>0.23740335000000001</v>
      </c>
    </row>
    <row r="88" spans="1:3" x14ac:dyDescent="0.25">
      <c r="A88">
        <v>80</v>
      </c>
      <c r="B88" t="s">
        <v>22</v>
      </c>
      <c r="C88">
        <v>0.88155655999999993</v>
      </c>
    </row>
    <row r="89" spans="1:3" x14ac:dyDescent="0.25">
      <c r="A89">
        <v>80</v>
      </c>
      <c r="B89" t="s">
        <v>24</v>
      </c>
      <c r="C89">
        <v>1.7823100000000001E-3</v>
      </c>
    </row>
    <row r="90" spans="1:3" x14ac:dyDescent="0.25">
      <c r="A90">
        <v>80</v>
      </c>
      <c r="B90" t="s">
        <v>23</v>
      </c>
      <c r="C90">
        <v>0.11666112999999999</v>
      </c>
    </row>
    <row r="91" spans="1:3" x14ac:dyDescent="0.25">
      <c r="A91">
        <v>81</v>
      </c>
      <c r="B91" t="s">
        <v>22</v>
      </c>
      <c r="C91">
        <v>0.99999134000000001</v>
      </c>
    </row>
    <row r="92" spans="1:3" x14ac:dyDescent="0.25">
      <c r="A92">
        <v>81</v>
      </c>
      <c r="B92" t="s">
        <v>24</v>
      </c>
      <c r="C92">
        <v>3.4400000000000001E-6</v>
      </c>
    </row>
    <row r="93" spans="1:3" x14ac:dyDescent="0.25">
      <c r="A93">
        <v>81</v>
      </c>
      <c r="B93" t="s">
        <v>23</v>
      </c>
      <c r="C93">
        <v>5.22E-6</v>
      </c>
    </row>
    <row r="94" spans="1:3" x14ac:dyDescent="0.25">
      <c r="A94">
        <v>82</v>
      </c>
      <c r="B94" t="s">
        <v>22</v>
      </c>
      <c r="C94">
        <v>0.38195599000000002</v>
      </c>
    </row>
    <row r="95" spans="1:3" x14ac:dyDescent="0.25">
      <c r="A95">
        <v>82</v>
      </c>
      <c r="B95" t="s">
        <v>26</v>
      </c>
      <c r="C95">
        <v>2.69118E-3</v>
      </c>
    </row>
    <row r="96" spans="1:3" x14ac:dyDescent="0.25">
      <c r="A96">
        <v>82</v>
      </c>
      <c r="B96" t="s">
        <v>24</v>
      </c>
      <c r="C96">
        <v>0.61535284000000001</v>
      </c>
    </row>
    <row r="97" spans="1:3" x14ac:dyDescent="0.25">
      <c r="A97">
        <v>83</v>
      </c>
      <c r="B97" t="s">
        <v>22</v>
      </c>
      <c r="C97">
        <v>0.99889097000000004</v>
      </c>
    </row>
    <row r="98" spans="1:3" x14ac:dyDescent="0.25">
      <c r="A98">
        <v>83</v>
      </c>
      <c r="B98" t="s">
        <v>24</v>
      </c>
      <c r="C98">
        <v>7.0081000000000006E-4</v>
      </c>
    </row>
    <row r="99" spans="1:3" x14ac:dyDescent="0.25">
      <c r="A99">
        <v>83</v>
      </c>
      <c r="B99" t="s">
        <v>23</v>
      </c>
      <c r="C99">
        <v>4.0821000000000005E-4</v>
      </c>
    </row>
    <row r="100" spans="1:3" x14ac:dyDescent="0.25">
      <c r="A100">
        <v>84</v>
      </c>
      <c r="B100" t="s">
        <v>22</v>
      </c>
      <c r="C100">
        <v>0.99984127</v>
      </c>
    </row>
    <row r="101" spans="1:3" x14ac:dyDescent="0.25">
      <c r="A101">
        <v>84</v>
      </c>
      <c r="B101" t="s">
        <v>23</v>
      </c>
      <c r="C101">
        <v>1.5871E-4</v>
      </c>
    </row>
    <row r="102" spans="1:3" x14ac:dyDescent="0.25">
      <c r="A102">
        <v>85</v>
      </c>
      <c r="B102" t="s">
        <v>22</v>
      </c>
      <c r="C102">
        <v>0.99990880999999998</v>
      </c>
    </row>
    <row r="103" spans="1:3" x14ac:dyDescent="0.25">
      <c r="A103">
        <v>85</v>
      </c>
      <c r="B103" t="s">
        <v>24</v>
      </c>
      <c r="C103">
        <v>9.1189999999999999E-5</v>
      </c>
    </row>
    <row r="104" spans="1:3" x14ac:dyDescent="0.25">
      <c r="A104">
        <v>86</v>
      </c>
      <c r="B104" t="s">
        <v>22</v>
      </c>
      <c r="C104">
        <v>0.99543031999999998</v>
      </c>
    </row>
    <row r="105" spans="1:3" x14ac:dyDescent="0.25">
      <c r="A105">
        <v>86</v>
      </c>
      <c r="B105" t="s">
        <v>24</v>
      </c>
      <c r="C105">
        <v>4.5696900000000004E-3</v>
      </c>
    </row>
    <row r="106" spans="1:3" x14ac:dyDescent="0.25">
      <c r="A106">
        <v>87</v>
      </c>
      <c r="B106" t="s">
        <v>22</v>
      </c>
      <c r="C106">
        <v>7.5679600000000003E-3</v>
      </c>
    </row>
    <row r="107" spans="1:3" x14ac:dyDescent="0.25">
      <c r="A107">
        <v>87</v>
      </c>
      <c r="B107" t="s">
        <v>24</v>
      </c>
      <c r="C107">
        <v>0.99243206000000006</v>
      </c>
    </row>
    <row r="108" spans="1:3" x14ac:dyDescent="0.25">
      <c r="A108">
        <v>88</v>
      </c>
      <c r="B108" t="s">
        <v>22</v>
      </c>
      <c r="C108">
        <v>0.33156436</v>
      </c>
    </row>
    <row r="109" spans="1:3" x14ac:dyDescent="0.25">
      <c r="A109">
        <v>88</v>
      </c>
      <c r="B109" t="s">
        <v>24</v>
      </c>
      <c r="C109">
        <v>0.66843565999999999</v>
      </c>
    </row>
    <row r="110" spans="1:3" x14ac:dyDescent="0.25">
      <c r="A110">
        <v>89</v>
      </c>
      <c r="B110" t="s">
        <v>22</v>
      </c>
      <c r="C110">
        <v>1.0005999999999999E-4</v>
      </c>
    </row>
    <row r="111" spans="1:3" x14ac:dyDescent="0.25">
      <c r="A111">
        <v>89</v>
      </c>
      <c r="B111" t="s">
        <v>24</v>
      </c>
      <c r="C111">
        <v>0.99989996999999997</v>
      </c>
    </row>
    <row r="112" spans="1:3" x14ac:dyDescent="0.25">
      <c r="A112">
        <v>90</v>
      </c>
      <c r="B112" t="s">
        <v>24</v>
      </c>
      <c r="C112">
        <v>1</v>
      </c>
    </row>
    <row r="113" spans="1:3" x14ac:dyDescent="0.25">
      <c r="A113">
        <v>91</v>
      </c>
      <c r="B113" t="s">
        <v>22</v>
      </c>
      <c r="C113">
        <v>0.13840762000000001</v>
      </c>
    </row>
    <row r="114" spans="1:3" x14ac:dyDescent="0.25">
      <c r="A114">
        <v>91</v>
      </c>
      <c r="B114" t="s">
        <v>24</v>
      </c>
      <c r="C114">
        <v>0.86159242000000003</v>
      </c>
    </row>
    <row r="115" spans="1:3" x14ac:dyDescent="0.25">
      <c r="A115">
        <v>92</v>
      </c>
      <c r="B115" t="s">
        <v>25</v>
      </c>
      <c r="C115">
        <v>0.58192697000000004</v>
      </c>
    </row>
    <row r="116" spans="1:3" x14ac:dyDescent="0.25">
      <c r="A116">
        <v>92</v>
      </c>
      <c r="B116" t="s">
        <v>22</v>
      </c>
      <c r="C116">
        <v>2.7333669999999997E-2</v>
      </c>
    </row>
    <row r="117" spans="1:3" x14ac:dyDescent="0.25">
      <c r="A117">
        <v>92</v>
      </c>
      <c r="B117" t="s">
        <v>24</v>
      </c>
      <c r="C117">
        <v>0.39073934999999999</v>
      </c>
    </row>
    <row r="118" spans="1:3" x14ac:dyDescent="0.25">
      <c r="A118">
        <v>94</v>
      </c>
      <c r="B118" t="s">
        <v>22</v>
      </c>
      <c r="C118">
        <v>1.7598900000000001E-3</v>
      </c>
    </row>
    <row r="119" spans="1:3" x14ac:dyDescent="0.25">
      <c r="A119">
        <v>94</v>
      </c>
      <c r="B119" t="s">
        <v>24</v>
      </c>
      <c r="C119">
        <v>0.99824019000000008</v>
      </c>
    </row>
    <row r="120" spans="1:3" x14ac:dyDescent="0.25">
      <c r="A120">
        <v>95</v>
      </c>
      <c r="B120" t="s">
        <v>26</v>
      </c>
      <c r="C120">
        <v>1.4082700000000001E-3</v>
      </c>
    </row>
    <row r="121" spans="1:3" x14ac:dyDescent="0.25">
      <c r="A121">
        <v>95</v>
      </c>
      <c r="B121" t="s">
        <v>24</v>
      </c>
      <c r="C121">
        <v>0.99859173000000001</v>
      </c>
    </row>
    <row r="122" spans="1:3" x14ac:dyDescent="0.25">
      <c r="A122">
        <v>100</v>
      </c>
      <c r="B122" t="s">
        <v>25</v>
      </c>
      <c r="C122">
        <v>1.862693E-2</v>
      </c>
    </row>
    <row r="123" spans="1:3" x14ac:dyDescent="0.25">
      <c r="A123">
        <v>100</v>
      </c>
      <c r="B123" t="s">
        <v>22</v>
      </c>
      <c r="C123">
        <v>4.21617E-3</v>
      </c>
    </row>
    <row r="124" spans="1:3" x14ac:dyDescent="0.25">
      <c r="A124">
        <v>100</v>
      </c>
      <c r="B124" t="s">
        <v>24</v>
      </c>
      <c r="C124">
        <v>0.97715686000000002</v>
      </c>
    </row>
    <row r="125" spans="1:3" x14ac:dyDescent="0.25">
      <c r="A125">
        <v>103</v>
      </c>
      <c r="B125" t="s">
        <v>24</v>
      </c>
      <c r="C125">
        <v>0.99999995999999991</v>
      </c>
    </row>
    <row r="126" spans="1:3" x14ac:dyDescent="0.25">
      <c r="A126">
        <v>104</v>
      </c>
      <c r="B126" t="s">
        <v>25</v>
      </c>
      <c r="C126">
        <v>0.18625194</v>
      </c>
    </row>
    <row r="127" spans="1:3" x14ac:dyDescent="0.25">
      <c r="A127">
        <v>104</v>
      </c>
      <c r="B127" t="s">
        <v>26</v>
      </c>
      <c r="C127">
        <v>5.9012529999999994E-2</v>
      </c>
    </row>
    <row r="128" spans="1:3" x14ac:dyDescent="0.25">
      <c r="A128">
        <v>104</v>
      </c>
      <c r="B128" t="s">
        <v>24</v>
      </c>
      <c r="C128">
        <v>0.75473553999999998</v>
      </c>
    </row>
    <row r="129" spans="1:3" x14ac:dyDescent="0.25">
      <c r="A129">
        <v>107</v>
      </c>
      <c r="B129" t="s">
        <v>25</v>
      </c>
      <c r="C129">
        <v>8.911390000000001E-2</v>
      </c>
    </row>
    <row r="130" spans="1:3" x14ac:dyDescent="0.25">
      <c r="A130">
        <v>107</v>
      </c>
      <c r="B130" t="s">
        <v>22</v>
      </c>
      <c r="C130">
        <v>1.0429310000000001E-2</v>
      </c>
    </row>
    <row r="131" spans="1:3" x14ac:dyDescent="0.25">
      <c r="A131">
        <v>107</v>
      </c>
      <c r="B131" t="s">
        <v>26</v>
      </c>
      <c r="C131">
        <v>0.36819859999999999</v>
      </c>
    </row>
    <row r="132" spans="1:3" x14ac:dyDescent="0.25">
      <c r="A132">
        <v>107</v>
      </c>
      <c r="B132" t="s">
        <v>24</v>
      </c>
      <c r="C132">
        <v>0.53225818999999996</v>
      </c>
    </row>
    <row r="133" spans="1:3" x14ac:dyDescent="0.25">
      <c r="A133">
        <v>110</v>
      </c>
      <c r="B133" t="s">
        <v>22</v>
      </c>
      <c r="C133">
        <v>0.99624093999999996</v>
      </c>
    </row>
    <row r="134" spans="1:3" x14ac:dyDescent="0.25">
      <c r="A134">
        <v>110</v>
      </c>
      <c r="B134" t="s">
        <v>24</v>
      </c>
      <c r="C134">
        <v>3.75904E-3</v>
      </c>
    </row>
    <row r="135" spans="1:3" x14ac:dyDescent="0.25">
      <c r="A135">
        <v>111</v>
      </c>
      <c r="B135" t="s">
        <v>22</v>
      </c>
      <c r="C135">
        <v>0.17161097000000003</v>
      </c>
    </row>
    <row r="136" spans="1:3" x14ac:dyDescent="0.25">
      <c r="A136">
        <v>111</v>
      </c>
      <c r="B136" t="s">
        <v>24</v>
      </c>
      <c r="C136">
        <v>0.82838902000000003</v>
      </c>
    </row>
    <row r="137" spans="1:3" x14ac:dyDescent="0.25">
      <c r="A137">
        <v>112</v>
      </c>
      <c r="B137" t="s">
        <v>25</v>
      </c>
      <c r="C137">
        <v>1.4234600000000001E-3</v>
      </c>
    </row>
    <row r="138" spans="1:3" x14ac:dyDescent="0.25">
      <c r="A138">
        <v>112</v>
      </c>
      <c r="B138" t="s">
        <v>26</v>
      </c>
      <c r="C138">
        <v>8.5766449999999994E-2</v>
      </c>
    </row>
    <row r="139" spans="1:3" x14ac:dyDescent="0.25">
      <c r="A139">
        <v>112</v>
      </c>
      <c r="B139" t="s">
        <v>24</v>
      </c>
      <c r="C139">
        <v>0.91281006000000009</v>
      </c>
    </row>
    <row r="140" spans="1:3" x14ac:dyDescent="0.25">
      <c r="A140">
        <v>114</v>
      </c>
      <c r="B140" t="s">
        <v>25</v>
      </c>
      <c r="C140">
        <v>1.58398E-3</v>
      </c>
    </row>
    <row r="141" spans="1:3" x14ac:dyDescent="0.25">
      <c r="A141">
        <v>114</v>
      </c>
      <c r="B141" t="s">
        <v>26</v>
      </c>
      <c r="C141">
        <v>3.4667999999999999E-3</v>
      </c>
    </row>
    <row r="142" spans="1:3" x14ac:dyDescent="0.25">
      <c r="A142">
        <v>114</v>
      </c>
      <c r="B142" t="s">
        <v>24</v>
      </c>
      <c r="C142">
        <v>0.99494919999999998</v>
      </c>
    </row>
    <row r="143" spans="1:3" x14ac:dyDescent="0.25">
      <c r="A143">
        <v>116</v>
      </c>
      <c r="B143" t="s">
        <v>25</v>
      </c>
      <c r="C143">
        <v>2.951092E-2</v>
      </c>
    </row>
    <row r="144" spans="1:3" x14ac:dyDescent="0.25">
      <c r="A144">
        <v>116</v>
      </c>
      <c r="B144" t="s">
        <v>24</v>
      </c>
      <c r="C144">
        <v>0.97048908</v>
      </c>
    </row>
    <row r="145" spans="1:3" x14ac:dyDescent="0.25">
      <c r="A145">
        <v>117</v>
      </c>
      <c r="B145" t="s">
        <v>26</v>
      </c>
      <c r="C145">
        <v>6.7989300000000003E-2</v>
      </c>
    </row>
    <row r="146" spans="1:3" x14ac:dyDescent="0.25">
      <c r="A146">
        <v>117</v>
      </c>
      <c r="B146" t="s">
        <v>24</v>
      </c>
      <c r="C146">
        <v>0.93201071000000002</v>
      </c>
    </row>
    <row r="147" spans="1:3" x14ac:dyDescent="0.25">
      <c r="A147">
        <v>118</v>
      </c>
      <c r="B147" t="s">
        <v>26</v>
      </c>
      <c r="C147">
        <v>0.79202031000000006</v>
      </c>
    </row>
    <row r="148" spans="1:3" x14ac:dyDescent="0.25">
      <c r="A148">
        <v>118</v>
      </c>
      <c r="B148" t="s">
        <v>24</v>
      </c>
      <c r="C148">
        <v>0.20797965000000002</v>
      </c>
    </row>
    <row r="149" spans="1:3" x14ac:dyDescent="0.25">
      <c r="A149">
        <v>120</v>
      </c>
      <c r="B149" t="s">
        <v>22</v>
      </c>
      <c r="C149">
        <v>0.10145498999999999</v>
      </c>
    </row>
    <row r="150" spans="1:3" x14ac:dyDescent="0.25">
      <c r="A150">
        <v>120</v>
      </c>
      <c r="B150" t="s">
        <v>26</v>
      </c>
      <c r="C150">
        <v>0.18237845</v>
      </c>
    </row>
    <row r="151" spans="1:3" x14ac:dyDescent="0.25">
      <c r="A151">
        <v>120</v>
      </c>
      <c r="B151" t="s">
        <v>24</v>
      </c>
      <c r="C151">
        <v>0.71616660999999993</v>
      </c>
    </row>
    <row r="152" spans="1:3" x14ac:dyDescent="0.25">
      <c r="A152">
        <v>124</v>
      </c>
      <c r="B152" t="s">
        <v>25</v>
      </c>
      <c r="C152">
        <v>0.12987754000000001</v>
      </c>
    </row>
    <row r="153" spans="1:3" x14ac:dyDescent="0.25">
      <c r="A153">
        <v>124</v>
      </c>
      <c r="B153" t="s">
        <v>22</v>
      </c>
      <c r="C153">
        <v>1.5502149999999999E-2</v>
      </c>
    </row>
    <row r="154" spans="1:3" x14ac:dyDescent="0.25">
      <c r="A154">
        <v>124</v>
      </c>
      <c r="B154" t="s">
        <v>26</v>
      </c>
      <c r="C154">
        <v>4.7471999999999998E-4</v>
      </c>
    </row>
    <row r="155" spans="1:3" x14ac:dyDescent="0.25">
      <c r="A155">
        <v>124</v>
      </c>
      <c r="B155" t="s">
        <v>24</v>
      </c>
      <c r="C155">
        <v>0.85414557000000002</v>
      </c>
    </row>
    <row r="156" spans="1:3" x14ac:dyDescent="0.25">
      <c r="A156">
        <v>125</v>
      </c>
      <c r="B156" t="s">
        <v>25</v>
      </c>
      <c r="C156">
        <v>1.96408E-3</v>
      </c>
    </row>
    <row r="157" spans="1:3" x14ac:dyDescent="0.25">
      <c r="A157">
        <v>125</v>
      </c>
      <c r="B157" t="s">
        <v>26</v>
      </c>
      <c r="C157">
        <v>0.99053173000000005</v>
      </c>
    </row>
    <row r="158" spans="1:3" x14ac:dyDescent="0.25">
      <c r="A158">
        <v>125</v>
      </c>
      <c r="B158" t="s">
        <v>24</v>
      </c>
      <c r="C158">
        <v>7.5041000000000005E-3</v>
      </c>
    </row>
    <row r="159" spans="1:3" x14ac:dyDescent="0.25">
      <c r="A159">
        <v>126</v>
      </c>
      <c r="B159" t="s">
        <v>25</v>
      </c>
      <c r="C159">
        <v>0.97639336999999993</v>
      </c>
    </row>
    <row r="160" spans="1:3" x14ac:dyDescent="0.25">
      <c r="A160">
        <v>126</v>
      </c>
      <c r="B160" t="s">
        <v>26</v>
      </c>
      <c r="C160">
        <v>5.0882899999999997E-3</v>
      </c>
    </row>
    <row r="161" spans="1:3" x14ac:dyDescent="0.25">
      <c r="A161">
        <v>126</v>
      </c>
      <c r="B161" t="s">
        <v>24</v>
      </c>
      <c r="C161">
        <v>1.851825E-2</v>
      </c>
    </row>
    <row r="162" spans="1:3" x14ac:dyDescent="0.25">
      <c r="A162">
        <v>128</v>
      </c>
      <c r="B162" t="s">
        <v>25</v>
      </c>
      <c r="C162">
        <v>7.9399199999999996E-3</v>
      </c>
    </row>
    <row r="163" spans="1:3" x14ac:dyDescent="0.25">
      <c r="A163">
        <v>128</v>
      </c>
      <c r="B163" t="s">
        <v>26</v>
      </c>
      <c r="C163">
        <v>1.62869E-2</v>
      </c>
    </row>
    <row r="164" spans="1:3" x14ac:dyDescent="0.25">
      <c r="A164">
        <v>128</v>
      </c>
      <c r="B164" t="s">
        <v>24</v>
      </c>
      <c r="C164">
        <v>0.97577323000000005</v>
      </c>
    </row>
    <row r="165" spans="1:3" x14ac:dyDescent="0.25">
      <c r="A165">
        <v>129</v>
      </c>
      <c r="B165" t="s">
        <v>22</v>
      </c>
      <c r="C165">
        <v>1.2237299999999999E-3</v>
      </c>
    </row>
    <row r="166" spans="1:3" x14ac:dyDescent="0.25">
      <c r="A166">
        <v>129</v>
      </c>
      <c r="B166" t="s">
        <v>23</v>
      </c>
      <c r="C166">
        <v>0.99877626000000008</v>
      </c>
    </row>
    <row r="167" spans="1:3" x14ac:dyDescent="0.25">
      <c r="A167">
        <v>130</v>
      </c>
      <c r="B167" t="s">
        <v>22</v>
      </c>
      <c r="C167">
        <v>1.5694400000000001E-3</v>
      </c>
    </row>
    <row r="168" spans="1:3" x14ac:dyDescent="0.25">
      <c r="A168">
        <v>130</v>
      </c>
      <c r="B168" t="s">
        <v>23</v>
      </c>
      <c r="C168">
        <v>0.99843059000000001</v>
      </c>
    </row>
    <row r="169" spans="1:3" x14ac:dyDescent="0.25">
      <c r="A169">
        <v>131</v>
      </c>
      <c r="B169" t="s">
        <v>25</v>
      </c>
      <c r="C169">
        <v>3.5971999999999995E-4</v>
      </c>
    </row>
    <row r="170" spans="1:3" x14ac:dyDescent="0.25">
      <c r="A170">
        <v>131</v>
      </c>
      <c r="B170" t="s">
        <v>22</v>
      </c>
      <c r="C170">
        <v>0.99892898000000008</v>
      </c>
    </row>
    <row r="171" spans="1:3" x14ac:dyDescent="0.25">
      <c r="A171">
        <v>131</v>
      </c>
      <c r="B171" t="s">
        <v>24</v>
      </c>
      <c r="C171">
        <v>9.9000000000000001E-6</v>
      </c>
    </row>
    <row r="172" spans="1:3" x14ac:dyDescent="0.25">
      <c r="A172">
        <v>131</v>
      </c>
      <c r="B172" t="s">
        <v>23</v>
      </c>
      <c r="C172">
        <v>7.0138000000000004E-4</v>
      </c>
    </row>
    <row r="173" spans="1:3" x14ac:dyDescent="0.25">
      <c r="A173">
        <v>132</v>
      </c>
      <c r="B173" t="s">
        <v>25</v>
      </c>
      <c r="C173">
        <v>5.9999999999999997E-7</v>
      </c>
    </row>
    <row r="174" spans="1:3" x14ac:dyDescent="0.25">
      <c r="A174">
        <v>132</v>
      </c>
      <c r="B174" t="s">
        <v>22</v>
      </c>
      <c r="C174">
        <v>0.99999941000000003</v>
      </c>
    </row>
    <row r="175" spans="1:3" x14ac:dyDescent="0.25">
      <c r="A175">
        <v>133</v>
      </c>
      <c r="B175" t="s">
        <v>22</v>
      </c>
      <c r="C175">
        <v>0.99820766000000005</v>
      </c>
    </row>
    <row r="176" spans="1:3" x14ac:dyDescent="0.25">
      <c r="A176">
        <v>133</v>
      </c>
      <c r="B176" t="s">
        <v>23</v>
      </c>
      <c r="C176">
        <v>1.79233E-3</v>
      </c>
    </row>
    <row r="177" spans="1:3" x14ac:dyDescent="0.25">
      <c r="A177">
        <v>134</v>
      </c>
      <c r="B177" t="s">
        <v>25</v>
      </c>
      <c r="C177">
        <v>0.69658112000000005</v>
      </c>
    </row>
    <row r="178" spans="1:3" x14ac:dyDescent="0.25">
      <c r="A178">
        <v>134</v>
      </c>
      <c r="B178" t="s">
        <v>22</v>
      </c>
      <c r="C178">
        <v>0.30262981999999999</v>
      </c>
    </row>
    <row r="179" spans="1:3" x14ac:dyDescent="0.25">
      <c r="A179">
        <v>134</v>
      </c>
      <c r="B179" t="s">
        <v>24</v>
      </c>
      <c r="C179">
        <v>7.890900000000001E-4</v>
      </c>
    </row>
    <row r="180" spans="1:3" x14ac:dyDescent="0.25">
      <c r="A180">
        <v>135</v>
      </c>
      <c r="B180" t="s">
        <v>25</v>
      </c>
      <c r="C180">
        <v>9.1004899999999993E-3</v>
      </c>
    </row>
    <row r="181" spans="1:3" x14ac:dyDescent="0.25">
      <c r="A181">
        <v>135</v>
      </c>
      <c r="B181" t="s">
        <v>22</v>
      </c>
      <c r="C181">
        <v>0.9880206800000001</v>
      </c>
    </row>
    <row r="182" spans="1:3" x14ac:dyDescent="0.25">
      <c r="A182">
        <v>135</v>
      </c>
      <c r="B182" t="s">
        <v>24</v>
      </c>
      <c r="C182">
        <v>2.8788900000000003E-3</v>
      </c>
    </row>
    <row r="183" spans="1:3" x14ac:dyDescent="0.25">
      <c r="A183">
        <v>136</v>
      </c>
      <c r="B183" t="s">
        <v>25</v>
      </c>
      <c r="C183">
        <v>3.02506E-3</v>
      </c>
    </row>
    <row r="184" spans="1:3" x14ac:dyDescent="0.25">
      <c r="A184">
        <v>136</v>
      </c>
      <c r="B184" t="s">
        <v>22</v>
      </c>
      <c r="C184">
        <v>0.54353821999999996</v>
      </c>
    </row>
    <row r="185" spans="1:3" x14ac:dyDescent="0.25">
      <c r="A185">
        <v>136</v>
      </c>
      <c r="B185" t="s">
        <v>24</v>
      </c>
      <c r="C185">
        <v>0.45343679999999997</v>
      </c>
    </row>
    <row r="186" spans="1:3" x14ac:dyDescent="0.25">
      <c r="A186">
        <v>137</v>
      </c>
      <c r="B186" t="s">
        <v>25</v>
      </c>
      <c r="C186">
        <v>2.47956E-3</v>
      </c>
    </row>
    <row r="187" spans="1:3" x14ac:dyDescent="0.25">
      <c r="A187">
        <v>137</v>
      </c>
      <c r="B187" t="s">
        <v>22</v>
      </c>
      <c r="C187">
        <v>0.99371049</v>
      </c>
    </row>
    <row r="188" spans="1:3" x14ac:dyDescent="0.25">
      <c r="A188">
        <v>137</v>
      </c>
      <c r="B188" t="s">
        <v>24</v>
      </c>
      <c r="C188">
        <v>3.80978E-3</v>
      </c>
    </row>
    <row r="189" spans="1:3" x14ac:dyDescent="0.25">
      <c r="A189">
        <v>138</v>
      </c>
      <c r="B189" t="s">
        <v>22</v>
      </c>
      <c r="C189">
        <v>0.98275214000000011</v>
      </c>
    </row>
    <row r="190" spans="1:3" x14ac:dyDescent="0.25">
      <c r="A190">
        <v>138</v>
      </c>
      <c r="B190" t="s">
        <v>24</v>
      </c>
      <c r="C190">
        <v>3.0809999999999998E-5</v>
      </c>
    </row>
    <row r="191" spans="1:3" x14ac:dyDescent="0.25">
      <c r="A191">
        <v>138</v>
      </c>
      <c r="B191" t="s">
        <v>23</v>
      </c>
      <c r="C191">
        <v>1.7217050000000001E-2</v>
      </c>
    </row>
    <row r="192" spans="1:3" x14ac:dyDescent="0.25">
      <c r="A192">
        <v>139</v>
      </c>
      <c r="B192" t="s">
        <v>22</v>
      </c>
      <c r="C192">
        <v>0.99852796999999993</v>
      </c>
    </row>
    <row r="193" spans="1:3" x14ac:dyDescent="0.25">
      <c r="A193">
        <v>139</v>
      </c>
      <c r="B193" t="s">
        <v>24</v>
      </c>
      <c r="C193">
        <v>4.2360000000000001E-5</v>
      </c>
    </row>
    <row r="194" spans="1:3" x14ac:dyDescent="0.25">
      <c r="A194">
        <v>139</v>
      </c>
      <c r="B194" t="s">
        <v>23</v>
      </c>
      <c r="C194">
        <v>1.4296600000000001E-3</v>
      </c>
    </row>
    <row r="195" spans="1:3" x14ac:dyDescent="0.25">
      <c r="A195">
        <v>140</v>
      </c>
      <c r="B195" t="s">
        <v>22</v>
      </c>
      <c r="C195">
        <v>2.1295900000000002E-3</v>
      </c>
    </row>
    <row r="196" spans="1:3" x14ac:dyDescent="0.25">
      <c r="A196">
        <v>140</v>
      </c>
      <c r="B196" t="s">
        <v>24</v>
      </c>
      <c r="C196">
        <v>0.99787042999999997</v>
      </c>
    </row>
    <row r="197" spans="1:3" x14ac:dyDescent="0.25">
      <c r="A197">
        <v>141</v>
      </c>
      <c r="B197" t="s">
        <v>25</v>
      </c>
      <c r="C197">
        <v>0.28788053999999996</v>
      </c>
    </row>
    <row r="198" spans="1:3" x14ac:dyDescent="0.25">
      <c r="A198">
        <v>141</v>
      </c>
      <c r="B198" t="s">
        <v>26</v>
      </c>
      <c r="C198">
        <v>0.21403754</v>
      </c>
    </row>
    <row r="199" spans="1:3" x14ac:dyDescent="0.25">
      <c r="A199">
        <v>141</v>
      </c>
      <c r="B199" t="s">
        <v>24</v>
      </c>
      <c r="C199">
        <v>0.49808193000000001</v>
      </c>
    </row>
    <row r="200" spans="1:3" x14ac:dyDescent="0.25">
      <c r="A200">
        <v>143</v>
      </c>
      <c r="B200" t="s">
        <v>25</v>
      </c>
      <c r="C200">
        <v>0.94389253999999989</v>
      </c>
    </row>
    <row r="201" spans="1:3" x14ac:dyDescent="0.25">
      <c r="A201">
        <v>143</v>
      </c>
      <c r="B201" t="s">
        <v>22</v>
      </c>
      <c r="C201">
        <v>4.3159679999999999E-2</v>
      </c>
    </row>
    <row r="202" spans="1:3" x14ac:dyDescent="0.25">
      <c r="A202">
        <v>143</v>
      </c>
      <c r="B202" t="s">
        <v>26</v>
      </c>
      <c r="C202">
        <v>1.0178119999999999E-2</v>
      </c>
    </row>
    <row r="203" spans="1:3" x14ac:dyDescent="0.25">
      <c r="A203">
        <v>143</v>
      </c>
      <c r="B203" t="s">
        <v>24</v>
      </c>
      <c r="C203">
        <v>2.76961E-3</v>
      </c>
    </row>
    <row r="204" spans="1:3" x14ac:dyDescent="0.25">
      <c r="A204">
        <v>144</v>
      </c>
      <c r="B204" t="s">
        <v>25</v>
      </c>
      <c r="C204">
        <v>0.98091384999999998</v>
      </c>
    </row>
    <row r="205" spans="1:3" x14ac:dyDescent="0.25">
      <c r="A205">
        <v>144</v>
      </c>
      <c r="B205" t="s">
        <v>26</v>
      </c>
      <c r="C205">
        <v>1.2366599999999999E-3</v>
      </c>
    </row>
    <row r="206" spans="1:3" x14ac:dyDescent="0.25">
      <c r="A206">
        <v>144</v>
      </c>
      <c r="B206" t="s">
        <v>24</v>
      </c>
      <c r="C206">
        <v>1.7849569999999999E-2</v>
      </c>
    </row>
    <row r="207" spans="1:3" x14ac:dyDescent="0.25">
      <c r="A207">
        <v>146</v>
      </c>
      <c r="B207" t="s">
        <v>25</v>
      </c>
      <c r="C207">
        <v>5.5577589999999996E-2</v>
      </c>
    </row>
    <row r="208" spans="1:3" x14ac:dyDescent="0.25">
      <c r="A208">
        <v>146</v>
      </c>
      <c r="B208" t="s">
        <v>24</v>
      </c>
      <c r="C208">
        <v>0.94442238000000001</v>
      </c>
    </row>
    <row r="209" spans="1:3" x14ac:dyDescent="0.25">
      <c r="A209">
        <v>147</v>
      </c>
      <c r="B209" t="s">
        <v>22</v>
      </c>
      <c r="C209">
        <v>1.1633269999999999E-2</v>
      </c>
    </row>
    <row r="210" spans="1:3" x14ac:dyDescent="0.25">
      <c r="A210">
        <v>147</v>
      </c>
      <c r="B210" t="s">
        <v>24</v>
      </c>
      <c r="C210">
        <v>0.98836673000000008</v>
      </c>
    </row>
    <row r="211" spans="1:3" x14ac:dyDescent="0.25">
      <c r="A211">
        <v>148</v>
      </c>
      <c r="B211" t="s">
        <v>22</v>
      </c>
      <c r="C211">
        <v>1.1092280000000001E-2</v>
      </c>
    </row>
    <row r="212" spans="1:3" x14ac:dyDescent="0.25">
      <c r="A212">
        <v>148</v>
      </c>
      <c r="B212" t="s">
        <v>24</v>
      </c>
      <c r="C212">
        <v>0.98890769000000001</v>
      </c>
    </row>
    <row r="213" spans="1:3" x14ac:dyDescent="0.25">
      <c r="A213">
        <v>149</v>
      </c>
      <c r="B213" t="s">
        <v>25</v>
      </c>
      <c r="C213">
        <v>0.98970135999999997</v>
      </c>
    </row>
    <row r="214" spans="1:3" x14ac:dyDescent="0.25">
      <c r="A214">
        <v>149</v>
      </c>
      <c r="B214" t="s">
        <v>24</v>
      </c>
      <c r="C214">
        <v>1.0298670000000001E-2</v>
      </c>
    </row>
    <row r="215" spans="1:3" x14ac:dyDescent="0.25">
      <c r="A215">
        <v>150</v>
      </c>
      <c r="B215" t="s">
        <v>25</v>
      </c>
      <c r="C215">
        <v>7.877779E-2</v>
      </c>
    </row>
    <row r="216" spans="1:3" x14ac:dyDescent="0.25">
      <c r="A216">
        <v>150</v>
      </c>
      <c r="B216" t="s">
        <v>24</v>
      </c>
      <c r="C216">
        <v>0.92122214999999996</v>
      </c>
    </row>
    <row r="217" spans="1:3" x14ac:dyDescent="0.25">
      <c r="A217">
        <v>151</v>
      </c>
      <c r="B217" t="s">
        <v>25</v>
      </c>
      <c r="C217">
        <v>0.33777542999999999</v>
      </c>
    </row>
    <row r="218" spans="1:3" x14ac:dyDescent="0.25">
      <c r="A218">
        <v>151</v>
      </c>
      <c r="B218" t="s">
        <v>24</v>
      </c>
      <c r="C218">
        <v>0.66222475999999997</v>
      </c>
    </row>
    <row r="219" spans="1:3" x14ac:dyDescent="0.25">
      <c r="A219">
        <v>152</v>
      </c>
      <c r="B219" t="s">
        <v>22</v>
      </c>
      <c r="C219">
        <v>0.99596793000000006</v>
      </c>
    </row>
    <row r="220" spans="1:3" x14ac:dyDescent="0.25">
      <c r="A220">
        <v>152</v>
      </c>
      <c r="B220" t="s">
        <v>23</v>
      </c>
      <c r="C220">
        <v>4.0320800000000004E-3</v>
      </c>
    </row>
    <row r="221" spans="1:3" x14ac:dyDescent="0.25">
      <c r="A221">
        <v>153</v>
      </c>
      <c r="B221" t="s">
        <v>22</v>
      </c>
      <c r="C221">
        <v>0.99666343000000002</v>
      </c>
    </row>
    <row r="222" spans="1:3" x14ac:dyDescent="0.25">
      <c r="A222">
        <v>153</v>
      </c>
      <c r="B222" t="s">
        <v>24</v>
      </c>
      <c r="C222">
        <v>2.4144999999999999E-4</v>
      </c>
    </row>
    <row r="223" spans="1:3" x14ac:dyDescent="0.25">
      <c r="A223">
        <v>153</v>
      </c>
      <c r="B223" t="s">
        <v>23</v>
      </c>
      <c r="C223">
        <v>3.0951099999999999E-3</v>
      </c>
    </row>
    <row r="224" spans="1:3" x14ac:dyDescent="0.25">
      <c r="A224">
        <v>154</v>
      </c>
      <c r="B224" t="s">
        <v>22</v>
      </c>
      <c r="C224">
        <v>9.8407599999999987E-3</v>
      </c>
    </row>
    <row r="225" spans="1:3" x14ac:dyDescent="0.25">
      <c r="A225">
        <v>154</v>
      </c>
      <c r="B225" t="s">
        <v>24</v>
      </c>
      <c r="C225">
        <v>0.99015925999999999</v>
      </c>
    </row>
    <row r="226" spans="1:3" x14ac:dyDescent="0.25">
      <c r="A226">
        <v>155</v>
      </c>
      <c r="B226" t="s">
        <v>25</v>
      </c>
      <c r="C226">
        <v>1.2164599999999999E-3</v>
      </c>
    </row>
    <row r="227" spans="1:3" x14ac:dyDescent="0.25">
      <c r="A227">
        <v>155</v>
      </c>
      <c r="B227" t="s">
        <v>24</v>
      </c>
      <c r="C227">
        <v>0.99878354000000003</v>
      </c>
    </row>
    <row r="228" spans="1:3" x14ac:dyDescent="0.25">
      <c r="A228">
        <v>156</v>
      </c>
      <c r="B228" t="s">
        <v>25</v>
      </c>
      <c r="C228">
        <v>0.29126702000000004</v>
      </c>
    </row>
    <row r="229" spans="1:3" x14ac:dyDescent="0.25">
      <c r="A229">
        <v>156</v>
      </c>
      <c r="B229" t="s">
        <v>24</v>
      </c>
      <c r="C229">
        <v>0.70873282999999998</v>
      </c>
    </row>
    <row r="230" spans="1:3" x14ac:dyDescent="0.25">
      <c r="A230">
        <v>158</v>
      </c>
      <c r="B230" t="s">
        <v>25</v>
      </c>
      <c r="C230">
        <v>0.37679400000000002</v>
      </c>
    </row>
    <row r="231" spans="1:3" x14ac:dyDescent="0.25">
      <c r="A231">
        <v>158</v>
      </c>
      <c r="B231" t="s">
        <v>24</v>
      </c>
      <c r="C231">
        <v>0.62320602999999997</v>
      </c>
    </row>
    <row r="232" spans="1:3" x14ac:dyDescent="0.25">
      <c r="A232">
        <v>162</v>
      </c>
      <c r="B232" t="s">
        <v>25</v>
      </c>
      <c r="C232">
        <v>0.95250735000000009</v>
      </c>
    </row>
    <row r="233" spans="1:3" x14ac:dyDescent="0.25">
      <c r="A233">
        <v>162</v>
      </c>
      <c r="B233" t="s">
        <v>24</v>
      </c>
      <c r="C233">
        <v>4.7492760000000002E-2</v>
      </c>
    </row>
    <row r="234" spans="1:3" x14ac:dyDescent="0.25">
      <c r="A234">
        <v>164</v>
      </c>
      <c r="B234" t="s">
        <v>25</v>
      </c>
      <c r="C234">
        <v>7.4450859999999994E-2</v>
      </c>
    </row>
    <row r="235" spans="1:3" x14ac:dyDescent="0.25">
      <c r="A235">
        <v>164</v>
      </c>
      <c r="B235" t="s">
        <v>26</v>
      </c>
      <c r="C235">
        <v>2.4002799999999999E-3</v>
      </c>
    </row>
    <row r="236" spans="1:3" x14ac:dyDescent="0.25">
      <c r="A236">
        <v>164</v>
      </c>
      <c r="B236" t="s">
        <v>24</v>
      </c>
      <c r="C236">
        <v>0.92314881999999998</v>
      </c>
    </row>
    <row r="237" spans="1:3" x14ac:dyDescent="0.25">
      <c r="A237">
        <v>168</v>
      </c>
      <c r="B237" t="s">
        <v>22</v>
      </c>
      <c r="C237">
        <v>6.2882700000000003E-3</v>
      </c>
    </row>
    <row r="238" spans="1:3" x14ac:dyDescent="0.25">
      <c r="A238">
        <v>168</v>
      </c>
      <c r="B238" t="s">
        <v>24</v>
      </c>
      <c r="C238">
        <v>0.99371174999999989</v>
      </c>
    </row>
    <row r="239" spans="1:3" x14ac:dyDescent="0.25">
      <c r="A239">
        <v>169</v>
      </c>
      <c r="B239" t="s">
        <v>22</v>
      </c>
      <c r="C239">
        <v>0.99999999000000006</v>
      </c>
    </row>
    <row r="240" spans="1:3" x14ac:dyDescent="0.25">
      <c r="A240">
        <v>170</v>
      </c>
      <c r="B240" t="s">
        <v>22</v>
      </c>
      <c r="C240">
        <v>0.99894430999999995</v>
      </c>
    </row>
    <row r="241" spans="1:3" x14ac:dyDescent="0.25">
      <c r="A241">
        <v>170</v>
      </c>
      <c r="B241" t="s">
        <v>23</v>
      </c>
      <c r="C241">
        <v>1.05568E-3</v>
      </c>
    </row>
    <row r="242" spans="1:3" x14ac:dyDescent="0.25">
      <c r="A242">
        <v>171</v>
      </c>
      <c r="B242" t="s">
        <v>22</v>
      </c>
      <c r="C242">
        <v>1</v>
      </c>
    </row>
    <row r="243" spans="1:3" x14ac:dyDescent="0.25">
      <c r="A243">
        <v>172</v>
      </c>
      <c r="B243" t="s">
        <v>22</v>
      </c>
      <c r="C243">
        <v>6.97855E-3</v>
      </c>
    </row>
    <row r="244" spans="1:3" x14ac:dyDescent="0.25">
      <c r="A244">
        <v>172</v>
      </c>
      <c r="B244" t="s">
        <v>24</v>
      </c>
      <c r="C244">
        <v>0.99302139999999994</v>
      </c>
    </row>
    <row r="245" spans="1:3" x14ac:dyDescent="0.25">
      <c r="A245">
        <v>173</v>
      </c>
      <c r="B245" t="s">
        <v>25</v>
      </c>
      <c r="C245">
        <v>0.23071487000000002</v>
      </c>
    </row>
    <row r="246" spans="1:3" x14ac:dyDescent="0.25">
      <c r="A246">
        <v>173</v>
      </c>
      <c r="B246" t="s">
        <v>22</v>
      </c>
      <c r="C246">
        <v>3.7345099999999999E-3</v>
      </c>
    </row>
    <row r="247" spans="1:3" x14ac:dyDescent="0.25">
      <c r="A247">
        <v>173</v>
      </c>
      <c r="B247" t="s">
        <v>26</v>
      </c>
      <c r="C247">
        <v>0.24981508000000002</v>
      </c>
    </row>
    <row r="248" spans="1:3" x14ac:dyDescent="0.25">
      <c r="A248">
        <v>173</v>
      </c>
      <c r="B248" t="s">
        <v>24</v>
      </c>
      <c r="C248">
        <v>0.51573559000000002</v>
      </c>
    </row>
    <row r="249" spans="1:3" x14ac:dyDescent="0.25">
      <c r="A249">
        <v>180</v>
      </c>
      <c r="B249" t="s">
        <v>25</v>
      </c>
      <c r="C249">
        <v>6.6000000000000003E-7</v>
      </c>
    </row>
    <row r="250" spans="1:3" x14ac:dyDescent="0.25">
      <c r="A250">
        <v>180</v>
      </c>
      <c r="B250" t="s">
        <v>22</v>
      </c>
      <c r="C250">
        <v>2.9320080000000002E-2</v>
      </c>
    </row>
    <row r="251" spans="1:3" x14ac:dyDescent="0.25">
      <c r="A251">
        <v>180</v>
      </c>
      <c r="B251" t="s">
        <v>26</v>
      </c>
      <c r="C251">
        <v>0.23350704</v>
      </c>
    </row>
    <row r="252" spans="1:3" x14ac:dyDescent="0.25">
      <c r="A252">
        <v>180</v>
      </c>
      <c r="B252" t="s">
        <v>24</v>
      </c>
      <c r="C252">
        <v>0.73717219999999994</v>
      </c>
    </row>
    <row r="253" spans="1:3" x14ac:dyDescent="0.25">
      <c r="A253">
        <v>185</v>
      </c>
      <c r="B253" t="s">
        <v>22</v>
      </c>
      <c r="C253">
        <v>0.99975656999999996</v>
      </c>
    </row>
    <row r="254" spans="1:3" x14ac:dyDescent="0.25">
      <c r="A254">
        <v>185</v>
      </c>
      <c r="B254" t="s">
        <v>23</v>
      </c>
      <c r="C254">
        <v>2.4344000000000001E-4</v>
      </c>
    </row>
    <row r="255" spans="1:3" x14ac:dyDescent="0.25">
      <c r="A255">
        <v>186</v>
      </c>
      <c r="B255" t="s">
        <v>22</v>
      </c>
      <c r="C255">
        <v>0.98622620999999999</v>
      </c>
    </row>
    <row r="256" spans="1:3" x14ac:dyDescent="0.25">
      <c r="A256">
        <v>186</v>
      </c>
      <c r="B256" t="s">
        <v>24</v>
      </c>
      <c r="C256">
        <v>1.377368E-2</v>
      </c>
    </row>
    <row r="257" spans="1:3" x14ac:dyDescent="0.25">
      <c r="A257">
        <v>189</v>
      </c>
      <c r="B257" t="s">
        <v>25</v>
      </c>
      <c r="C257">
        <v>2.1041000000000001E-4</v>
      </c>
    </row>
    <row r="258" spans="1:3" x14ac:dyDescent="0.25">
      <c r="A258">
        <v>189</v>
      </c>
      <c r="B258" t="s">
        <v>22</v>
      </c>
      <c r="C258">
        <v>0.20931591000000002</v>
      </c>
    </row>
    <row r="259" spans="1:3" x14ac:dyDescent="0.25">
      <c r="A259">
        <v>189</v>
      </c>
      <c r="B259" t="s">
        <v>26</v>
      </c>
      <c r="C259">
        <v>0.33878123000000004</v>
      </c>
    </row>
    <row r="260" spans="1:3" x14ac:dyDescent="0.25">
      <c r="A260">
        <v>189</v>
      </c>
      <c r="B260" t="s">
        <v>24</v>
      </c>
      <c r="C260">
        <v>0.45169255999999997</v>
      </c>
    </row>
    <row r="261" spans="1:3" x14ac:dyDescent="0.25">
      <c r="A261">
        <v>193</v>
      </c>
      <c r="B261" t="s">
        <v>22</v>
      </c>
      <c r="C261">
        <v>0.99908494999999997</v>
      </c>
    </row>
    <row r="262" spans="1:3" x14ac:dyDescent="0.25">
      <c r="A262">
        <v>193</v>
      </c>
      <c r="B262" t="s">
        <v>23</v>
      </c>
      <c r="C262">
        <v>9.1498999999999997E-4</v>
      </c>
    </row>
    <row r="263" spans="1:3" x14ac:dyDescent="0.25">
      <c r="A263">
        <v>194</v>
      </c>
      <c r="B263" t="s">
        <v>25</v>
      </c>
      <c r="C263">
        <v>0.34071168000000002</v>
      </c>
    </row>
    <row r="264" spans="1:3" x14ac:dyDescent="0.25">
      <c r="A264">
        <v>194</v>
      </c>
      <c r="B264" t="s">
        <v>26</v>
      </c>
      <c r="C264">
        <v>1.9054299999999998E-3</v>
      </c>
    </row>
    <row r="265" spans="1:3" x14ac:dyDescent="0.25">
      <c r="A265">
        <v>194</v>
      </c>
      <c r="B265" t="s">
        <v>24</v>
      </c>
      <c r="C265">
        <v>0.65738288999999994</v>
      </c>
    </row>
    <row r="266" spans="1:3" x14ac:dyDescent="0.25">
      <c r="A266">
        <v>196</v>
      </c>
      <c r="B266" t="s">
        <v>25</v>
      </c>
      <c r="C266">
        <v>2.6230799999999999E-3</v>
      </c>
    </row>
    <row r="267" spans="1:3" x14ac:dyDescent="0.25">
      <c r="A267">
        <v>196</v>
      </c>
      <c r="B267" t="s">
        <v>22</v>
      </c>
      <c r="C267">
        <v>9.7869999999999988E-4</v>
      </c>
    </row>
    <row r="268" spans="1:3" x14ac:dyDescent="0.25">
      <c r="A268">
        <v>196</v>
      </c>
      <c r="B268" t="s">
        <v>26</v>
      </c>
      <c r="C268">
        <v>1.0139769999999999E-2</v>
      </c>
    </row>
    <row r="269" spans="1:3" x14ac:dyDescent="0.25">
      <c r="A269">
        <v>196</v>
      </c>
      <c r="B269" t="s">
        <v>24</v>
      </c>
      <c r="C269">
        <v>0.98625843999999996</v>
      </c>
    </row>
    <row r="270" spans="1:3" x14ac:dyDescent="0.25">
      <c r="A270">
        <v>200</v>
      </c>
      <c r="B270" t="s">
        <v>25</v>
      </c>
      <c r="C270">
        <v>0.96647536000000001</v>
      </c>
    </row>
    <row r="271" spans="1:3" x14ac:dyDescent="0.25">
      <c r="A271">
        <v>200</v>
      </c>
      <c r="B271" t="s">
        <v>24</v>
      </c>
      <c r="C271">
        <v>3.3524650000000003E-2</v>
      </c>
    </row>
    <row r="272" spans="1:3" x14ac:dyDescent="0.25">
      <c r="A272">
        <v>204</v>
      </c>
      <c r="B272" t="s">
        <v>22</v>
      </c>
      <c r="C272">
        <v>0.99830420000000009</v>
      </c>
    </row>
    <row r="273" spans="1:3" x14ac:dyDescent="0.25">
      <c r="A273">
        <v>204</v>
      </c>
      <c r="B273" t="s">
        <v>24</v>
      </c>
      <c r="C273">
        <v>1.6958300000000002E-3</v>
      </c>
    </row>
    <row r="274" spans="1:3" x14ac:dyDescent="0.25">
      <c r="A274">
        <v>205</v>
      </c>
      <c r="B274" t="s">
        <v>22</v>
      </c>
      <c r="C274">
        <v>0.99915997000000001</v>
      </c>
    </row>
    <row r="275" spans="1:3" x14ac:dyDescent="0.25">
      <c r="A275">
        <v>205</v>
      </c>
      <c r="B275" t="s">
        <v>24</v>
      </c>
      <c r="C275">
        <v>4.6253E-4</v>
      </c>
    </row>
    <row r="276" spans="1:3" x14ac:dyDescent="0.25">
      <c r="A276">
        <v>205</v>
      </c>
      <c r="B276" t="s">
        <v>23</v>
      </c>
      <c r="C276">
        <v>3.7748999999999997E-4</v>
      </c>
    </row>
    <row r="277" spans="1:3" x14ac:dyDescent="0.25">
      <c r="A277">
        <v>206</v>
      </c>
      <c r="B277" t="s">
        <v>22</v>
      </c>
      <c r="C277">
        <v>0.99939706000000006</v>
      </c>
    </row>
    <row r="278" spans="1:3" x14ac:dyDescent="0.25">
      <c r="A278">
        <v>206</v>
      </c>
      <c r="B278" t="s">
        <v>24</v>
      </c>
      <c r="C278">
        <v>3.3303E-4</v>
      </c>
    </row>
    <row r="279" spans="1:3" x14ac:dyDescent="0.25">
      <c r="A279">
        <v>206</v>
      </c>
      <c r="B279" t="s">
        <v>23</v>
      </c>
      <c r="C279">
        <v>2.6991E-4</v>
      </c>
    </row>
    <row r="280" spans="1:3" x14ac:dyDescent="0.25">
      <c r="A280">
        <v>207</v>
      </c>
      <c r="B280" t="s">
        <v>22</v>
      </c>
      <c r="C280">
        <v>0.21549694999999999</v>
      </c>
    </row>
    <row r="281" spans="1:3" x14ac:dyDescent="0.25">
      <c r="A281">
        <v>207</v>
      </c>
      <c r="B281" t="s">
        <v>23</v>
      </c>
      <c r="C281">
        <v>0.78450306000000003</v>
      </c>
    </row>
    <row r="282" spans="1:3" x14ac:dyDescent="0.25">
      <c r="A282">
        <v>211</v>
      </c>
      <c r="B282" t="s">
        <v>25</v>
      </c>
      <c r="C282">
        <v>0.96751153000000001</v>
      </c>
    </row>
    <row r="283" spans="1:3" x14ac:dyDescent="0.25">
      <c r="A283">
        <v>211</v>
      </c>
      <c r="B283" t="s">
        <v>22</v>
      </c>
      <c r="C283">
        <v>1.03365E-2</v>
      </c>
    </row>
    <row r="284" spans="1:3" x14ac:dyDescent="0.25">
      <c r="A284">
        <v>211</v>
      </c>
      <c r="B284" t="s">
        <v>24</v>
      </c>
      <c r="C284">
        <v>2.215199E-2</v>
      </c>
    </row>
    <row r="285" spans="1:3" x14ac:dyDescent="0.25">
      <c r="A285">
        <v>212</v>
      </c>
      <c r="B285" t="s">
        <v>25</v>
      </c>
      <c r="C285">
        <v>0.99281971000000002</v>
      </c>
    </row>
    <row r="286" spans="1:3" x14ac:dyDescent="0.25">
      <c r="A286">
        <v>212</v>
      </c>
      <c r="B286" t="s">
        <v>26</v>
      </c>
      <c r="C286">
        <v>7.1802400000000001E-3</v>
      </c>
    </row>
    <row r="287" spans="1:3" x14ac:dyDescent="0.25">
      <c r="A287">
        <v>213</v>
      </c>
      <c r="B287" t="s">
        <v>25</v>
      </c>
      <c r="C287">
        <v>2.6793819999999999E-2</v>
      </c>
    </row>
    <row r="288" spans="1:3" x14ac:dyDescent="0.25">
      <c r="A288">
        <v>213</v>
      </c>
      <c r="B288" t="s">
        <v>26</v>
      </c>
      <c r="C288">
        <v>0.91129141000000002</v>
      </c>
    </row>
    <row r="289" spans="1:3" x14ac:dyDescent="0.25">
      <c r="A289">
        <v>213</v>
      </c>
      <c r="B289" t="s">
        <v>24</v>
      </c>
      <c r="C289">
        <v>6.1914730000000001E-2</v>
      </c>
    </row>
    <row r="290" spans="1:3" x14ac:dyDescent="0.25">
      <c r="A290">
        <v>214</v>
      </c>
      <c r="B290" t="s">
        <v>26</v>
      </c>
      <c r="C290">
        <v>0.20072572</v>
      </c>
    </row>
    <row r="291" spans="1:3" x14ac:dyDescent="0.25">
      <c r="A291">
        <v>214</v>
      </c>
      <c r="B291" t="s">
        <v>24</v>
      </c>
      <c r="C291">
        <v>0.79927435000000002</v>
      </c>
    </row>
    <row r="292" spans="1:3" x14ac:dyDescent="0.25">
      <c r="A292">
        <v>220</v>
      </c>
      <c r="B292" t="s">
        <v>25</v>
      </c>
      <c r="C292">
        <v>0.96390034000000002</v>
      </c>
    </row>
    <row r="293" spans="1:3" x14ac:dyDescent="0.25">
      <c r="A293">
        <v>220</v>
      </c>
      <c r="B293" t="s">
        <v>26</v>
      </c>
      <c r="C293">
        <v>3.5083929999999999E-2</v>
      </c>
    </row>
    <row r="294" spans="1:3" x14ac:dyDescent="0.25">
      <c r="A294">
        <v>220</v>
      </c>
      <c r="B294" t="s">
        <v>24</v>
      </c>
      <c r="C294">
        <v>1.0156500000000001E-3</v>
      </c>
    </row>
    <row r="295" spans="1:3" x14ac:dyDescent="0.25">
      <c r="A295">
        <v>221</v>
      </c>
      <c r="B295" t="s">
        <v>25</v>
      </c>
      <c r="C295">
        <v>1</v>
      </c>
    </row>
    <row r="296" spans="1:3" x14ac:dyDescent="0.25">
      <c r="A296">
        <v>222</v>
      </c>
      <c r="B296" t="s">
        <v>25</v>
      </c>
      <c r="C296">
        <v>0.98373568000000011</v>
      </c>
    </row>
    <row r="297" spans="1:3" x14ac:dyDescent="0.25">
      <c r="A297">
        <v>222</v>
      </c>
      <c r="B297" t="s">
        <v>24</v>
      </c>
      <c r="C297">
        <v>1.6264270000000001E-2</v>
      </c>
    </row>
    <row r="298" spans="1:3" x14ac:dyDescent="0.25">
      <c r="A298">
        <v>223</v>
      </c>
      <c r="B298" t="s">
        <v>25</v>
      </c>
      <c r="C298">
        <v>0.99994967999999995</v>
      </c>
    </row>
    <row r="299" spans="1:3" x14ac:dyDescent="0.25">
      <c r="A299">
        <v>223</v>
      </c>
      <c r="B299" t="s">
        <v>26</v>
      </c>
      <c r="C299">
        <v>4.0259999999999997E-5</v>
      </c>
    </row>
    <row r="300" spans="1:3" x14ac:dyDescent="0.25">
      <c r="A300">
        <v>223</v>
      </c>
      <c r="B300" t="s">
        <v>24</v>
      </c>
      <c r="C300">
        <v>1.0000000000000001E-5</v>
      </c>
    </row>
    <row r="301" spans="1:3" x14ac:dyDescent="0.25">
      <c r="A301">
        <v>224</v>
      </c>
      <c r="B301" t="s">
        <v>25</v>
      </c>
      <c r="C301">
        <v>1.9541909999999999E-2</v>
      </c>
    </row>
    <row r="302" spans="1:3" x14ac:dyDescent="0.25">
      <c r="A302">
        <v>224</v>
      </c>
      <c r="B302" t="s">
        <v>26</v>
      </c>
      <c r="C302">
        <v>1.2770330000000002E-2</v>
      </c>
    </row>
    <row r="303" spans="1:3" x14ac:dyDescent="0.25">
      <c r="A303">
        <v>224</v>
      </c>
      <c r="B303" t="s">
        <v>24</v>
      </c>
      <c r="C303">
        <v>0.9676878000000001</v>
      </c>
    </row>
    <row r="304" spans="1:3" x14ac:dyDescent="0.25">
      <c r="A304">
        <v>225</v>
      </c>
      <c r="B304" t="s">
        <v>25</v>
      </c>
      <c r="C304">
        <v>0.99233725000000006</v>
      </c>
    </row>
    <row r="305" spans="1:3" x14ac:dyDescent="0.25">
      <c r="A305">
        <v>225</v>
      </c>
      <c r="B305" t="s">
        <v>26</v>
      </c>
      <c r="C305">
        <v>7.6415100000000007E-3</v>
      </c>
    </row>
    <row r="306" spans="1:3" x14ac:dyDescent="0.25">
      <c r="A306">
        <v>225</v>
      </c>
      <c r="B306" t="s">
        <v>24</v>
      </c>
      <c r="C306">
        <v>2.1289999999999998E-5</v>
      </c>
    </row>
    <row r="307" spans="1:3" x14ac:dyDescent="0.25">
      <c r="A307">
        <v>226</v>
      </c>
      <c r="B307" t="s">
        <v>25</v>
      </c>
      <c r="C307">
        <v>0.89664336000000011</v>
      </c>
    </row>
    <row r="308" spans="1:3" x14ac:dyDescent="0.25">
      <c r="A308">
        <v>226</v>
      </c>
      <c r="B308" t="s">
        <v>22</v>
      </c>
      <c r="C308">
        <v>3.1329400000000003E-3</v>
      </c>
    </row>
    <row r="309" spans="1:3" x14ac:dyDescent="0.25">
      <c r="A309">
        <v>226</v>
      </c>
      <c r="B309" t="s">
        <v>26</v>
      </c>
      <c r="C309">
        <v>0.1002237</v>
      </c>
    </row>
    <row r="310" spans="1:3" x14ac:dyDescent="0.25">
      <c r="A310">
        <v>227</v>
      </c>
      <c r="B310" t="s">
        <v>25</v>
      </c>
      <c r="C310">
        <v>7.3952439999999994E-2</v>
      </c>
    </row>
    <row r="311" spans="1:3" x14ac:dyDescent="0.25">
      <c r="A311">
        <v>227</v>
      </c>
      <c r="B311" t="s">
        <v>22</v>
      </c>
      <c r="C311">
        <v>9.6641699999999997E-3</v>
      </c>
    </row>
    <row r="312" spans="1:3" x14ac:dyDescent="0.25">
      <c r="A312">
        <v>227</v>
      </c>
      <c r="B312" t="s">
        <v>26</v>
      </c>
      <c r="C312">
        <v>0.91177696999999991</v>
      </c>
    </row>
    <row r="313" spans="1:3" x14ac:dyDescent="0.25">
      <c r="A313">
        <v>227</v>
      </c>
      <c r="B313" t="s">
        <v>24</v>
      </c>
      <c r="C313">
        <v>4.6064000000000001E-3</v>
      </c>
    </row>
    <row r="314" spans="1:3" x14ac:dyDescent="0.25">
      <c r="A314">
        <v>229</v>
      </c>
      <c r="B314" t="s">
        <v>25</v>
      </c>
      <c r="C314">
        <v>3.0136219999999998E-2</v>
      </c>
    </row>
    <row r="315" spans="1:3" x14ac:dyDescent="0.25">
      <c r="A315">
        <v>229</v>
      </c>
      <c r="B315" t="s">
        <v>26</v>
      </c>
      <c r="C315">
        <v>0.96080065999999997</v>
      </c>
    </row>
    <row r="316" spans="1:3" x14ac:dyDescent="0.25">
      <c r="A316">
        <v>229</v>
      </c>
      <c r="B316" t="s">
        <v>24</v>
      </c>
      <c r="C316">
        <v>9.0630699999999995E-3</v>
      </c>
    </row>
    <row r="317" spans="1:3" x14ac:dyDescent="0.25">
      <c r="A317">
        <v>230</v>
      </c>
      <c r="B317" t="s">
        <v>25</v>
      </c>
      <c r="C317">
        <v>8.5091000000000003E-3</v>
      </c>
    </row>
    <row r="318" spans="1:3" x14ac:dyDescent="0.25">
      <c r="A318">
        <v>230</v>
      </c>
      <c r="B318" t="s">
        <v>24</v>
      </c>
      <c r="C318">
        <v>0.99149097999999991</v>
      </c>
    </row>
    <row r="319" spans="1:3" x14ac:dyDescent="0.25">
      <c r="A319">
        <v>231</v>
      </c>
      <c r="B319" t="s">
        <v>26</v>
      </c>
      <c r="C319">
        <v>2.1269399999999999E-3</v>
      </c>
    </row>
    <row r="320" spans="1:3" x14ac:dyDescent="0.25">
      <c r="A320">
        <v>231</v>
      </c>
      <c r="B320" t="s">
        <v>24</v>
      </c>
      <c r="C320">
        <v>0.99787305000000004</v>
      </c>
    </row>
    <row r="321" spans="1:3" x14ac:dyDescent="0.25">
      <c r="A321">
        <v>232</v>
      </c>
      <c r="B321" t="s">
        <v>26</v>
      </c>
      <c r="C321">
        <v>0.37375258</v>
      </c>
    </row>
    <row r="322" spans="1:3" x14ac:dyDescent="0.25">
      <c r="A322">
        <v>232</v>
      </c>
      <c r="B322" t="s">
        <v>24</v>
      </c>
      <c r="C322">
        <v>0.62624744999999993</v>
      </c>
    </row>
    <row r="323" spans="1:3" x14ac:dyDescent="0.25">
      <c r="A323">
        <v>233</v>
      </c>
      <c r="B323" t="s">
        <v>26</v>
      </c>
      <c r="C323">
        <v>0.99767943999999997</v>
      </c>
    </row>
    <row r="324" spans="1:3" x14ac:dyDescent="0.25">
      <c r="A324">
        <v>233</v>
      </c>
      <c r="B324" t="s">
        <v>24</v>
      </c>
      <c r="C324">
        <v>2.3206400000000001E-3</v>
      </c>
    </row>
    <row r="325" spans="1:3" x14ac:dyDescent="0.25">
      <c r="A325">
        <v>234</v>
      </c>
      <c r="B325" t="s">
        <v>25</v>
      </c>
      <c r="C325">
        <v>3.9817999999999997E-3</v>
      </c>
    </row>
    <row r="326" spans="1:3" x14ac:dyDescent="0.25">
      <c r="A326">
        <v>234</v>
      </c>
      <c r="B326" t="s">
        <v>26</v>
      </c>
      <c r="C326">
        <v>0.99351484000000001</v>
      </c>
    </row>
    <row r="327" spans="1:3" x14ac:dyDescent="0.25">
      <c r="A327">
        <v>234</v>
      </c>
      <c r="B327" t="s">
        <v>24</v>
      </c>
      <c r="C327">
        <v>2.5032700000000001E-3</v>
      </c>
    </row>
    <row r="328" spans="1:3" x14ac:dyDescent="0.25">
      <c r="A328">
        <v>235</v>
      </c>
      <c r="B328" t="s">
        <v>25</v>
      </c>
      <c r="C328">
        <v>0.99532801000000004</v>
      </c>
    </row>
    <row r="329" spans="1:3" x14ac:dyDescent="0.25">
      <c r="A329">
        <v>235</v>
      </c>
      <c r="B329" t="s">
        <v>26</v>
      </c>
      <c r="C329">
        <v>4.6719600000000002E-3</v>
      </c>
    </row>
    <row r="330" spans="1:3" x14ac:dyDescent="0.25">
      <c r="A330">
        <v>236</v>
      </c>
      <c r="B330" t="s">
        <v>22</v>
      </c>
      <c r="C330">
        <v>9.99098E-3</v>
      </c>
    </row>
    <row r="331" spans="1:3" x14ac:dyDescent="0.25">
      <c r="A331">
        <v>236</v>
      </c>
      <c r="B331" t="s">
        <v>26</v>
      </c>
      <c r="C331">
        <v>0.99000908999999992</v>
      </c>
    </row>
    <row r="332" spans="1:3" x14ac:dyDescent="0.25">
      <c r="A332">
        <v>237</v>
      </c>
      <c r="B332" t="s">
        <v>22</v>
      </c>
      <c r="C332">
        <v>2.0680799999999999E-3</v>
      </c>
    </row>
    <row r="333" spans="1:3" x14ac:dyDescent="0.25">
      <c r="A333">
        <v>237</v>
      </c>
      <c r="B333" t="s">
        <v>26</v>
      </c>
      <c r="C333">
        <v>0.99293452000000004</v>
      </c>
    </row>
    <row r="334" spans="1:3" x14ac:dyDescent="0.25">
      <c r="A334">
        <v>237</v>
      </c>
      <c r="B334" t="s">
        <v>24</v>
      </c>
      <c r="C334">
        <v>4.9972899999999997E-3</v>
      </c>
    </row>
    <row r="335" spans="1:3" x14ac:dyDescent="0.25">
      <c r="A335">
        <v>238</v>
      </c>
      <c r="B335" t="s">
        <v>25</v>
      </c>
      <c r="C335">
        <v>7.6172230000000007E-2</v>
      </c>
    </row>
    <row r="336" spans="1:3" x14ac:dyDescent="0.25">
      <c r="A336">
        <v>238</v>
      </c>
      <c r="B336" t="s">
        <v>26</v>
      </c>
      <c r="C336">
        <v>0.88853937999999999</v>
      </c>
    </row>
    <row r="337" spans="1:3" x14ac:dyDescent="0.25">
      <c r="A337">
        <v>238</v>
      </c>
      <c r="B337" t="s">
        <v>24</v>
      </c>
      <c r="C337">
        <v>7.16068E-3</v>
      </c>
    </row>
    <row r="338" spans="1:3" x14ac:dyDescent="0.25">
      <c r="A338">
        <v>238</v>
      </c>
      <c r="B338" t="s">
        <v>27</v>
      </c>
      <c r="C338">
        <v>2.8127680000000002E-2</v>
      </c>
    </row>
    <row r="339" spans="1:3" x14ac:dyDescent="0.25">
      <c r="A339">
        <v>242</v>
      </c>
      <c r="B339" t="s">
        <v>26</v>
      </c>
      <c r="C339">
        <v>0.99664569999999997</v>
      </c>
    </row>
    <row r="340" spans="1:3" x14ac:dyDescent="0.25">
      <c r="A340">
        <v>242</v>
      </c>
      <c r="B340" t="s">
        <v>24</v>
      </c>
      <c r="C340">
        <v>3.3542499999999996E-3</v>
      </c>
    </row>
    <row r="341" spans="1:3" x14ac:dyDescent="0.25">
      <c r="A341">
        <v>243</v>
      </c>
      <c r="B341" t="s">
        <v>25</v>
      </c>
      <c r="C341">
        <v>0.95113438000000006</v>
      </c>
    </row>
    <row r="342" spans="1:3" x14ac:dyDescent="0.25">
      <c r="A342">
        <v>243</v>
      </c>
      <c r="B342" t="s">
        <v>22</v>
      </c>
      <c r="C342">
        <v>7.1718700000000003E-3</v>
      </c>
    </row>
    <row r="343" spans="1:3" x14ac:dyDescent="0.25">
      <c r="A343">
        <v>243</v>
      </c>
      <c r="B343" t="s">
        <v>26</v>
      </c>
      <c r="C343">
        <v>3.8417560000000003E-2</v>
      </c>
    </row>
    <row r="344" spans="1:3" x14ac:dyDescent="0.25">
      <c r="A344">
        <v>243</v>
      </c>
      <c r="B344" t="s">
        <v>24</v>
      </c>
      <c r="C344">
        <v>3.2762400000000001E-3</v>
      </c>
    </row>
    <row r="345" spans="1:3" x14ac:dyDescent="0.25">
      <c r="A345">
        <v>244</v>
      </c>
      <c r="B345" t="s">
        <v>25</v>
      </c>
      <c r="C345">
        <v>7.7221600000000005E-3</v>
      </c>
    </row>
    <row r="346" spans="1:3" x14ac:dyDescent="0.25">
      <c r="A346">
        <v>244</v>
      </c>
      <c r="B346" t="s">
        <v>26</v>
      </c>
      <c r="C346">
        <v>6.9940200000000001E-3</v>
      </c>
    </row>
    <row r="347" spans="1:3" x14ac:dyDescent="0.25">
      <c r="A347">
        <v>244</v>
      </c>
      <c r="B347" t="s">
        <v>24</v>
      </c>
      <c r="C347">
        <v>0.98528379999999993</v>
      </c>
    </row>
    <row r="348" spans="1:3" x14ac:dyDescent="0.25">
      <c r="A348">
        <v>245</v>
      </c>
      <c r="B348" t="s">
        <v>26</v>
      </c>
      <c r="C348">
        <v>7.9274400000000009E-3</v>
      </c>
    </row>
    <row r="349" spans="1:3" x14ac:dyDescent="0.25">
      <c r="A349">
        <v>245</v>
      </c>
      <c r="B349" t="s">
        <v>24</v>
      </c>
      <c r="C349">
        <v>0.99192518000000007</v>
      </c>
    </row>
    <row r="350" spans="1:3" x14ac:dyDescent="0.25">
      <c r="A350">
        <v>245</v>
      </c>
      <c r="B350" t="s">
        <v>27</v>
      </c>
      <c r="C350">
        <v>1.4734000000000001E-4</v>
      </c>
    </row>
    <row r="351" spans="1:3" x14ac:dyDescent="0.25">
      <c r="A351">
        <v>246</v>
      </c>
      <c r="B351" t="s">
        <v>24</v>
      </c>
      <c r="C351">
        <v>0.34346321000000002</v>
      </c>
    </row>
    <row r="352" spans="1:3" x14ac:dyDescent="0.25">
      <c r="A352">
        <v>246</v>
      </c>
      <c r="B352" t="s">
        <v>27</v>
      </c>
      <c r="C352">
        <v>0.65653679999999992</v>
      </c>
    </row>
    <row r="353" spans="1:3" x14ac:dyDescent="0.25">
      <c r="A353">
        <v>249</v>
      </c>
      <c r="B353" t="s">
        <v>25</v>
      </c>
      <c r="C353">
        <v>0.38528698</v>
      </c>
    </row>
    <row r="354" spans="1:3" x14ac:dyDescent="0.25">
      <c r="A354">
        <v>249</v>
      </c>
      <c r="B354" t="s">
        <v>22</v>
      </c>
      <c r="C354">
        <v>3.5859500000000001E-3</v>
      </c>
    </row>
    <row r="355" spans="1:3" x14ac:dyDescent="0.25">
      <c r="A355">
        <v>249</v>
      </c>
      <c r="B355" t="s">
        <v>26</v>
      </c>
      <c r="C355">
        <v>4.35258E-3</v>
      </c>
    </row>
    <row r="356" spans="1:3" x14ac:dyDescent="0.25">
      <c r="A356">
        <v>249</v>
      </c>
      <c r="B356" t="s">
        <v>27</v>
      </c>
      <c r="C356">
        <v>0.60677448</v>
      </c>
    </row>
    <row r="357" spans="1:3" x14ac:dyDescent="0.25">
      <c r="A357">
        <v>254</v>
      </c>
      <c r="B357" t="s">
        <v>25</v>
      </c>
      <c r="C357">
        <v>1.8603600000000001E-3</v>
      </c>
    </row>
    <row r="358" spans="1:3" x14ac:dyDescent="0.25">
      <c r="A358">
        <v>254</v>
      </c>
      <c r="B358" t="s">
        <v>26</v>
      </c>
      <c r="C358">
        <v>0.98923193999999992</v>
      </c>
    </row>
    <row r="359" spans="1:3" x14ac:dyDescent="0.25">
      <c r="A359">
        <v>254</v>
      </c>
      <c r="B359" t="s">
        <v>24</v>
      </c>
      <c r="C359">
        <v>9.0025999999999995E-4</v>
      </c>
    </row>
    <row r="360" spans="1:3" x14ac:dyDescent="0.25">
      <c r="A360">
        <v>254</v>
      </c>
      <c r="B360" t="s">
        <v>27</v>
      </c>
      <c r="C360">
        <v>8.0074699999999992E-3</v>
      </c>
    </row>
    <row r="361" spans="1:3" x14ac:dyDescent="0.25">
      <c r="A361">
        <v>256</v>
      </c>
      <c r="B361" t="s">
        <v>25</v>
      </c>
      <c r="C361">
        <v>9.1970000000000002E-5</v>
      </c>
    </row>
    <row r="362" spans="1:3" x14ac:dyDescent="0.25">
      <c r="A362">
        <v>256</v>
      </c>
      <c r="B362" t="s">
        <v>26</v>
      </c>
      <c r="C362">
        <v>0.98465053000000002</v>
      </c>
    </row>
    <row r="363" spans="1:3" x14ac:dyDescent="0.25">
      <c r="A363">
        <v>256</v>
      </c>
      <c r="B363" t="s">
        <v>24</v>
      </c>
      <c r="C363">
        <v>8.4341799999999995E-3</v>
      </c>
    </row>
    <row r="364" spans="1:3" x14ac:dyDescent="0.25">
      <c r="A364">
        <v>256</v>
      </c>
      <c r="B364" t="s">
        <v>27</v>
      </c>
      <c r="C364">
        <v>6.8234099999999994E-3</v>
      </c>
    </row>
    <row r="365" spans="1:3" x14ac:dyDescent="0.25">
      <c r="A365">
        <v>257</v>
      </c>
      <c r="B365" t="s">
        <v>25</v>
      </c>
      <c r="C365">
        <v>1.6669300000000001E-2</v>
      </c>
    </row>
    <row r="366" spans="1:3" x14ac:dyDescent="0.25">
      <c r="A366">
        <v>257</v>
      </c>
      <c r="B366" t="s">
        <v>26</v>
      </c>
      <c r="C366">
        <v>0.98333057000000001</v>
      </c>
    </row>
    <row r="367" spans="1:3" x14ac:dyDescent="0.25">
      <c r="A367">
        <v>258</v>
      </c>
      <c r="B367" t="s">
        <v>25</v>
      </c>
      <c r="C367">
        <v>0.95661680000000004</v>
      </c>
    </row>
    <row r="368" spans="1:3" x14ac:dyDescent="0.25">
      <c r="A368">
        <v>258</v>
      </c>
      <c r="B368" t="s">
        <v>26</v>
      </c>
      <c r="C368">
        <v>4.0531930000000001E-2</v>
      </c>
    </row>
    <row r="369" spans="1:3" x14ac:dyDescent="0.25">
      <c r="A369">
        <v>258</v>
      </c>
      <c r="B369" t="s">
        <v>24</v>
      </c>
      <c r="C369">
        <v>2.85119E-3</v>
      </c>
    </row>
    <row r="370" spans="1:3" x14ac:dyDescent="0.25">
      <c r="A370">
        <v>259</v>
      </c>
      <c r="B370" t="s">
        <v>25</v>
      </c>
      <c r="C370">
        <v>0.95796665000000003</v>
      </c>
    </row>
    <row r="371" spans="1:3" x14ac:dyDescent="0.25">
      <c r="A371">
        <v>259</v>
      </c>
      <c r="B371" t="s">
        <v>26</v>
      </c>
      <c r="C371">
        <v>1.107898E-2</v>
      </c>
    </row>
    <row r="372" spans="1:3" x14ac:dyDescent="0.25">
      <c r="A372">
        <v>259</v>
      </c>
      <c r="B372" t="s">
        <v>24</v>
      </c>
      <c r="C372">
        <v>1.9345000000000001E-4</v>
      </c>
    </row>
    <row r="373" spans="1:3" x14ac:dyDescent="0.25">
      <c r="A373">
        <v>259</v>
      </c>
      <c r="B373" t="s">
        <v>27</v>
      </c>
      <c r="C373">
        <v>3.076102E-2</v>
      </c>
    </row>
    <row r="374" spans="1:3" x14ac:dyDescent="0.25">
      <c r="A374">
        <v>260</v>
      </c>
      <c r="B374" t="s">
        <v>25</v>
      </c>
      <c r="C374">
        <v>3.4599999999999999E-6</v>
      </c>
    </row>
    <row r="375" spans="1:3" x14ac:dyDescent="0.25">
      <c r="A375">
        <v>260</v>
      </c>
      <c r="B375" t="s">
        <v>24</v>
      </c>
      <c r="C375">
        <v>2.6999699999999999E-3</v>
      </c>
    </row>
    <row r="376" spans="1:3" x14ac:dyDescent="0.25">
      <c r="A376">
        <v>260</v>
      </c>
      <c r="B376" t="s">
        <v>27</v>
      </c>
      <c r="C376">
        <v>0.99729650000000003</v>
      </c>
    </row>
    <row r="377" spans="1:3" x14ac:dyDescent="0.25">
      <c r="A377">
        <v>261</v>
      </c>
      <c r="B377" t="s">
        <v>25</v>
      </c>
      <c r="C377">
        <v>0.12321656</v>
      </c>
    </row>
    <row r="378" spans="1:3" x14ac:dyDescent="0.25">
      <c r="A378">
        <v>261</v>
      </c>
      <c r="B378" t="s">
        <v>24</v>
      </c>
      <c r="C378">
        <v>2.1740999999999999E-4</v>
      </c>
    </row>
    <row r="379" spans="1:3" x14ac:dyDescent="0.25">
      <c r="A379">
        <v>261</v>
      </c>
      <c r="B379" t="s">
        <v>27</v>
      </c>
      <c r="C379">
        <v>0.87656612</v>
      </c>
    </row>
    <row r="380" spans="1:3" x14ac:dyDescent="0.25">
      <c r="A380">
        <v>279</v>
      </c>
      <c r="B380" t="s">
        <v>25</v>
      </c>
      <c r="C380">
        <v>1.0690599999999999E-3</v>
      </c>
    </row>
    <row r="381" spans="1:3" x14ac:dyDescent="0.25">
      <c r="A381">
        <v>279</v>
      </c>
      <c r="B381" t="s">
        <v>27</v>
      </c>
      <c r="C381">
        <v>0.99893094000000004</v>
      </c>
    </row>
    <row r="382" spans="1:3" x14ac:dyDescent="0.25">
      <c r="A382">
        <v>280</v>
      </c>
      <c r="B382" t="s">
        <v>27</v>
      </c>
      <c r="C382">
        <v>1</v>
      </c>
    </row>
    <row r="383" spans="1:3" x14ac:dyDescent="0.25">
      <c r="A383">
        <v>281</v>
      </c>
      <c r="B383" t="s">
        <v>25</v>
      </c>
      <c r="C383">
        <v>0.25274605</v>
      </c>
    </row>
    <row r="384" spans="1:3" x14ac:dyDescent="0.25">
      <c r="A384">
        <v>281</v>
      </c>
      <c r="B384" t="s">
        <v>22</v>
      </c>
      <c r="C384">
        <v>1.9975399999999999E-3</v>
      </c>
    </row>
    <row r="385" spans="1:3" x14ac:dyDescent="0.25">
      <c r="A385">
        <v>281</v>
      </c>
      <c r="B385" t="s">
        <v>27</v>
      </c>
      <c r="C385">
        <v>0.74525644999999996</v>
      </c>
    </row>
    <row r="386" spans="1:3" x14ac:dyDescent="0.25">
      <c r="A386">
        <v>282</v>
      </c>
      <c r="B386" t="s">
        <v>25</v>
      </c>
      <c r="C386">
        <v>2.4592E-4</v>
      </c>
    </row>
    <row r="387" spans="1:3" x14ac:dyDescent="0.25">
      <c r="A387">
        <v>282</v>
      </c>
      <c r="B387" t="s">
        <v>22</v>
      </c>
      <c r="C387">
        <v>0.88101288</v>
      </c>
    </row>
    <row r="388" spans="1:3" x14ac:dyDescent="0.25">
      <c r="A388">
        <v>282</v>
      </c>
      <c r="B388" t="s">
        <v>26</v>
      </c>
      <c r="C388">
        <v>8.2554999999999998E-4</v>
      </c>
    </row>
    <row r="389" spans="1:3" x14ac:dyDescent="0.25">
      <c r="A389">
        <v>282</v>
      </c>
      <c r="B389" t="s">
        <v>24</v>
      </c>
      <c r="C389">
        <v>0.11791567</v>
      </c>
    </row>
    <row r="390" spans="1:3" x14ac:dyDescent="0.25">
      <c r="A390">
        <v>283</v>
      </c>
      <c r="B390" t="s">
        <v>22</v>
      </c>
      <c r="C390">
        <v>3.9175000000000001E-4</v>
      </c>
    </row>
    <row r="391" spans="1:3" x14ac:dyDescent="0.25">
      <c r="A391">
        <v>283</v>
      </c>
      <c r="B391" t="s">
        <v>26</v>
      </c>
      <c r="C391">
        <v>2.247E-5</v>
      </c>
    </row>
    <row r="392" spans="1:3" x14ac:dyDescent="0.25">
      <c r="A392">
        <v>283</v>
      </c>
      <c r="B392" t="s">
        <v>24</v>
      </c>
      <c r="C392">
        <v>0.99958572000000001</v>
      </c>
    </row>
    <row r="393" spans="1:3" x14ac:dyDescent="0.25">
      <c r="A393">
        <v>284</v>
      </c>
      <c r="B393" t="s">
        <v>26</v>
      </c>
      <c r="C393">
        <v>6.0576E-4</v>
      </c>
    </row>
    <row r="394" spans="1:3" x14ac:dyDescent="0.25">
      <c r="A394">
        <v>284</v>
      </c>
      <c r="B394" t="s">
        <v>24</v>
      </c>
      <c r="C394">
        <v>0.99939421999999989</v>
      </c>
    </row>
    <row r="395" spans="1:3" x14ac:dyDescent="0.25">
      <c r="A395">
        <v>285</v>
      </c>
      <c r="B395" t="s">
        <v>24</v>
      </c>
      <c r="C395">
        <v>1</v>
      </c>
    </row>
    <row r="396" spans="1:3" x14ac:dyDescent="0.25">
      <c r="A396">
        <v>286</v>
      </c>
      <c r="B396" t="s">
        <v>25</v>
      </c>
      <c r="C396">
        <v>0.13215737</v>
      </c>
    </row>
    <row r="397" spans="1:3" x14ac:dyDescent="0.25">
      <c r="A397">
        <v>286</v>
      </c>
      <c r="B397" t="s">
        <v>22</v>
      </c>
      <c r="C397">
        <v>9.4009999999999992E-4</v>
      </c>
    </row>
    <row r="398" spans="1:3" x14ac:dyDescent="0.25">
      <c r="A398">
        <v>286</v>
      </c>
      <c r="B398" t="s">
        <v>26</v>
      </c>
      <c r="C398">
        <v>0.21445146999999998</v>
      </c>
    </row>
    <row r="399" spans="1:3" x14ac:dyDescent="0.25">
      <c r="A399">
        <v>286</v>
      </c>
      <c r="B399" t="s">
        <v>24</v>
      </c>
      <c r="C399">
        <v>0.65245109999999995</v>
      </c>
    </row>
    <row r="400" spans="1:3" x14ac:dyDescent="0.25">
      <c r="A400">
        <v>289</v>
      </c>
      <c r="B400" t="s">
        <v>25</v>
      </c>
      <c r="C400">
        <v>6.724E-5</v>
      </c>
    </row>
    <row r="401" spans="1:3" x14ac:dyDescent="0.25">
      <c r="A401">
        <v>289</v>
      </c>
      <c r="B401" t="s">
        <v>26</v>
      </c>
      <c r="C401">
        <v>1.340068E-2</v>
      </c>
    </row>
    <row r="402" spans="1:3" x14ac:dyDescent="0.25">
      <c r="A402">
        <v>289</v>
      </c>
      <c r="B402" t="s">
        <v>24</v>
      </c>
      <c r="C402">
        <v>0.98653204999999999</v>
      </c>
    </row>
    <row r="403" spans="1:3" x14ac:dyDescent="0.25">
      <c r="A403">
        <v>290</v>
      </c>
      <c r="B403" t="s">
        <v>25</v>
      </c>
      <c r="C403">
        <v>2.4052190000000001E-2</v>
      </c>
    </row>
    <row r="404" spans="1:3" x14ac:dyDescent="0.25">
      <c r="A404">
        <v>290</v>
      </c>
      <c r="B404" t="s">
        <v>24</v>
      </c>
      <c r="C404">
        <v>0.97594769999999997</v>
      </c>
    </row>
    <row r="405" spans="1:3" x14ac:dyDescent="0.25">
      <c r="A405">
        <v>294</v>
      </c>
      <c r="B405" t="s">
        <v>25</v>
      </c>
      <c r="C405">
        <v>0.99218127999999994</v>
      </c>
    </row>
    <row r="406" spans="1:3" x14ac:dyDescent="0.25">
      <c r="A406">
        <v>294</v>
      </c>
      <c r="B406" t="s">
        <v>24</v>
      </c>
      <c r="C406">
        <v>7.8186200000000001E-3</v>
      </c>
    </row>
    <row r="407" spans="1:3" x14ac:dyDescent="0.25">
      <c r="A407">
        <v>295</v>
      </c>
      <c r="B407" t="s">
        <v>25</v>
      </c>
      <c r="C407">
        <v>1.13777E-3</v>
      </c>
    </row>
    <row r="408" spans="1:3" x14ac:dyDescent="0.25">
      <c r="A408">
        <v>295</v>
      </c>
      <c r="B408" t="s">
        <v>22</v>
      </c>
      <c r="C408">
        <v>2.319775E-2</v>
      </c>
    </row>
    <row r="409" spans="1:3" x14ac:dyDescent="0.25">
      <c r="A409">
        <v>295</v>
      </c>
      <c r="B409" t="s">
        <v>24</v>
      </c>
      <c r="C409">
        <v>0.97566443000000003</v>
      </c>
    </row>
    <row r="410" spans="1:3" x14ac:dyDescent="0.25">
      <c r="A410">
        <v>296</v>
      </c>
      <c r="B410" t="s">
        <v>22</v>
      </c>
      <c r="C410">
        <v>0.99698618999999988</v>
      </c>
    </row>
    <row r="411" spans="1:3" x14ac:dyDescent="0.25">
      <c r="A411">
        <v>296</v>
      </c>
      <c r="B411" t="s">
        <v>24</v>
      </c>
      <c r="C411">
        <v>3.01352E-3</v>
      </c>
    </row>
    <row r="412" spans="1:3" x14ac:dyDescent="0.25">
      <c r="A412">
        <v>298</v>
      </c>
      <c r="B412" t="s">
        <v>25</v>
      </c>
      <c r="C412">
        <v>0.10366239999999999</v>
      </c>
    </row>
    <row r="413" spans="1:3" x14ac:dyDescent="0.25">
      <c r="A413">
        <v>298</v>
      </c>
      <c r="B413" t="s">
        <v>26</v>
      </c>
      <c r="C413">
        <v>6.9859700000000002E-3</v>
      </c>
    </row>
    <row r="414" spans="1:3" x14ac:dyDescent="0.25">
      <c r="A414">
        <v>298</v>
      </c>
      <c r="B414" t="s">
        <v>24</v>
      </c>
      <c r="C414">
        <v>0.88935154999999999</v>
      </c>
    </row>
    <row r="415" spans="1:3" x14ac:dyDescent="0.25">
      <c r="A415">
        <v>299</v>
      </c>
      <c r="B415" t="s">
        <v>25</v>
      </c>
      <c r="C415">
        <v>0.99250504000000006</v>
      </c>
    </row>
    <row r="416" spans="1:3" x14ac:dyDescent="0.25">
      <c r="A416">
        <v>299</v>
      </c>
      <c r="B416" t="s">
        <v>26</v>
      </c>
      <c r="C416">
        <v>8.1299999999999997E-5</v>
      </c>
    </row>
    <row r="417" spans="1:3" x14ac:dyDescent="0.25">
      <c r="A417">
        <v>299</v>
      </c>
      <c r="B417" t="s">
        <v>24</v>
      </c>
      <c r="C417">
        <v>7.4136800000000006E-3</v>
      </c>
    </row>
    <row r="418" spans="1:3" x14ac:dyDescent="0.25">
      <c r="A418">
        <v>300</v>
      </c>
      <c r="B418" t="s">
        <v>25</v>
      </c>
      <c r="C418">
        <v>0.11853156000000001</v>
      </c>
    </row>
    <row r="419" spans="1:3" x14ac:dyDescent="0.25">
      <c r="A419">
        <v>300</v>
      </c>
      <c r="B419" t="s">
        <v>26</v>
      </c>
      <c r="C419">
        <v>1.043615E-2</v>
      </c>
    </row>
    <row r="420" spans="1:3" x14ac:dyDescent="0.25">
      <c r="A420">
        <v>300</v>
      </c>
      <c r="B420" t="s">
        <v>24</v>
      </c>
      <c r="C420">
        <v>0.87103226000000011</v>
      </c>
    </row>
    <row r="421" spans="1:3" x14ac:dyDescent="0.25">
      <c r="A421">
        <v>301</v>
      </c>
      <c r="B421" t="s">
        <v>25</v>
      </c>
      <c r="C421">
        <v>8.5785400000000008E-3</v>
      </c>
    </row>
    <row r="422" spans="1:3" x14ac:dyDescent="0.25">
      <c r="A422">
        <v>301</v>
      </c>
      <c r="B422" t="s">
        <v>26</v>
      </c>
      <c r="C422">
        <v>0.98724314000000002</v>
      </c>
    </row>
    <row r="423" spans="1:3" x14ac:dyDescent="0.25">
      <c r="A423">
        <v>301</v>
      </c>
      <c r="B423" t="s">
        <v>24</v>
      </c>
      <c r="C423">
        <v>4.1782799999999995E-3</v>
      </c>
    </row>
    <row r="424" spans="1:3" x14ac:dyDescent="0.25">
      <c r="A424">
        <v>302</v>
      </c>
      <c r="B424" t="s">
        <v>25</v>
      </c>
      <c r="C424">
        <v>4.7433199999999997E-3</v>
      </c>
    </row>
    <row r="425" spans="1:3" x14ac:dyDescent="0.25">
      <c r="A425">
        <v>302</v>
      </c>
      <c r="B425" t="s">
        <v>26</v>
      </c>
      <c r="C425">
        <v>0.98245086000000004</v>
      </c>
    </row>
    <row r="426" spans="1:3" x14ac:dyDescent="0.25">
      <c r="A426">
        <v>302</v>
      </c>
      <c r="B426" t="s">
        <v>24</v>
      </c>
      <c r="C426">
        <v>1.2805860000000001E-2</v>
      </c>
    </row>
    <row r="427" spans="1:3" x14ac:dyDescent="0.25">
      <c r="A427">
        <v>303</v>
      </c>
      <c r="B427" t="s">
        <v>25</v>
      </c>
      <c r="C427">
        <v>4.225773E-2</v>
      </c>
    </row>
    <row r="428" spans="1:3" x14ac:dyDescent="0.25">
      <c r="A428">
        <v>303</v>
      </c>
      <c r="B428" t="s">
        <v>26</v>
      </c>
      <c r="C428">
        <v>5.9471999999999997E-4</v>
      </c>
    </row>
    <row r="429" spans="1:3" x14ac:dyDescent="0.25">
      <c r="A429">
        <v>303</v>
      </c>
      <c r="B429" t="s">
        <v>24</v>
      </c>
      <c r="C429">
        <v>0.95714763000000003</v>
      </c>
    </row>
    <row r="430" spans="1:3" x14ac:dyDescent="0.25">
      <c r="A430">
        <v>304</v>
      </c>
      <c r="B430" t="s">
        <v>25</v>
      </c>
      <c r="C430">
        <v>0.98727897999999992</v>
      </c>
    </row>
    <row r="431" spans="1:3" x14ac:dyDescent="0.25">
      <c r="A431">
        <v>304</v>
      </c>
      <c r="B431" t="s">
        <v>26</v>
      </c>
      <c r="C431">
        <v>5.0953700000000001E-3</v>
      </c>
    </row>
    <row r="432" spans="1:3" x14ac:dyDescent="0.25">
      <c r="A432">
        <v>304</v>
      </c>
      <c r="B432" t="s">
        <v>24</v>
      </c>
      <c r="C432">
        <v>7.6256100000000005E-3</v>
      </c>
    </row>
    <row r="433" spans="1:3" x14ac:dyDescent="0.25">
      <c r="A433">
        <v>309</v>
      </c>
      <c r="B433" t="s">
        <v>25</v>
      </c>
      <c r="C433">
        <v>4.3231299999999997E-3</v>
      </c>
    </row>
    <row r="434" spans="1:3" x14ac:dyDescent="0.25">
      <c r="A434">
        <v>309</v>
      </c>
      <c r="B434" t="s">
        <v>22</v>
      </c>
      <c r="C434">
        <v>5.3130839999999999E-2</v>
      </c>
    </row>
    <row r="435" spans="1:3" x14ac:dyDescent="0.25">
      <c r="A435">
        <v>309</v>
      </c>
      <c r="B435" t="s">
        <v>26</v>
      </c>
      <c r="C435">
        <v>0.93073342999999997</v>
      </c>
    </row>
    <row r="436" spans="1:3" x14ac:dyDescent="0.25">
      <c r="A436">
        <v>309</v>
      </c>
      <c r="B436" t="s">
        <v>27</v>
      </c>
      <c r="C436">
        <v>1.181258E-2</v>
      </c>
    </row>
    <row r="437" spans="1:3" x14ac:dyDescent="0.25">
      <c r="A437">
        <v>310</v>
      </c>
      <c r="B437" t="s">
        <v>25</v>
      </c>
      <c r="C437">
        <v>0.11411497000000001</v>
      </c>
    </row>
    <row r="438" spans="1:3" x14ac:dyDescent="0.25">
      <c r="A438">
        <v>310</v>
      </c>
      <c r="B438" t="s">
        <v>26</v>
      </c>
      <c r="C438">
        <v>0.24539099</v>
      </c>
    </row>
    <row r="439" spans="1:3" x14ac:dyDescent="0.25">
      <c r="A439">
        <v>310</v>
      </c>
      <c r="B439" t="s">
        <v>24</v>
      </c>
      <c r="C439">
        <v>0.63734268000000005</v>
      </c>
    </row>
    <row r="440" spans="1:3" x14ac:dyDescent="0.25">
      <c r="A440">
        <v>310</v>
      </c>
      <c r="B440" t="s">
        <v>27</v>
      </c>
      <c r="C440">
        <v>3.1513299999999999E-3</v>
      </c>
    </row>
    <row r="441" spans="1:3" x14ac:dyDescent="0.25">
      <c r="A441">
        <v>312</v>
      </c>
      <c r="B441" t="s">
        <v>25</v>
      </c>
      <c r="C441">
        <v>6.3590000000000001E-3</v>
      </c>
    </row>
    <row r="442" spans="1:3" x14ac:dyDescent="0.25">
      <c r="A442">
        <v>312</v>
      </c>
      <c r="B442" t="s">
        <v>26</v>
      </c>
      <c r="C442">
        <v>0.9576359499999999</v>
      </c>
    </row>
    <row r="443" spans="1:3" x14ac:dyDescent="0.25">
      <c r="A443">
        <v>312</v>
      </c>
      <c r="B443" t="s">
        <v>24</v>
      </c>
      <c r="C443">
        <v>3.6004999999999995E-2</v>
      </c>
    </row>
    <row r="444" spans="1:3" x14ac:dyDescent="0.25">
      <c r="A444">
        <v>313</v>
      </c>
      <c r="B444" t="s">
        <v>25</v>
      </c>
      <c r="C444">
        <v>0.85337193999999994</v>
      </c>
    </row>
    <row r="445" spans="1:3" x14ac:dyDescent="0.25">
      <c r="A445">
        <v>313</v>
      </c>
      <c r="B445" t="s">
        <v>26</v>
      </c>
      <c r="C445">
        <v>1.14628E-2</v>
      </c>
    </row>
    <row r="446" spans="1:3" x14ac:dyDescent="0.25">
      <c r="A446">
        <v>313</v>
      </c>
      <c r="B446" t="s">
        <v>24</v>
      </c>
      <c r="C446">
        <v>0.13516527</v>
      </c>
    </row>
    <row r="447" spans="1:3" x14ac:dyDescent="0.25">
      <c r="A447">
        <v>314</v>
      </c>
      <c r="B447" t="s">
        <v>22</v>
      </c>
      <c r="C447">
        <v>2.1617860000000003E-2</v>
      </c>
    </row>
    <row r="448" spans="1:3" x14ac:dyDescent="0.25">
      <c r="A448">
        <v>314</v>
      </c>
      <c r="B448" t="s">
        <v>26</v>
      </c>
      <c r="C448">
        <v>0.66379025999999997</v>
      </c>
    </row>
    <row r="449" spans="1:3" x14ac:dyDescent="0.25">
      <c r="A449">
        <v>314</v>
      </c>
      <c r="B449" t="s">
        <v>24</v>
      </c>
      <c r="C449">
        <v>0.31459192000000002</v>
      </c>
    </row>
    <row r="450" spans="1:3" x14ac:dyDescent="0.25">
      <c r="A450">
        <v>322</v>
      </c>
      <c r="B450" t="s">
        <v>22</v>
      </c>
      <c r="C450">
        <v>1.4027899999999999E-3</v>
      </c>
    </row>
    <row r="451" spans="1:3" x14ac:dyDescent="0.25">
      <c r="A451">
        <v>322</v>
      </c>
      <c r="B451" t="s">
        <v>26</v>
      </c>
      <c r="C451">
        <v>3.4259999999999998E-4</v>
      </c>
    </row>
    <row r="452" spans="1:3" x14ac:dyDescent="0.25">
      <c r="A452">
        <v>322</v>
      </c>
      <c r="B452" t="s">
        <v>24</v>
      </c>
      <c r="C452">
        <v>0.99825464999999991</v>
      </c>
    </row>
    <row r="453" spans="1:3" x14ac:dyDescent="0.25">
      <c r="A453">
        <v>323</v>
      </c>
      <c r="B453" t="s">
        <v>26</v>
      </c>
      <c r="C453">
        <v>0.44015555000000001</v>
      </c>
    </row>
    <row r="454" spans="1:3" x14ac:dyDescent="0.25">
      <c r="A454">
        <v>323</v>
      </c>
      <c r="B454" t="s">
        <v>24</v>
      </c>
      <c r="C454">
        <v>0.55984434999999999</v>
      </c>
    </row>
    <row r="455" spans="1:3" x14ac:dyDescent="0.25">
      <c r="A455">
        <v>324</v>
      </c>
      <c r="B455" t="s">
        <v>25</v>
      </c>
      <c r="C455">
        <v>1.06555E-3</v>
      </c>
    </row>
    <row r="456" spans="1:3" x14ac:dyDescent="0.25">
      <c r="A456">
        <v>324</v>
      </c>
      <c r="B456" t="s">
        <v>26</v>
      </c>
      <c r="C456">
        <v>0.14441658000000002</v>
      </c>
    </row>
    <row r="457" spans="1:3" x14ac:dyDescent="0.25">
      <c r="A457">
        <v>324</v>
      </c>
      <c r="B457" t="s">
        <v>24</v>
      </c>
      <c r="C457">
        <v>0.85451785999999996</v>
      </c>
    </row>
    <row r="458" spans="1:3" x14ac:dyDescent="0.25">
      <c r="A458">
        <v>330</v>
      </c>
      <c r="B458" t="s">
        <v>25</v>
      </c>
      <c r="C458">
        <v>0.68691278999999994</v>
      </c>
    </row>
    <row r="459" spans="1:3" x14ac:dyDescent="0.25">
      <c r="A459">
        <v>330</v>
      </c>
      <c r="B459" t="s">
        <v>26</v>
      </c>
      <c r="C459">
        <v>0.26961936999999997</v>
      </c>
    </row>
    <row r="460" spans="1:3" x14ac:dyDescent="0.25">
      <c r="A460">
        <v>330</v>
      </c>
      <c r="B460" t="s">
        <v>24</v>
      </c>
      <c r="C460">
        <v>4.3467820000000004E-2</v>
      </c>
    </row>
    <row r="461" spans="1:3" x14ac:dyDescent="0.25">
      <c r="A461">
        <v>332</v>
      </c>
      <c r="B461" t="s">
        <v>22</v>
      </c>
      <c r="C461">
        <v>2.5077240000000001E-2</v>
      </c>
    </row>
    <row r="462" spans="1:3" x14ac:dyDescent="0.25">
      <c r="A462">
        <v>332</v>
      </c>
      <c r="B462" t="s">
        <v>24</v>
      </c>
      <c r="C462">
        <v>0.97492278999999993</v>
      </c>
    </row>
    <row r="463" spans="1:3" x14ac:dyDescent="0.25">
      <c r="A463">
        <v>333</v>
      </c>
      <c r="B463" t="s">
        <v>22</v>
      </c>
      <c r="C463">
        <v>2.116736E-2</v>
      </c>
    </row>
    <row r="464" spans="1:3" x14ac:dyDescent="0.25">
      <c r="A464">
        <v>333</v>
      </c>
      <c r="B464" t="s">
        <v>24</v>
      </c>
      <c r="C464">
        <v>0.97883263999999992</v>
      </c>
    </row>
    <row r="465" spans="1:3" x14ac:dyDescent="0.25">
      <c r="A465">
        <v>334</v>
      </c>
      <c r="B465" t="s">
        <v>26</v>
      </c>
      <c r="C465">
        <v>1.7718999999999998E-4</v>
      </c>
    </row>
    <row r="466" spans="1:3" x14ac:dyDescent="0.25">
      <c r="A466">
        <v>334</v>
      </c>
      <c r="B466" t="s">
        <v>24</v>
      </c>
      <c r="C466">
        <v>0.99982280000000001</v>
      </c>
    </row>
    <row r="467" spans="1:3" x14ac:dyDescent="0.25">
      <c r="A467">
        <v>335</v>
      </c>
      <c r="B467" t="s">
        <v>25</v>
      </c>
      <c r="C467">
        <v>1.1737089999999999E-2</v>
      </c>
    </row>
    <row r="468" spans="1:3" x14ac:dyDescent="0.25">
      <c r="A468">
        <v>335</v>
      </c>
      <c r="B468" t="s">
        <v>26</v>
      </c>
      <c r="C468">
        <v>0.1147495</v>
      </c>
    </row>
    <row r="469" spans="1:3" x14ac:dyDescent="0.25">
      <c r="A469">
        <v>335</v>
      </c>
      <c r="B469" t="s">
        <v>24</v>
      </c>
      <c r="C469">
        <v>0.87351343000000004</v>
      </c>
    </row>
    <row r="470" spans="1:3" x14ac:dyDescent="0.25">
      <c r="A470">
        <v>336</v>
      </c>
      <c r="B470" t="s">
        <v>25</v>
      </c>
      <c r="C470">
        <v>1.8179600000000002E-3</v>
      </c>
    </row>
    <row r="471" spans="1:3" x14ac:dyDescent="0.25">
      <c r="A471">
        <v>336</v>
      </c>
      <c r="B471" t="s">
        <v>26</v>
      </c>
      <c r="C471">
        <v>0.11179940000000001</v>
      </c>
    </row>
    <row r="472" spans="1:3" x14ac:dyDescent="0.25">
      <c r="A472">
        <v>336</v>
      </c>
      <c r="B472" t="s">
        <v>24</v>
      </c>
      <c r="C472">
        <v>0.88638262999999995</v>
      </c>
    </row>
    <row r="473" spans="1:3" x14ac:dyDescent="0.25">
      <c r="A473">
        <v>338</v>
      </c>
      <c r="B473" t="s">
        <v>26</v>
      </c>
      <c r="C473">
        <v>0.14594665000000001</v>
      </c>
    </row>
    <row r="474" spans="1:3" x14ac:dyDescent="0.25">
      <c r="A474">
        <v>338</v>
      </c>
      <c r="B474" t="s">
        <v>24</v>
      </c>
      <c r="C474">
        <v>0.85405339999999996</v>
      </c>
    </row>
    <row r="475" spans="1:3" x14ac:dyDescent="0.25">
      <c r="A475">
        <v>345</v>
      </c>
      <c r="B475" t="s">
        <v>22</v>
      </c>
      <c r="C475">
        <v>0.99762168000000007</v>
      </c>
    </row>
    <row r="476" spans="1:3" x14ac:dyDescent="0.25">
      <c r="A476">
        <v>345</v>
      </c>
      <c r="B476" t="s">
        <v>24</v>
      </c>
      <c r="C476">
        <v>2.37835E-3</v>
      </c>
    </row>
    <row r="477" spans="1:3" x14ac:dyDescent="0.25">
      <c r="A477">
        <v>346</v>
      </c>
      <c r="B477" t="s">
        <v>22</v>
      </c>
      <c r="C477">
        <v>4.184131E-2</v>
      </c>
    </row>
    <row r="478" spans="1:3" x14ac:dyDescent="0.25">
      <c r="A478">
        <v>346</v>
      </c>
      <c r="B478" t="s">
        <v>24</v>
      </c>
      <c r="C478">
        <v>0.95815872000000002</v>
      </c>
    </row>
    <row r="479" spans="1:3" x14ac:dyDescent="0.25">
      <c r="A479">
        <v>347</v>
      </c>
      <c r="B479" t="s">
        <v>24</v>
      </c>
      <c r="C479">
        <v>0.99999998000000001</v>
      </c>
    </row>
    <row r="480" spans="1:3" x14ac:dyDescent="0.25">
      <c r="A480">
        <v>350</v>
      </c>
      <c r="B480" t="s">
        <v>25</v>
      </c>
      <c r="C480">
        <v>0.12333271999999999</v>
      </c>
    </row>
    <row r="481" spans="1:3" x14ac:dyDescent="0.25">
      <c r="A481">
        <v>350</v>
      </c>
      <c r="B481" t="s">
        <v>26</v>
      </c>
      <c r="C481">
        <v>4.296792E-2</v>
      </c>
    </row>
    <row r="482" spans="1:3" x14ac:dyDescent="0.25">
      <c r="A482">
        <v>350</v>
      </c>
      <c r="B482" t="s">
        <v>24</v>
      </c>
      <c r="C482">
        <v>0.83369936999999994</v>
      </c>
    </row>
    <row r="483" spans="1:3" x14ac:dyDescent="0.25">
      <c r="A483">
        <v>354</v>
      </c>
      <c r="B483" t="s">
        <v>25</v>
      </c>
      <c r="C483">
        <v>0.74732276999999991</v>
      </c>
    </row>
    <row r="484" spans="1:3" x14ac:dyDescent="0.25">
      <c r="A484">
        <v>354</v>
      </c>
      <c r="B484" t="s">
        <v>22</v>
      </c>
      <c r="C484">
        <v>0.24827472</v>
      </c>
    </row>
    <row r="485" spans="1:3" x14ac:dyDescent="0.25">
      <c r="A485">
        <v>354</v>
      </c>
      <c r="B485" t="s">
        <v>24</v>
      </c>
      <c r="C485">
        <v>4.40253E-3</v>
      </c>
    </row>
    <row r="486" spans="1:3" x14ac:dyDescent="0.25">
      <c r="A486">
        <v>357</v>
      </c>
      <c r="B486" t="s">
        <v>25</v>
      </c>
      <c r="C486">
        <v>3.9734329999999998E-2</v>
      </c>
    </row>
    <row r="487" spans="1:3" x14ac:dyDescent="0.25">
      <c r="A487">
        <v>357</v>
      </c>
      <c r="B487" t="s">
        <v>26</v>
      </c>
      <c r="C487">
        <v>2.5229600000000003E-3</v>
      </c>
    </row>
    <row r="488" spans="1:3" x14ac:dyDescent="0.25">
      <c r="A488">
        <v>357</v>
      </c>
      <c r="B488" t="s">
        <v>24</v>
      </c>
      <c r="C488">
        <v>0.95774281999999999</v>
      </c>
    </row>
    <row r="489" spans="1:3" x14ac:dyDescent="0.25">
      <c r="A489">
        <v>358</v>
      </c>
      <c r="B489" t="s">
        <v>26</v>
      </c>
      <c r="C489">
        <v>7.4399999999999999E-6</v>
      </c>
    </row>
    <row r="490" spans="1:3" x14ac:dyDescent="0.25">
      <c r="A490">
        <v>358</v>
      </c>
      <c r="B490" t="s">
        <v>24</v>
      </c>
      <c r="C490">
        <v>0.99999249000000001</v>
      </c>
    </row>
    <row r="491" spans="1:3" x14ac:dyDescent="0.25">
      <c r="A491">
        <v>359</v>
      </c>
      <c r="B491" t="s">
        <v>24</v>
      </c>
      <c r="C491">
        <v>0.99999999000000006</v>
      </c>
    </row>
    <row r="492" spans="1:3" x14ac:dyDescent="0.25">
      <c r="A492">
        <v>360</v>
      </c>
      <c r="B492" t="s">
        <v>24</v>
      </c>
      <c r="C492">
        <v>1</v>
      </c>
    </row>
    <row r="493" spans="1:3" x14ac:dyDescent="0.25">
      <c r="A493">
        <v>361</v>
      </c>
      <c r="B493" t="s">
        <v>22</v>
      </c>
      <c r="C493">
        <v>3.1243360000000001E-2</v>
      </c>
    </row>
    <row r="494" spans="1:3" x14ac:dyDescent="0.25">
      <c r="A494">
        <v>361</v>
      </c>
      <c r="B494" t="s">
        <v>24</v>
      </c>
      <c r="C494">
        <v>0.9687565600000001</v>
      </c>
    </row>
    <row r="495" spans="1:3" x14ac:dyDescent="0.25">
      <c r="A495">
        <v>362</v>
      </c>
      <c r="B495" t="s">
        <v>25</v>
      </c>
      <c r="C495">
        <v>0.36267007999999995</v>
      </c>
    </row>
    <row r="496" spans="1:3" x14ac:dyDescent="0.25">
      <c r="A496">
        <v>362</v>
      </c>
      <c r="B496" t="s">
        <v>22</v>
      </c>
      <c r="C496">
        <v>5.8067460000000001E-2</v>
      </c>
    </row>
    <row r="497" spans="1:3" x14ac:dyDescent="0.25">
      <c r="A497">
        <v>362</v>
      </c>
      <c r="B497" t="s">
        <v>24</v>
      </c>
      <c r="C497">
        <v>0.57926253000000005</v>
      </c>
    </row>
    <row r="498" spans="1:3" x14ac:dyDescent="0.25">
      <c r="A498">
        <v>363</v>
      </c>
      <c r="B498" t="s">
        <v>25</v>
      </c>
      <c r="C498">
        <v>7.7359899999999995E-2</v>
      </c>
    </row>
    <row r="499" spans="1:3" x14ac:dyDescent="0.25">
      <c r="A499">
        <v>363</v>
      </c>
      <c r="B499" t="s">
        <v>22</v>
      </c>
      <c r="C499">
        <v>8.8626499999999997E-3</v>
      </c>
    </row>
    <row r="500" spans="1:3" x14ac:dyDescent="0.25">
      <c r="A500">
        <v>363</v>
      </c>
      <c r="B500" t="s">
        <v>26</v>
      </c>
      <c r="C500">
        <v>2.7932E-4</v>
      </c>
    </row>
    <row r="501" spans="1:3" x14ac:dyDescent="0.25">
      <c r="A501">
        <v>363</v>
      </c>
      <c r="B501" t="s">
        <v>24</v>
      </c>
      <c r="C501">
        <v>0.91349816000000006</v>
      </c>
    </row>
    <row r="502" spans="1:3" x14ac:dyDescent="0.25">
      <c r="A502">
        <v>365</v>
      </c>
      <c r="B502" t="s">
        <v>26</v>
      </c>
      <c r="C502">
        <v>0.96514804999999992</v>
      </c>
    </row>
    <row r="503" spans="1:3" x14ac:dyDescent="0.25">
      <c r="A503">
        <v>365</v>
      </c>
      <c r="B503" t="s">
        <v>24</v>
      </c>
      <c r="C503">
        <v>3.4851770000000004E-2</v>
      </c>
    </row>
    <row r="504" spans="1:3" x14ac:dyDescent="0.25">
      <c r="A504">
        <v>366</v>
      </c>
      <c r="B504" t="s">
        <v>26</v>
      </c>
      <c r="C504">
        <v>2.5028200000000002E-3</v>
      </c>
    </row>
    <row r="505" spans="1:3" x14ac:dyDescent="0.25">
      <c r="A505">
        <v>366</v>
      </c>
      <c r="B505" t="s">
        <v>24</v>
      </c>
      <c r="C505">
        <v>0.99749725</v>
      </c>
    </row>
    <row r="506" spans="1:3" x14ac:dyDescent="0.25">
      <c r="A506">
        <v>368</v>
      </c>
      <c r="B506" t="s">
        <v>26</v>
      </c>
      <c r="C506">
        <v>0.14897375000000002</v>
      </c>
    </row>
    <row r="507" spans="1:3" x14ac:dyDescent="0.25">
      <c r="A507">
        <v>368</v>
      </c>
      <c r="B507" t="s">
        <v>24</v>
      </c>
      <c r="C507">
        <v>0.85102626000000003</v>
      </c>
    </row>
    <row r="508" spans="1:3" x14ac:dyDescent="0.25">
      <c r="A508">
        <v>373</v>
      </c>
      <c r="B508" t="s">
        <v>25</v>
      </c>
      <c r="C508">
        <v>1.1483000000000001E-3</v>
      </c>
    </row>
    <row r="509" spans="1:3" x14ac:dyDescent="0.25">
      <c r="A509">
        <v>373</v>
      </c>
      <c r="B509" t="s">
        <v>22</v>
      </c>
      <c r="C509">
        <v>0.21898841999999999</v>
      </c>
    </row>
    <row r="510" spans="1:3" x14ac:dyDescent="0.25">
      <c r="A510">
        <v>373</v>
      </c>
      <c r="B510" t="s">
        <v>24</v>
      </c>
      <c r="C510">
        <v>0.77986331000000009</v>
      </c>
    </row>
    <row r="511" spans="1:3" x14ac:dyDescent="0.25">
      <c r="A511">
        <v>374</v>
      </c>
      <c r="B511" t="s">
        <v>25</v>
      </c>
      <c r="C511">
        <v>0.54041753000000003</v>
      </c>
    </row>
    <row r="512" spans="1:3" x14ac:dyDescent="0.25">
      <c r="A512">
        <v>374</v>
      </c>
      <c r="B512" t="s">
        <v>22</v>
      </c>
      <c r="C512">
        <v>6.2929999999999995E-5</v>
      </c>
    </row>
    <row r="513" spans="1:3" x14ac:dyDescent="0.25">
      <c r="A513">
        <v>374</v>
      </c>
      <c r="B513" t="s">
        <v>24</v>
      </c>
      <c r="C513">
        <v>0.45951954</v>
      </c>
    </row>
    <row r="514" spans="1:3" x14ac:dyDescent="0.25">
      <c r="A514">
        <v>376</v>
      </c>
      <c r="B514" t="s">
        <v>25</v>
      </c>
      <c r="C514">
        <v>8.4748700000000007E-3</v>
      </c>
    </row>
    <row r="515" spans="1:3" x14ac:dyDescent="0.25">
      <c r="A515">
        <v>376</v>
      </c>
      <c r="B515" t="s">
        <v>24</v>
      </c>
      <c r="C515">
        <v>0.99152518000000001</v>
      </c>
    </row>
    <row r="516" spans="1:3" x14ac:dyDescent="0.25">
      <c r="A516">
        <v>378</v>
      </c>
      <c r="B516" t="s">
        <v>22</v>
      </c>
      <c r="C516">
        <v>4.5289000000000001E-4</v>
      </c>
    </row>
    <row r="517" spans="1:3" x14ac:dyDescent="0.25">
      <c r="A517">
        <v>378</v>
      </c>
      <c r="B517" t="s">
        <v>24</v>
      </c>
      <c r="C517">
        <v>0.99954708999999997</v>
      </c>
    </row>
    <row r="518" spans="1:3" x14ac:dyDescent="0.25">
      <c r="A518">
        <v>379</v>
      </c>
      <c r="B518" t="s">
        <v>22</v>
      </c>
      <c r="C518">
        <v>1.7801880000000003E-2</v>
      </c>
    </row>
    <row r="519" spans="1:3" x14ac:dyDescent="0.25">
      <c r="A519">
        <v>379</v>
      </c>
      <c r="B519" t="s">
        <v>24</v>
      </c>
      <c r="C519">
        <v>0.98219804999999993</v>
      </c>
    </row>
    <row r="520" spans="1:3" x14ac:dyDescent="0.25">
      <c r="A520">
        <v>380</v>
      </c>
      <c r="B520" t="s">
        <v>25</v>
      </c>
      <c r="C520">
        <v>1.8E-7</v>
      </c>
    </row>
    <row r="521" spans="1:3" x14ac:dyDescent="0.25">
      <c r="A521">
        <v>380</v>
      </c>
      <c r="B521" t="s">
        <v>22</v>
      </c>
      <c r="C521">
        <v>2.05061E-3</v>
      </c>
    </row>
    <row r="522" spans="1:3" x14ac:dyDescent="0.25">
      <c r="A522">
        <v>380</v>
      </c>
      <c r="B522" t="s">
        <v>26</v>
      </c>
      <c r="C522">
        <v>2.3779999999999998E-4</v>
      </c>
    </row>
    <row r="523" spans="1:3" x14ac:dyDescent="0.25">
      <c r="A523">
        <v>380</v>
      </c>
      <c r="B523" t="s">
        <v>24</v>
      </c>
      <c r="C523">
        <v>0.99771142000000002</v>
      </c>
    </row>
    <row r="524" spans="1:3" x14ac:dyDescent="0.25">
      <c r="A524">
        <v>381</v>
      </c>
      <c r="B524" t="s">
        <v>25</v>
      </c>
      <c r="C524">
        <v>0.62406857999999998</v>
      </c>
    </row>
    <row r="525" spans="1:3" x14ac:dyDescent="0.25">
      <c r="A525">
        <v>381</v>
      </c>
      <c r="B525" t="s">
        <v>22</v>
      </c>
      <c r="C525">
        <v>0.36797426</v>
      </c>
    </row>
    <row r="526" spans="1:3" x14ac:dyDescent="0.25">
      <c r="A526">
        <v>381</v>
      </c>
      <c r="B526" t="s">
        <v>26</v>
      </c>
      <c r="C526">
        <v>5.9839999999999996E-5</v>
      </c>
    </row>
    <row r="527" spans="1:3" x14ac:dyDescent="0.25">
      <c r="A527">
        <v>381</v>
      </c>
      <c r="B527" t="s">
        <v>24</v>
      </c>
      <c r="C527">
        <v>7.8972899999999995E-3</v>
      </c>
    </row>
    <row r="528" spans="1:3" x14ac:dyDescent="0.25">
      <c r="A528">
        <v>382</v>
      </c>
      <c r="B528" t="s">
        <v>22</v>
      </c>
      <c r="C528">
        <v>0.99765375000000001</v>
      </c>
    </row>
    <row r="529" spans="1:3" x14ac:dyDescent="0.25">
      <c r="A529">
        <v>382</v>
      </c>
      <c r="B529" t="s">
        <v>24</v>
      </c>
      <c r="C529">
        <v>2.3463099999999999E-3</v>
      </c>
    </row>
    <row r="530" spans="1:3" x14ac:dyDescent="0.25">
      <c r="A530">
        <v>383</v>
      </c>
      <c r="B530" t="s">
        <v>22</v>
      </c>
      <c r="C530">
        <v>0.68070171000000002</v>
      </c>
    </row>
    <row r="531" spans="1:3" x14ac:dyDescent="0.25">
      <c r="A531">
        <v>383</v>
      </c>
      <c r="B531" t="s">
        <v>24</v>
      </c>
      <c r="C531">
        <v>0.31929830999999997</v>
      </c>
    </row>
    <row r="532" spans="1:3" x14ac:dyDescent="0.25">
      <c r="A532">
        <v>384</v>
      </c>
      <c r="B532" t="s">
        <v>25</v>
      </c>
      <c r="C532">
        <v>0.18075158999999999</v>
      </c>
    </row>
    <row r="533" spans="1:3" x14ac:dyDescent="0.25">
      <c r="A533">
        <v>384</v>
      </c>
      <c r="B533" t="s">
        <v>22</v>
      </c>
      <c r="C533">
        <v>5.1836000000000004E-4</v>
      </c>
    </row>
    <row r="534" spans="1:3" x14ac:dyDescent="0.25">
      <c r="A534">
        <v>384</v>
      </c>
      <c r="B534" t="s">
        <v>24</v>
      </c>
      <c r="C534">
        <v>0.81873006000000004</v>
      </c>
    </row>
    <row r="535" spans="1:3" x14ac:dyDescent="0.25">
      <c r="A535">
        <v>388</v>
      </c>
      <c r="B535" t="s">
        <v>25</v>
      </c>
      <c r="C535">
        <v>7.5705E-4</v>
      </c>
    </row>
    <row r="536" spans="1:3" x14ac:dyDescent="0.25">
      <c r="A536">
        <v>388</v>
      </c>
      <c r="B536" t="s">
        <v>22</v>
      </c>
      <c r="C536">
        <v>0.94166051999999989</v>
      </c>
    </row>
    <row r="537" spans="1:3" x14ac:dyDescent="0.25">
      <c r="A537">
        <v>388</v>
      </c>
      <c r="B537" t="s">
        <v>24</v>
      </c>
      <c r="C537">
        <v>5.7582359999999999E-2</v>
      </c>
    </row>
    <row r="538" spans="1:3" x14ac:dyDescent="0.25">
      <c r="A538">
        <v>389</v>
      </c>
      <c r="B538" t="s">
        <v>25</v>
      </c>
      <c r="C538">
        <v>2.1217E-4</v>
      </c>
    </row>
    <row r="539" spans="1:3" x14ac:dyDescent="0.25">
      <c r="A539">
        <v>389</v>
      </c>
      <c r="B539" t="s">
        <v>22</v>
      </c>
      <c r="C539">
        <v>5.1196939999999996E-2</v>
      </c>
    </row>
    <row r="540" spans="1:3" x14ac:dyDescent="0.25">
      <c r="A540">
        <v>389</v>
      </c>
      <c r="B540" t="s">
        <v>24</v>
      </c>
      <c r="C540">
        <v>0.9485908999999999</v>
      </c>
    </row>
    <row r="541" spans="1:3" x14ac:dyDescent="0.25">
      <c r="A541">
        <v>390</v>
      </c>
      <c r="B541" t="s">
        <v>22</v>
      </c>
      <c r="C541">
        <v>1.99117E-3</v>
      </c>
    </row>
    <row r="542" spans="1:3" x14ac:dyDescent="0.25">
      <c r="A542">
        <v>390</v>
      </c>
      <c r="B542" t="s">
        <v>24</v>
      </c>
      <c r="C542">
        <v>0.99800882999999996</v>
      </c>
    </row>
    <row r="543" spans="1:3" x14ac:dyDescent="0.25">
      <c r="A543">
        <v>395</v>
      </c>
      <c r="B543" t="s">
        <v>25</v>
      </c>
      <c r="C543">
        <v>0.22392088999999998</v>
      </c>
    </row>
    <row r="544" spans="1:3" x14ac:dyDescent="0.25">
      <c r="A544">
        <v>395</v>
      </c>
      <c r="B544" t="s">
        <v>22</v>
      </c>
      <c r="C544">
        <v>0.77471698</v>
      </c>
    </row>
    <row r="545" spans="1:3" x14ac:dyDescent="0.25">
      <c r="A545">
        <v>395</v>
      </c>
      <c r="B545" t="s">
        <v>24</v>
      </c>
      <c r="C545">
        <v>1.36213E-3</v>
      </c>
    </row>
    <row r="546" spans="1:3" x14ac:dyDescent="0.25">
      <c r="A546">
        <v>396</v>
      </c>
      <c r="B546" t="s">
        <v>25</v>
      </c>
      <c r="C546">
        <v>7.2351500000000001E-3</v>
      </c>
    </row>
    <row r="547" spans="1:3" x14ac:dyDescent="0.25">
      <c r="A547">
        <v>396</v>
      </c>
      <c r="B547" t="s">
        <v>22</v>
      </c>
      <c r="C547">
        <v>1.5708300000000001E-3</v>
      </c>
    </row>
    <row r="548" spans="1:3" x14ac:dyDescent="0.25">
      <c r="A548">
        <v>396</v>
      </c>
      <c r="B548" t="s">
        <v>24</v>
      </c>
      <c r="C548">
        <v>0.99119408000000009</v>
      </c>
    </row>
    <row r="549" spans="1:3" x14ac:dyDescent="0.25">
      <c r="A549">
        <v>411</v>
      </c>
      <c r="B549" t="s">
        <v>25</v>
      </c>
      <c r="C549">
        <v>5.8900000000000004E-6</v>
      </c>
    </row>
    <row r="550" spans="1:3" x14ac:dyDescent="0.25">
      <c r="A550">
        <v>411</v>
      </c>
      <c r="B550" t="s">
        <v>22</v>
      </c>
      <c r="C550">
        <v>0.99435539000000006</v>
      </c>
    </row>
    <row r="551" spans="1:3" x14ac:dyDescent="0.25">
      <c r="A551">
        <v>411</v>
      </c>
      <c r="B551" t="s">
        <v>24</v>
      </c>
      <c r="C551">
        <v>5.6386899999999992E-3</v>
      </c>
    </row>
    <row r="552" spans="1:3" x14ac:dyDescent="0.25">
      <c r="A552">
        <v>414</v>
      </c>
      <c r="B552" t="s">
        <v>22</v>
      </c>
      <c r="C552">
        <v>0.99939055999999993</v>
      </c>
    </row>
    <row r="553" spans="1:3" x14ac:dyDescent="0.25">
      <c r="A553">
        <v>414</v>
      </c>
      <c r="B553" t="s">
        <v>23</v>
      </c>
      <c r="C553">
        <v>6.0942000000000006E-4</v>
      </c>
    </row>
    <row r="554" spans="1:3" x14ac:dyDescent="0.25">
      <c r="A554">
        <v>415</v>
      </c>
      <c r="B554" t="s">
        <v>22</v>
      </c>
      <c r="C554">
        <v>0.94775780999999992</v>
      </c>
    </row>
    <row r="555" spans="1:3" x14ac:dyDescent="0.25">
      <c r="A555">
        <v>415</v>
      </c>
      <c r="B555" t="s">
        <v>24</v>
      </c>
      <c r="C555">
        <v>2.0814599999999998E-3</v>
      </c>
    </row>
    <row r="556" spans="1:3" x14ac:dyDescent="0.25">
      <c r="A556">
        <v>415</v>
      </c>
      <c r="B556" t="s">
        <v>23</v>
      </c>
      <c r="C556">
        <v>5.0160739999999995E-2</v>
      </c>
    </row>
    <row r="557" spans="1:3" x14ac:dyDescent="0.25">
      <c r="A557">
        <v>416</v>
      </c>
      <c r="B557" t="s">
        <v>22</v>
      </c>
      <c r="C557">
        <v>0.10298937000000001</v>
      </c>
    </row>
    <row r="558" spans="1:3" x14ac:dyDescent="0.25">
      <c r="A558">
        <v>416</v>
      </c>
      <c r="B558" t="s">
        <v>24</v>
      </c>
      <c r="C558">
        <v>0.89701046000000006</v>
      </c>
    </row>
    <row r="559" spans="1:3" x14ac:dyDescent="0.25">
      <c r="A559">
        <v>416</v>
      </c>
      <c r="B559" t="s">
        <v>23</v>
      </c>
      <c r="C559">
        <v>1.9000000000000001E-7</v>
      </c>
    </row>
    <row r="560" spans="1:3" x14ac:dyDescent="0.25">
      <c r="A560">
        <v>417</v>
      </c>
      <c r="B560" t="s">
        <v>22</v>
      </c>
      <c r="C560">
        <v>5.4086400000000001E-3</v>
      </c>
    </row>
    <row r="561" spans="1:3" x14ac:dyDescent="0.25">
      <c r="A561">
        <v>417</v>
      </c>
      <c r="B561" t="s">
        <v>24</v>
      </c>
      <c r="C561">
        <v>0.98220562</v>
      </c>
    </row>
    <row r="562" spans="1:3" x14ac:dyDescent="0.25">
      <c r="A562">
        <v>417</v>
      </c>
      <c r="B562" t="s">
        <v>23</v>
      </c>
      <c r="C562">
        <v>1.2385779999999999E-2</v>
      </c>
    </row>
    <row r="563" spans="1:3" x14ac:dyDescent="0.25">
      <c r="A563">
        <v>418</v>
      </c>
      <c r="B563" t="s">
        <v>22</v>
      </c>
      <c r="C563">
        <v>1.2669999999999999E-5</v>
      </c>
    </row>
    <row r="564" spans="1:3" x14ac:dyDescent="0.25">
      <c r="A564">
        <v>418</v>
      </c>
      <c r="B564" t="s">
        <v>23</v>
      </c>
      <c r="C564">
        <v>0.99998729999999991</v>
      </c>
    </row>
    <row r="565" spans="1:3" x14ac:dyDescent="0.25">
      <c r="A565">
        <v>419</v>
      </c>
      <c r="B565" t="s">
        <v>22</v>
      </c>
      <c r="C565">
        <v>0.99947090999999999</v>
      </c>
    </row>
    <row r="566" spans="1:3" x14ac:dyDescent="0.25">
      <c r="A566">
        <v>419</v>
      </c>
      <c r="B566" t="s">
        <v>24</v>
      </c>
      <c r="C566">
        <v>3.3461999999999999E-4</v>
      </c>
    </row>
    <row r="567" spans="1:3" x14ac:dyDescent="0.25">
      <c r="A567">
        <v>419</v>
      </c>
      <c r="B567" t="s">
        <v>23</v>
      </c>
      <c r="C567">
        <v>1.9447E-4</v>
      </c>
    </row>
    <row r="568" spans="1:3" x14ac:dyDescent="0.25">
      <c r="A568">
        <v>420</v>
      </c>
      <c r="B568" t="s">
        <v>22</v>
      </c>
      <c r="C568">
        <v>0.9968321</v>
      </c>
    </row>
    <row r="569" spans="1:3" x14ac:dyDescent="0.25">
      <c r="A569">
        <v>420</v>
      </c>
      <c r="B569" t="s">
        <v>24</v>
      </c>
      <c r="C569">
        <v>3.1245600000000002E-3</v>
      </c>
    </row>
    <row r="570" spans="1:3" x14ac:dyDescent="0.25">
      <c r="A570">
        <v>420</v>
      </c>
      <c r="B570" t="s">
        <v>23</v>
      </c>
      <c r="C570">
        <v>4.3340000000000002E-5</v>
      </c>
    </row>
    <row r="571" spans="1:3" x14ac:dyDescent="0.25">
      <c r="A571">
        <v>421</v>
      </c>
      <c r="B571" t="s">
        <v>22</v>
      </c>
      <c r="C571">
        <v>2.3508999999999997E-4</v>
      </c>
    </row>
    <row r="572" spans="1:3" x14ac:dyDescent="0.25">
      <c r="A572">
        <v>421</v>
      </c>
      <c r="B572" t="s">
        <v>24</v>
      </c>
      <c r="C572">
        <v>0.99976502</v>
      </c>
    </row>
    <row r="573" spans="1:3" x14ac:dyDescent="0.25">
      <c r="A573">
        <v>422</v>
      </c>
      <c r="B573" t="s">
        <v>22</v>
      </c>
      <c r="C573">
        <v>0.99928989999999995</v>
      </c>
    </row>
    <row r="574" spans="1:3" x14ac:dyDescent="0.25">
      <c r="A574">
        <v>422</v>
      </c>
      <c r="B574" t="s">
        <v>24</v>
      </c>
      <c r="C574">
        <v>4.2939999999999999E-5</v>
      </c>
    </row>
    <row r="575" spans="1:3" x14ac:dyDescent="0.25">
      <c r="A575">
        <v>422</v>
      </c>
      <c r="B575" t="s">
        <v>23</v>
      </c>
      <c r="C575">
        <v>6.6711000000000006E-4</v>
      </c>
    </row>
    <row r="576" spans="1:3" x14ac:dyDescent="0.25">
      <c r="A576">
        <v>423</v>
      </c>
      <c r="B576" t="s">
        <v>22</v>
      </c>
      <c r="C576">
        <v>9.8444199999999996E-2</v>
      </c>
    </row>
    <row r="577" spans="1:3" x14ac:dyDescent="0.25">
      <c r="A577">
        <v>423</v>
      </c>
      <c r="B577" t="s">
        <v>23</v>
      </c>
      <c r="C577">
        <v>0.90155579000000008</v>
      </c>
    </row>
    <row r="578" spans="1:3" x14ac:dyDescent="0.25">
      <c r="A578">
        <v>424</v>
      </c>
      <c r="B578" t="s">
        <v>22</v>
      </c>
      <c r="C578">
        <v>5.8580000000000005E-5</v>
      </c>
    </row>
    <row r="579" spans="1:3" x14ac:dyDescent="0.25">
      <c r="A579">
        <v>424</v>
      </c>
      <c r="B579" t="s">
        <v>23</v>
      </c>
      <c r="C579">
        <v>0.99994142999999991</v>
      </c>
    </row>
    <row r="580" spans="1:3" x14ac:dyDescent="0.25">
      <c r="A580">
        <v>426</v>
      </c>
      <c r="B580" t="s">
        <v>22</v>
      </c>
      <c r="C580">
        <v>0.99866892000000007</v>
      </c>
    </row>
    <row r="581" spans="1:3" x14ac:dyDescent="0.25">
      <c r="A581">
        <v>426</v>
      </c>
      <c r="B581" t="s">
        <v>24</v>
      </c>
      <c r="C581">
        <v>1.3309699999999999E-3</v>
      </c>
    </row>
    <row r="582" spans="1:3" x14ac:dyDescent="0.25">
      <c r="A582">
        <v>427</v>
      </c>
      <c r="B582" t="s">
        <v>22</v>
      </c>
      <c r="C582">
        <v>0.99992557000000004</v>
      </c>
    </row>
    <row r="583" spans="1:3" x14ac:dyDescent="0.25">
      <c r="A583">
        <v>427</v>
      </c>
      <c r="B583" t="s">
        <v>24</v>
      </c>
      <c r="C583">
        <v>2.8100000000000002E-6</v>
      </c>
    </row>
    <row r="584" spans="1:3" x14ac:dyDescent="0.25">
      <c r="A584">
        <v>427</v>
      </c>
      <c r="B584" t="s">
        <v>23</v>
      </c>
      <c r="C584">
        <v>7.1619999999999995E-5</v>
      </c>
    </row>
    <row r="585" spans="1:3" x14ac:dyDescent="0.25">
      <c r="A585">
        <v>428</v>
      </c>
      <c r="B585" t="s">
        <v>22</v>
      </c>
      <c r="C585">
        <v>0.99528992999999999</v>
      </c>
    </row>
    <row r="586" spans="1:3" x14ac:dyDescent="0.25">
      <c r="A586">
        <v>428</v>
      </c>
      <c r="B586" t="s">
        <v>24</v>
      </c>
      <c r="C586">
        <v>2.5781199999999997E-3</v>
      </c>
    </row>
    <row r="587" spans="1:3" x14ac:dyDescent="0.25">
      <c r="A587">
        <v>428</v>
      </c>
      <c r="B587" t="s">
        <v>23</v>
      </c>
      <c r="C587">
        <v>2.13196E-3</v>
      </c>
    </row>
    <row r="588" spans="1:3" x14ac:dyDescent="0.25">
      <c r="A588">
        <v>429</v>
      </c>
      <c r="B588" t="s">
        <v>22</v>
      </c>
      <c r="C588">
        <v>6.0412600000000006E-3</v>
      </c>
    </row>
    <row r="589" spans="1:3" x14ac:dyDescent="0.25">
      <c r="A589">
        <v>429</v>
      </c>
      <c r="B589" t="s">
        <v>24</v>
      </c>
      <c r="C589">
        <v>0.99395860999999996</v>
      </c>
    </row>
    <row r="590" spans="1:3" x14ac:dyDescent="0.25">
      <c r="A590">
        <v>430</v>
      </c>
      <c r="B590" t="s">
        <v>22</v>
      </c>
      <c r="C590">
        <v>0.99707671000000009</v>
      </c>
    </row>
    <row r="591" spans="1:3" x14ac:dyDescent="0.25">
      <c r="A591">
        <v>430</v>
      </c>
      <c r="B591" t="s">
        <v>24</v>
      </c>
      <c r="C591">
        <v>1.1913999999999999E-4</v>
      </c>
    </row>
    <row r="592" spans="1:3" x14ac:dyDescent="0.25">
      <c r="A592">
        <v>430</v>
      </c>
      <c r="B592" t="s">
        <v>23</v>
      </c>
      <c r="C592">
        <v>2.8041100000000003E-3</v>
      </c>
    </row>
    <row r="593" spans="1:3" x14ac:dyDescent="0.25">
      <c r="A593">
        <v>431</v>
      </c>
      <c r="B593" t="s">
        <v>22</v>
      </c>
      <c r="C593">
        <v>0.99679158000000001</v>
      </c>
    </row>
    <row r="594" spans="1:3" x14ac:dyDescent="0.25">
      <c r="A594">
        <v>431</v>
      </c>
      <c r="B594" t="s">
        <v>23</v>
      </c>
      <c r="C594">
        <v>3.20843E-3</v>
      </c>
    </row>
    <row r="595" spans="1:3" x14ac:dyDescent="0.25">
      <c r="A595">
        <v>432</v>
      </c>
      <c r="B595" t="s">
        <v>22</v>
      </c>
      <c r="C595">
        <v>0.98684218000000001</v>
      </c>
    </row>
    <row r="596" spans="1:3" x14ac:dyDescent="0.25">
      <c r="A596">
        <v>432</v>
      </c>
      <c r="B596" t="s">
        <v>23</v>
      </c>
      <c r="C596">
        <v>1.3157820000000001E-2</v>
      </c>
    </row>
    <row r="597" spans="1:3" x14ac:dyDescent="0.25">
      <c r="A597">
        <v>433</v>
      </c>
      <c r="B597" t="s">
        <v>22</v>
      </c>
      <c r="C597">
        <v>1</v>
      </c>
    </row>
    <row r="598" spans="1:3" x14ac:dyDescent="0.25">
      <c r="A598">
        <v>434</v>
      </c>
      <c r="B598" t="s">
        <v>22</v>
      </c>
      <c r="C598">
        <v>0.99999998000000001</v>
      </c>
    </row>
    <row r="599" spans="1:3" x14ac:dyDescent="0.25">
      <c r="A599">
        <v>435</v>
      </c>
      <c r="B599" t="s">
        <v>22</v>
      </c>
      <c r="C599">
        <v>0.99179233999999994</v>
      </c>
    </row>
    <row r="600" spans="1:3" x14ac:dyDescent="0.25">
      <c r="A600">
        <v>435</v>
      </c>
      <c r="B600" t="s">
        <v>24</v>
      </c>
      <c r="C600">
        <v>8.2076500000000004E-3</v>
      </c>
    </row>
    <row r="601" spans="1:3" x14ac:dyDescent="0.25">
      <c r="A601">
        <v>436</v>
      </c>
      <c r="B601" t="s">
        <v>25</v>
      </c>
      <c r="C601">
        <v>1.5945870000000001E-2</v>
      </c>
    </row>
    <row r="602" spans="1:3" x14ac:dyDescent="0.25">
      <c r="A602">
        <v>436</v>
      </c>
      <c r="B602" t="s">
        <v>22</v>
      </c>
      <c r="C602">
        <v>0.98273095999999993</v>
      </c>
    </row>
    <row r="603" spans="1:3" x14ac:dyDescent="0.25">
      <c r="A603">
        <v>436</v>
      </c>
      <c r="B603" t="s">
        <v>26</v>
      </c>
      <c r="C603">
        <v>1.0125999999999999E-4</v>
      </c>
    </row>
    <row r="604" spans="1:3" x14ac:dyDescent="0.25">
      <c r="A604">
        <v>436</v>
      </c>
      <c r="B604" t="s">
        <v>24</v>
      </c>
      <c r="C604">
        <v>1.2219099999999999E-3</v>
      </c>
    </row>
    <row r="605" spans="1:3" x14ac:dyDescent="0.25">
      <c r="A605">
        <v>437</v>
      </c>
      <c r="B605" t="s">
        <v>22</v>
      </c>
      <c r="C605">
        <v>3.5122000000000002E-4</v>
      </c>
    </row>
    <row r="606" spans="1:3" x14ac:dyDescent="0.25">
      <c r="A606">
        <v>437</v>
      </c>
      <c r="B606" t="s">
        <v>24</v>
      </c>
      <c r="C606">
        <v>4.0799999999999999E-6</v>
      </c>
    </row>
    <row r="607" spans="1:3" x14ac:dyDescent="0.25">
      <c r="A607">
        <v>437</v>
      </c>
      <c r="B607" t="s">
        <v>23</v>
      </c>
      <c r="C607">
        <v>0.99964470000000005</v>
      </c>
    </row>
    <row r="608" spans="1:3" x14ac:dyDescent="0.25">
      <c r="A608">
        <v>439</v>
      </c>
      <c r="B608" t="s">
        <v>25</v>
      </c>
      <c r="C608">
        <v>7.8723899999999999E-2</v>
      </c>
    </row>
    <row r="609" spans="1:3" x14ac:dyDescent="0.25">
      <c r="A609">
        <v>439</v>
      </c>
      <c r="B609" t="s">
        <v>26</v>
      </c>
      <c r="C609">
        <v>0.92127645000000002</v>
      </c>
    </row>
    <row r="610" spans="1:3" x14ac:dyDescent="0.25">
      <c r="A610">
        <v>442</v>
      </c>
      <c r="B610" t="s">
        <v>22</v>
      </c>
      <c r="C610">
        <v>6.9587399999999997E-3</v>
      </c>
    </row>
    <row r="611" spans="1:3" x14ac:dyDescent="0.25">
      <c r="A611">
        <v>442</v>
      </c>
      <c r="B611" t="s">
        <v>24</v>
      </c>
      <c r="C611">
        <v>0.99304115999999998</v>
      </c>
    </row>
    <row r="612" spans="1:3" x14ac:dyDescent="0.25">
      <c r="A612">
        <v>443</v>
      </c>
      <c r="B612" t="s">
        <v>22</v>
      </c>
      <c r="C612">
        <v>9.36297E-3</v>
      </c>
    </row>
    <row r="613" spans="1:3" x14ac:dyDescent="0.25">
      <c r="A613">
        <v>443</v>
      </c>
      <c r="B613" t="s">
        <v>23</v>
      </c>
      <c r="C613">
        <v>0.99063700999999993</v>
      </c>
    </row>
    <row r="614" spans="1:3" x14ac:dyDescent="0.25">
      <c r="A614">
        <v>444</v>
      </c>
      <c r="B614" t="s">
        <v>22</v>
      </c>
      <c r="C614">
        <v>2.5829999999999999E-4</v>
      </c>
    </row>
    <row r="615" spans="1:3" x14ac:dyDescent="0.25">
      <c r="A615">
        <v>444</v>
      </c>
      <c r="B615" t="s">
        <v>23</v>
      </c>
      <c r="C615">
        <v>0.99974172999999988</v>
      </c>
    </row>
    <row r="616" spans="1:3" x14ac:dyDescent="0.25">
      <c r="A616">
        <v>447</v>
      </c>
      <c r="B616" t="s">
        <v>22</v>
      </c>
      <c r="C616">
        <v>0.98978622999999999</v>
      </c>
    </row>
    <row r="617" spans="1:3" x14ac:dyDescent="0.25">
      <c r="A617">
        <v>447</v>
      </c>
      <c r="B617" t="s">
        <v>24</v>
      </c>
      <c r="C617">
        <v>1.021358E-2</v>
      </c>
    </row>
    <row r="618" spans="1:3" x14ac:dyDescent="0.25">
      <c r="A618">
        <v>450</v>
      </c>
      <c r="B618" t="s">
        <v>22</v>
      </c>
      <c r="C618">
        <v>4.9572899999999996E-3</v>
      </c>
    </row>
    <row r="619" spans="1:3" x14ac:dyDescent="0.25">
      <c r="A619">
        <v>450</v>
      </c>
      <c r="B619" t="s">
        <v>24</v>
      </c>
      <c r="C619">
        <v>0.99375371000000001</v>
      </c>
    </row>
    <row r="620" spans="1:3" x14ac:dyDescent="0.25">
      <c r="A620">
        <v>450</v>
      </c>
      <c r="B620" t="s">
        <v>23</v>
      </c>
      <c r="C620">
        <v>1.2889999999999998E-3</v>
      </c>
    </row>
    <row r="621" spans="1:3" x14ac:dyDescent="0.25">
      <c r="A621">
        <v>451</v>
      </c>
      <c r="B621" t="s">
        <v>22</v>
      </c>
      <c r="C621">
        <v>0.99590688000000005</v>
      </c>
    </row>
    <row r="622" spans="1:3" x14ac:dyDescent="0.25">
      <c r="A622">
        <v>451</v>
      </c>
      <c r="B622" t="s">
        <v>24</v>
      </c>
      <c r="C622">
        <v>4.0930899999999997E-3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6EC1-4FD3-49C0-8033-A5D61E6D42CA}">
  <dimension ref="A1:C363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33</v>
      </c>
      <c r="B1" t="s">
        <v>11</v>
      </c>
      <c r="C1" t="s">
        <v>17</v>
      </c>
    </row>
    <row r="2" spans="1:3" x14ac:dyDescent="0.25">
      <c r="A2">
        <v>97301</v>
      </c>
      <c r="B2">
        <v>43</v>
      </c>
      <c r="C2">
        <v>5.8140999999999998E-2</v>
      </c>
    </row>
    <row r="3" spans="1:3" x14ac:dyDescent="0.25">
      <c r="A3">
        <v>97301</v>
      </c>
      <c r="B3">
        <v>61</v>
      </c>
      <c r="C3">
        <v>4.5100000000000001E-4</v>
      </c>
    </row>
    <row r="4" spans="1:3" x14ac:dyDescent="0.25">
      <c r="A4">
        <v>97301</v>
      </c>
      <c r="B4">
        <v>100</v>
      </c>
      <c r="C4">
        <v>2.1701999999999999E-2</v>
      </c>
    </row>
    <row r="5" spans="1:3" x14ac:dyDescent="0.25">
      <c r="A5">
        <v>97301</v>
      </c>
      <c r="B5">
        <v>116</v>
      </c>
      <c r="C5">
        <v>7.2434999999999999E-2</v>
      </c>
    </row>
    <row r="6" spans="1:3" x14ac:dyDescent="0.25">
      <c r="A6">
        <v>97301</v>
      </c>
      <c r="B6">
        <v>124</v>
      </c>
      <c r="C6">
        <v>8.1869999999999998E-3</v>
      </c>
    </row>
    <row r="7" spans="1:3" x14ac:dyDescent="0.25">
      <c r="A7">
        <v>97301</v>
      </c>
      <c r="B7">
        <v>125</v>
      </c>
      <c r="C7">
        <v>1.4506E-2</v>
      </c>
    </row>
    <row r="8" spans="1:3" x14ac:dyDescent="0.25">
      <c r="A8">
        <v>97301</v>
      </c>
      <c r="B8">
        <v>128</v>
      </c>
      <c r="C8">
        <v>9.1430000000000001E-3</v>
      </c>
    </row>
    <row r="9" spans="1:3" x14ac:dyDescent="0.25">
      <c r="A9">
        <v>97301</v>
      </c>
      <c r="B9">
        <v>135</v>
      </c>
      <c r="C9">
        <v>9.1789999999999997E-3</v>
      </c>
    </row>
    <row r="10" spans="1:3" x14ac:dyDescent="0.25">
      <c r="A10">
        <v>97301</v>
      </c>
      <c r="B10">
        <v>143</v>
      </c>
      <c r="C10">
        <v>3.2499999999999999E-4</v>
      </c>
    </row>
    <row r="11" spans="1:3" x14ac:dyDescent="0.25">
      <c r="A11">
        <v>97301</v>
      </c>
      <c r="B11">
        <v>144</v>
      </c>
      <c r="C11">
        <v>8.7360000000000007E-3</v>
      </c>
    </row>
    <row r="12" spans="1:3" x14ac:dyDescent="0.25">
      <c r="A12">
        <v>97301</v>
      </c>
      <c r="B12">
        <v>162</v>
      </c>
      <c r="C12">
        <v>8.0000000000000007E-5</v>
      </c>
    </row>
    <row r="13" spans="1:3" x14ac:dyDescent="0.25">
      <c r="A13">
        <v>97301</v>
      </c>
      <c r="B13">
        <v>164</v>
      </c>
      <c r="C13">
        <v>0.45717000000000002</v>
      </c>
    </row>
    <row r="14" spans="1:3" x14ac:dyDescent="0.25">
      <c r="A14">
        <v>97301</v>
      </c>
      <c r="B14">
        <v>168</v>
      </c>
      <c r="C14">
        <v>0.25683699999999998</v>
      </c>
    </row>
    <row r="15" spans="1:3" x14ac:dyDescent="0.25">
      <c r="A15">
        <v>97301</v>
      </c>
      <c r="B15">
        <v>172</v>
      </c>
      <c r="C15">
        <v>4.1239559999999997</v>
      </c>
    </row>
    <row r="16" spans="1:3" x14ac:dyDescent="0.25">
      <c r="A16">
        <v>97301</v>
      </c>
      <c r="B16">
        <v>173</v>
      </c>
      <c r="C16">
        <v>5.1529020000000001</v>
      </c>
    </row>
    <row r="17" spans="1:3" x14ac:dyDescent="0.25">
      <c r="A17">
        <v>97301</v>
      </c>
      <c r="B17">
        <v>180</v>
      </c>
      <c r="C17">
        <v>6.2175180000000001</v>
      </c>
    </row>
    <row r="18" spans="1:3" x14ac:dyDescent="0.25">
      <c r="A18">
        <v>97301</v>
      </c>
      <c r="B18">
        <v>186</v>
      </c>
      <c r="C18">
        <v>1.1131390000000001</v>
      </c>
    </row>
    <row r="19" spans="1:3" x14ac:dyDescent="0.25">
      <c r="A19">
        <v>97301</v>
      </c>
      <c r="B19">
        <v>189</v>
      </c>
      <c r="C19">
        <v>3.4226909999999999</v>
      </c>
    </row>
    <row r="20" spans="1:3" x14ac:dyDescent="0.25">
      <c r="A20">
        <v>97301</v>
      </c>
      <c r="B20">
        <v>194</v>
      </c>
      <c r="C20">
        <v>8.1081E-2</v>
      </c>
    </row>
    <row r="21" spans="1:3" x14ac:dyDescent="0.25">
      <c r="A21">
        <v>97301</v>
      </c>
      <c r="B21">
        <v>196</v>
      </c>
      <c r="C21">
        <v>2.5709999999999999E-3</v>
      </c>
    </row>
    <row r="22" spans="1:3" x14ac:dyDescent="0.25">
      <c r="A22">
        <v>97301</v>
      </c>
      <c r="B22">
        <v>211</v>
      </c>
      <c r="C22">
        <v>2.7994780000000001</v>
      </c>
    </row>
    <row r="23" spans="1:3" x14ac:dyDescent="0.25">
      <c r="A23">
        <v>97301</v>
      </c>
      <c r="B23">
        <v>212</v>
      </c>
      <c r="C23">
        <v>1.3599079999999999</v>
      </c>
    </row>
    <row r="24" spans="1:3" x14ac:dyDescent="0.25">
      <c r="A24">
        <v>97301</v>
      </c>
      <c r="B24">
        <v>213</v>
      </c>
      <c r="C24">
        <v>1.416636</v>
      </c>
    </row>
    <row r="25" spans="1:3" x14ac:dyDescent="0.25">
      <c r="A25">
        <v>97301</v>
      </c>
      <c r="B25">
        <v>214</v>
      </c>
      <c r="C25">
        <v>2.567917</v>
      </c>
    </row>
    <row r="26" spans="1:3" x14ac:dyDescent="0.25">
      <c r="A26">
        <v>97301</v>
      </c>
      <c r="B26">
        <v>220</v>
      </c>
      <c r="C26">
        <v>1.6114269999999999</v>
      </c>
    </row>
    <row r="27" spans="1:3" x14ac:dyDescent="0.25">
      <c r="A27">
        <v>97301</v>
      </c>
      <c r="B27">
        <v>221</v>
      </c>
      <c r="C27">
        <v>2.7963279999999999</v>
      </c>
    </row>
    <row r="28" spans="1:3" x14ac:dyDescent="0.25">
      <c r="A28">
        <v>97301</v>
      </c>
      <c r="B28">
        <v>222</v>
      </c>
      <c r="C28">
        <v>0.55449199999999998</v>
      </c>
    </row>
    <row r="29" spans="1:3" x14ac:dyDescent="0.25">
      <c r="A29">
        <v>97301</v>
      </c>
      <c r="B29">
        <v>223</v>
      </c>
      <c r="C29">
        <v>1.140495</v>
      </c>
    </row>
    <row r="30" spans="1:3" x14ac:dyDescent="0.25">
      <c r="A30">
        <v>97301</v>
      </c>
      <c r="B30">
        <v>224</v>
      </c>
      <c r="C30">
        <v>1.177359</v>
      </c>
    </row>
    <row r="31" spans="1:3" x14ac:dyDescent="0.25">
      <c r="A31">
        <v>97301</v>
      </c>
      <c r="B31">
        <v>225</v>
      </c>
      <c r="C31">
        <v>0.47216399999999997</v>
      </c>
    </row>
    <row r="32" spans="1:3" x14ac:dyDescent="0.25">
      <c r="A32">
        <v>97301</v>
      </c>
      <c r="B32">
        <v>226</v>
      </c>
      <c r="C32">
        <v>0.40874899999999997</v>
      </c>
    </row>
    <row r="33" spans="1:3" x14ac:dyDescent="0.25">
      <c r="A33">
        <v>97301</v>
      </c>
      <c r="B33">
        <v>227</v>
      </c>
      <c r="C33">
        <v>2.2926899999999999</v>
      </c>
    </row>
    <row r="34" spans="1:3" x14ac:dyDescent="0.25">
      <c r="A34">
        <v>97301</v>
      </c>
      <c r="B34">
        <v>229</v>
      </c>
      <c r="C34">
        <v>0.57223400000000002</v>
      </c>
    </row>
    <row r="35" spans="1:3" x14ac:dyDescent="0.25">
      <c r="A35">
        <v>97301</v>
      </c>
      <c r="B35">
        <v>230</v>
      </c>
      <c r="C35">
        <v>1.1916599999999999</v>
      </c>
    </row>
    <row r="36" spans="1:3" x14ac:dyDescent="0.25">
      <c r="A36">
        <v>97301</v>
      </c>
      <c r="B36">
        <v>231</v>
      </c>
      <c r="C36">
        <v>0.49892900000000001</v>
      </c>
    </row>
    <row r="37" spans="1:3" x14ac:dyDescent="0.25">
      <c r="A37">
        <v>97301</v>
      </c>
      <c r="B37">
        <v>232</v>
      </c>
      <c r="C37">
        <v>1.809693</v>
      </c>
    </row>
    <row r="38" spans="1:3" x14ac:dyDescent="0.25">
      <c r="A38">
        <v>97301</v>
      </c>
      <c r="B38">
        <v>233</v>
      </c>
      <c r="C38">
        <v>0.62913799999999998</v>
      </c>
    </row>
    <row r="39" spans="1:3" x14ac:dyDescent="0.25">
      <c r="A39">
        <v>97301</v>
      </c>
      <c r="B39">
        <v>234</v>
      </c>
      <c r="C39">
        <v>0.38366699999999998</v>
      </c>
    </row>
    <row r="40" spans="1:3" x14ac:dyDescent="0.25">
      <c r="A40">
        <v>97301</v>
      </c>
      <c r="B40">
        <v>235</v>
      </c>
      <c r="C40">
        <v>1.101256</v>
      </c>
    </row>
    <row r="41" spans="1:3" x14ac:dyDescent="0.25">
      <c r="A41">
        <v>97301</v>
      </c>
      <c r="B41">
        <v>236</v>
      </c>
      <c r="C41">
        <v>0.740452</v>
      </c>
    </row>
    <row r="42" spans="1:3" x14ac:dyDescent="0.25">
      <c r="A42">
        <v>97301</v>
      </c>
      <c r="B42">
        <v>237</v>
      </c>
      <c r="C42">
        <v>0.911547</v>
      </c>
    </row>
    <row r="43" spans="1:3" x14ac:dyDescent="0.25">
      <c r="A43">
        <v>97301</v>
      </c>
      <c r="B43">
        <v>238</v>
      </c>
      <c r="C43">
        <v>2.3809719999999999</v>
      </c>
    </row>
    <row r="44" spans="1:3" x14ac:dyDescent="0.25">
      <c r="A44">
        <v>97301</v>
      </c>
      <c r="B44">
        <v>242</v>
      </c>
      <c r="C44">
        <v>1.333407</v>
      </c>
    </row>
    <row r="45" spans="1:3" x14ac:dyDescent="0.25">
      <c r="A45">
        <v>97301</v>
      </c>
      <c r="B45">
        <v>243</v>
      </c>
      <c r="C45">
        <v>1.0054019999999999</v>
      </c>
    </row>
    <row r="46" spans="1:3" x14ac:dyDescent="0.25">
      <c r="A46">
        <v>97301</v>
      </c>
      <c r="B46">
        <v>244</v>
      </c>
      <c r="C46">
        <v>1.030953</v>
      </c>
    </row>
    <row r="47" spans="1:3" x14ac:dyDescent="0.25">
      <c r="A47">
        <v>97301</v>
      </c>
      <c r="B47">
        <v>245</v>
      </c>
      <c r="C47">
        <v>0.87814099999999995</v>
      </c>
    </row>
    <row r="48" spans="1:3" x14ac:dyDescent="0.25">
      <c r="A48">
        <v>97301</v>
      </c>
      <c r="B48">
        <v>246</v>
      </c>
      <c r="C48">
        <v>1.1354109999999999</v>
      </c>
    </row>
    <row r="49" spans="1:3" x14ac:dyDescent="0.25">
      <c r="A49">
        <v>97301</v>
      </c>
      <c r="B49">
        <v>249</v>
      </c>
      <c r="C49">
        <v>3.606322</v>
      </c>
    </row>
    <row r="50" spans="1:3" x14ac:dyDescent="0.25">
      <c r="A50">
        <v>97301</v>
      </c>
      <c r="B50">
        <v>254</v>
      </c>
      <c r="C50">
        <v>2.4952200000000002</v>
      </c>
    </row>
    <row r="51" spans="1:3" x14ac:dyDescent="0.25">
      <c r="A51">
        <v>97301</v>
      </c>
      <c r="B51">
        <v>256</v>
      </c>
      <c r="C51">
        <v>1.630045</v>
      </c>
    </row>
    <row r="52" spans="1:3" x14ac:dyDescent="0.25">
      <c r="A52">
        <v>97301</v>
      </c>
      <c r="B52">
        <v>257</v>
      </c>
      <c r="C52">
        <v>0.69626100000000002</v>
      </c>
    </row>
    <row r="53" spans="1:3" x14ac:dyDescent="0.25">
      <c r="A53">
        <v>97301</v>
      </c>
      <c r="B53">
        <v>258</v>
      </c>
      <c r="C53">
        <v>0.29738300000000001</v>
      </c>
    </row>
    <row r="54" spans="1:3" x14ac:dyDescent="0.25">
      <c r="A54">
        <v>97301</v>
      </c>
      <c r="B54">
        <v>259</v>
      </c>
      <c r="C54">
        <v>0.62947200000000003</v>
      </c>
    </row>
    <row r="55" spans="1:3" x14ac:dyDescent="0.25">
      <c r="A55">
        <v>97301</v>
      </c>
      <c r="B55">
        <v>260</v>
      </c>
      <c r="C55">
        <v>1.233935</v>
      </c>
    </row>
    <row r="56" spans="1:3" x14ac:dyDescent="0.25">
      <c r="A56">
        <v>97301</v>
      </c>
      <c r="B56">
        <v>261</v>
      </c>
      <c r="C56">
        <v>1.6704509999999999</v>
      </c>
    </row>
    <row r="57" spans="1:3" x14ac:dyDescent="0.25">
      <c r="A57">
        <v>97301</v>
      </c>
      <c r="B57">
        <v>279</v>
      </c>
      <c r="C57">
        <v>0.12393899999999999</v>
      </c>
    </row>
    <row r="58" spans="1:3" x14ac:dyDescent="0.25">
      <c r="A58">
        <v>97301</v>
      </c>
      <c r="B58">
        <v>280</v>
      </c>
      <c r="C58">
        <v>0.15038899999999999</v>
      </c>
    </row>
    <row r="59" spans="1:3" x14ac:dyDescent="0.25">
      <c r="A59">
        <v>97301</v>
      </c>
      <c r="B59">
        <v>281</v>
      </c>
      <c r="C59">
        <v>0.18040600000000001</v>
      </c>
    </row>
    <row r="60" spans="1:3" x14ac:dyDescent="0.25">
      <c r="A60">
        <v>97301</v>
      </c>
      <c r="B60">
        <v>282</v>
      </c>
      <c r="C60">
        <v>2.5045489999999999</v>
      </c>
    </row>
    <row r="61" spans="1:3" x14ac:dyDescent="0.25">
      <c r="A61">
        <v>97301</v>
      </c>
      <c r="B61">
        <v>283</v>
      </c>
      <c r="C61">
        <v>1.709792</v>
      </c>
    </row>
    <row r="62" spans="1:3" x14ac:dyDescent="0.25">
      <c r="A62">
        <v>97301</v>
      </c>
      <c r="B62">
        <v>284</v>
      </c>
      <c r="C62">
        <v>2.9023430000000001</v>
      </c>
    </row>
    <row r="63" spans="1:3" x14ac:dyDescent="0.25">
      <c r="A63">
        <v>97301</v>
      </c>
      <c r="B63">
        <v>285</v>
      </c>
      <c r="C63">
        <v>0.96009100000000003</v>
      </c>
    </row>
    <row r="64" spans="1:3" x14ac:dyDescent="0.25">
      <c r="A64">
        <v>97301</v>
      </c>
      <c r="B64">
        <v>286</v>
      </c>
      <c r="C64">
        <v>3.7972800000000002</v>
      </c>
    </row>
    <row r="65" spans="1:3" x14ac:dyDescent="0.25">
      <c r="A65">
        <v>97301</v>
      </c>
      <c r="B65">
        <v>289</v>
      </c>
      <c r="C65">
        <v>1.3504339999999999</v>
      </c>
    </row>
    <row r="66" spans="1:3" x14ac:dyDescent="0.25">
      <c r="A66">
        <v>97301</v>
      </c>
      <c r="B66">
        <v>290</v>
      </c>
      <c r="C66">
        <v>1.0436319999999999</v>
      </c>
    </row>
    <row r="67" spans="1:3" x14ac:dyDescent="0.25">
      <c r="A67">
        <v>97301</v>
      </c>
      <c r="B67">
        <v>294</v>
      </c>
      <c r="C67">
        <v>0.67355699999999996</v>
      </c>
    </row>
    <row r="68" spans="1:3" x14ac:dyDescent="0.25">
      <c r="A68">
        <v>97301</v>
      </c>
      <c r="B68">
        <v>295</v>
      </c>
      <c r="C68">
        <v>0.87546800000000002</v>
      </c>
    </row>
    <row r="69" spans="1:3" x14ac:dyDescent="0.25">
      <c r="A69">
        <v>97301</v>
      </c>
      <c r="B69">
        <v>296</v>
      </c>
      <c r="C69">
        <v>0.14804200000000001</v>
      </c>
    </row>
    <row r="70" spans="1:3" x14ac:dyDescent="0.25">
      <c r="A70">
        <v>97301</v>
      </c>
      <c r="B70">
        <v>298</v>
      </c>
      <c r="C70">
        <v>1.049823</v>
      </c>
    </row>
    <row r="71" spans="1:3" x14ac:dyDescent="0.25">
      <c r="A71">
        <v>97301</v>
      </c>
      <c r="B71">
        <v>299</v>
      </c>
      <c r="C71">
        <v>4.8129280000000003</v>
      </c>
    </row>
    <row r="72" spans="1:3" x14ac:dyDescent="0.25">
      <c r="A72">
        <v>97301</v>
      </c>
      <c r="B72">
        <v>300</v>
      </c>
      <c r="C72">
        <v>1.2206140000000001</v>
      </c>
    </row>
    <row r="73" spans="1:3" x14ac:dyDescent="0.25">
      <c r="A73">
        <v>97301</v>
      </c>
      <c r="B73">
        <v>301</v>
      </c>
      <c r="C73">
        <v>1.5077419999999999</v>
      </c>
    </row>
    <row r="74" spans="1:3" x14ac:dyDescent="0.25">
      <c r="A74">
        <v>97301</v>
      </c>
      <c r="B74">
        <v>302</v>
      </c>
      <c r="C74">
        <v>0.59730000000000005</v>
      </c>
    </row>
    <row r="75" spans="1:3" x14ac:dyDescent="0.25">
      <c r="A75">
        <v>97301</v>
      </c>
      <c r="B75">
        <v>303</v>
      </c>
      <c r="C75">
        <v>0.999394</v>
      </c>
    </row>
    <row r="76" spans="1:3" x14ac:dyDescent="0.25">
      <c r="A76">
        <v>97301</v>
      </c>
      <c r="B76">
        <v>304</v>
      </c>
      <c r="C76">
        <v>5.7012460000000003</v>
      </c>
    </row>
    <row r="77" spans="1:3" x14ac:dyDescent="0.25">
      <c r="A77">
        <v>97301</v>
      </c>
      <c r="B77">
        <v>309</v>
      </c>
      <c r="C77">
        <v>2.1979999999999999E-3</v>
      </c>
    </row>
    <row r="78" spans="1:3" x14ac:dyDescent="0.25">
      <c r="A78">
        <v>97301</v>
      </c>
      <c r="B78">
        <v>310</v>
      </c>
      <c r="C78">
        <v>1.0286999999999999E-2</v>
      </c>
    </row>
    <row r="79" spans="1:3" x14ac:dyDescent="0.25">
      <c r="A79">
        <v>97301</v>
      </c>
      <c r="B79">
        <v>313</v>
      </c>
      <c r="C79">
        <v>1.5139999999999999E-3</v>
      </c>
    </row>
    <row r="80" spans="1:3" x14ac:dyDescent="0.25">
      <c r="A80">
        <v>97301</v>
      </c>
      <c r="B80">
        <v>436</v>
      </c>
      <c r="C80">
        <v>1.7825000000000001E-2</v>
      </c>
    </row>
    <row r="81" spans="1:3" x14ac:dyDescent="0.25">
      <c r="A81">
        <v>97301</v>
      </c>
      <c r="B81">
        <v>439</v>
      </c>
      <c r="C81">
        <v>0.168992</v>
      </c>
    </row>
    <row r="82" spans="1:3" x14ac:dyDescent="0.25">
      <c r="A82">
        <v>97302</v>
      </c>
      <c r="B82">
        <v>37</v>
      </c>
      <c r="C82">
        <v>4.1939999999999998E-2</v>
      </c>
    </row>
    <row r="83" spans="1:3" x14ac:dyDescent="0.25">
      <c r="A83">
        <v>97302</v>
      </c>
      <c r="B83">
        <v>38</v>
      </c>
      <c r="C83">
        <v>9.8668000000000006E-2</v>
      </c>
    </row>
    <row r="84" spans="1:3" x14ac:dyDescent="0.25">
      <c r="A84">
        <v>97302</v>
      </c>
      <c r="B84">
        <v>64</v>
      </c>
      <c r="C84">
        <v>3.9199999999999999E-3</v>
      </c>
    </row>
    <row r="85" spans="1:3" x14ac:dyDescent="0.25">
      <c r="A85">
        <v>97302</v>
      </c>
      <c r="B85">
        <v>71</v>
      </c>
      <c r="C85">
        <v>2.6616999999999998E-2</v>
      </c>
    </row>
    <row r="86" spans="1:3" x14ac:dyDescent="0.25">
      <c r="A86">
        <v>97302</v>
      </c>
      <c r="B86">
        <v>77</v>
      </c>
      <c r="C86">
        <v>5.9800000000000001E-4</v>
      </c>
    </row>
    <row r="87" spans="1:3" x14ac:dyDescent="0.25">
      <c r="A87">
        <v>97302</v>
      </c>
      <c r="B87">
        <v>194</v>
      </c>
      <c r="C87">
        <v>1.5799999999999999E-4</v>
      </c>
    </row>
    <row r="88" spans="1:3" x14ac:dyDescent="0.25">
      <c r="A88">
        <v>97302</v>
      </c>
      <c r="B88">
        <v>249</v>
      </c>
      <c r="C88">
        <v>2.1307E-2</v>
      </c>
    </row>
    <row r="89" spans="1:3" x14ac:dyDescent="0.25">
      <c r="A89">
        <v>97302</v>
      </c>
      <c r="B89">
        <v>258</v>
      </c>
      <c r="C89">
        <v>2.5602E-2</v>
      </c>
    </row>
    <row r="90" spans="1:3" x14ac:dyDescent="0.25">
      <c r="A90">
        <v>97302</v>
      </c>
      <c r="B90">
        <v>259</v>
      </c>
      <c r="C90">
        <v>8.541E-3</v>
      </c>
    </row>
    <row r="91" spans="1:3" x14ac:dyDescent="0.25">
      <c r="A91">
        <v>97302</v>
      </c>
      <c r="B91">
        <v>260</v>
      </c>
      <c r="C91">
        <v>1.8370000000000001E-3</v>
      </c>
    </row>
    <row r="92" spans="1:3" x14ac:dyDescent="0.25">
      <c r="A92">
        <v>97302</v>
      </c>
      <c r="B92">
        <v>261</v>
      </c>
      <c r="C92">
        <v>7.4399999999999998E-4</v>
      </c>
    </row>
    <row r="93" spans="1:3" x14ac:dyDescent="0.25">
      <c r="A93">
        <v>97302</v>
      </c>
      <c r="B93">
        <v>281</v>
      </c>
      <c r="C93">
        <v>6.3160000000000004E-3</v>
      </c>
    </row>
    <row r="94" spans="1:3" x14ac:dyDescent="0.25">
      <c r="A94">
        <v>97302</v>
      </c>
      <c r="B94">
        <v>301</v>
      </c>
      <c r="C94">
        <v>1.7172E-2</v>
      </c>
    </row>
    <row r="95" spans="1:3" x14ac:dyDescent="0.25">
      <c r="A95">
        <v>97302</v>
      </c>
      <c r="B95">
        <v>303</v>
      </c>
      <c r="C95">
        <v>9.1310000000000002E-3</v>
      </c>
    </row>
    <row r="96" spans="1:3" x14ac:dyDescent="0.25">
      <c r="A96">
        <v>97302</v>
      </c>
      <c r="B96">
        <v>304</v>
      </c>
      <c r="C96">
        <v>6.8364999999999995E-2</v>
      </c>
    </row>
    <row r="97" spans="1:3" x14ac:dyDescent="0.25">
      <c r="A97">
        <v>97302</v>
      </c>
      <c r="B97">
        <v>309</v>
      </c>
      <c r="C97">
        <v>0.15463399999999999</v>
      </c>
    </row>
    <row r="98" spans="1:3" x14ac:dyDescent="0.25">
      <c r="A98">
        <v>97302</v>
      </c>
      <c r="B98">
        <v>310</v>
      </c>
      <c r="C98">
        <v>2.0174349999999999</v>
      </c>
    </row>
    <row r="99" spans="1:3" x14ac:dyDescent="0.25">
      <c r="A99">
        <v>97302</v>
      </c>
      <c r="B99">
        <v>312</v>
      </c>
      <c r="C99">
        <v>0.53995899999999997</v>
      </c>
    </row>
    <row r="100" spans="1:3" x14ac:dyDescent="0.25">
      <c r="A100">
        <v>97302</v>
      </c>
      <c r="B100">
        <v>313</v>
      </c>
      <c r="C100">
        <v>2.3758059999999999</v>
      </c>
    </row>
    <row r="101" spans="1:3" x14ac:dyDescent="0.25">
      <c r="A101">
        <v>97302</v>
      </c>
      <c r="B101">
        <v>314</v>
      </c>
      <c r="C101">
        <v>1.1326860000000001</v>
      </c>
    </row>
    <row r="102" spans="1:3" x14ac:dyDescent="0.25">
      <c r="A102">
        <v>97302</v>
      </c>
      <c r="B102">
        <v>322</v>
      </c>
      <c r="C102">
        <v>1.2138880000000001</v>
      </c>
    </row>
    <row r="103" spans="1:3" x14ac:dyDescent="0.25">
      <c r="A103">
        <v>97302</v>
      </c>
      <c r="B103">
        <v>323</v>
      </c>
      <c r="C103">
        <v>0.11429</v>
      </c>
    </row>
    <row r="104" spans="1:3" x14ac:dyDescent="0.25">
      <c r="A104">
        <v>97302</v>
      </c>
      <c r="B104">
        <v>324</v>
      </c>
      <c r="C104">
        <v>1.574891</v>
      </c>
    </row>
    <row r="105" spans="1:3" x14ac:dyDescent="0.25">
      <c r="A105">
        <v>97302</v>
      </c>
      <c r="B105">
        <v>330</v>
      </c>
      <c r="C105">
        <v>2.423616</v>
      </c>
    </row>
    <row r="106" spans="1:3" x14ac:dyDescent="0.25">
      <c r="A106">
        <v>97302</v>
      </c>
      <c r="B106">
        <v>332</v>
      </c>
      <c r="C106">
        <v>0.61020300000000005</v>
      </c>
    </row>
    <row r="107" spans="1:3" x14ac:dyDescent="0.25">
      <c r="A107">
        <v>97302</v>
      </c>
      <c r="B107">
        <v>333</v>
      </c>
      <c r="C107">
        <v>0.82591400000000004</v>
      </c>
    </row>
    <row r="108" spans="1:3" x14ac:dyDescent="0.25">
      <c r="A108">
        <v>97302</v>
      </c>
      <c r="B108">
        <v>334</v>
      </c>
      <c r="C108">
        <v>1.3547899999999999</v>
      </c>
    </row>
    <row r="109" spans="1:3" x14ac:dyDescent="0.25">
      <c r="A109">
        <v>97302</v>
      </c>
      <c r="B109">
        <v>335</v>
      </c>
      <c r="C109">
        <v>1.7119899999999999</v>
      </c>
    </row>
    <row r="110" spans="1:3" x14ac:dyDescent="0.25">
      <c r="A110">
        <v>97302</v>
      </c>
      <c r="B110">
        <v>336</v>
      </c>
      <c r="C110">
        <v>1.1898629999999999</v>
      </c>
    </row>
    <row r="111" spans="1:3" x14ac:dyDescent="0.25">
      <c r="A111">
        <v>97302</v>
      </c>
      <c r="B111">
        <v>338</v>
      </c>
      <c r="C111">
        <v>0.99068999999999996</v>
      </c>
    </row>
    <row r="112" spans="1:3" x14ac:dyDescent="0.25">
      <c r="A112">
        <v>97302</v>
      </c>
      <c r="B112">
        <v>345</v>
      </c>
      <c r="C112">
        <v>3.3499590000000001</v>
      </c>
    </row>
    <row r="113" spans="1:3" x14ac:dyDescent="0.25">
      <c r="A113">
        <v>97302</v>
      </c>
      <c r="B113">
        <v>346</v>
      </c>
      <c r="C113">
        <v>0.97348000000000001</v>
      </c>
    </row>
    <row r="114" spans="1:3" x14ac:dyDescent="0.25">
      <c r="A114">
        <v>97302</v>
      </c>
      <c r="B114">
        <v>347</v>
      </c>
      <c r="C114">
        <v>1.1147089999999999</v>
      </c>
    </row>
    <row r="115" spans="1:3" x14ac:dyDescent="0.25">
      <c r="A115">
        <v>97302</v>
      </c>
      <c r="B115">
        <v>350</v>
      </c>
      <c r="C115">
        <v>1.7603310000000001</v>
      </c>
    </row>
    <row r="116" spans="1:3" x14ac:dyDescent="0.25">
      <c r="A116">
        <v>97302</v>
      </c>
      <c r="B116">
        <v>354</v>
      </c>
      <c r="C116">
        <v>13.597301</v>
      </c>
    </row>
    <row r="117" spans="1:3" x14ac:dyDescent="0.25">
      <c r="A117">
        <v>97302</v>
      </c>
      <c r="B117">
        <v>357</v>
      </c>
      <c r="C117">
        <v>2.9328319999999999</v>
      </c>
    </row>
    <row r="118" spans="1:3" x14ac:dyDescent="0.25">
      <c r="A118">
        <v>97302</v>
      </c>
      <c r="B118">
        <v>358</v>
      </c>
      <c r="C118">
        <v>1.1503749999999999</v>
      </c>
    </row>
    <row r="119" spans="1:3" x14ac:dyDescent="0.25">
      <c r="A119">
        <v>97302</v>
      </c>
      <c r="B119">
        <v>359</v>
      </c>
      <c r="C119">
        <v>0.97543199999999997</v>
      </c>
    </row>
    <row r="120" spans="1:3" x14ac:dyDescent="0.25">
      <c r="A120">
        <v>97302</v>
      </c>
      <c r="B120">
        <v>360</v>
      </c>
      <c r="C120">
        <v>0.881019</v>
      </c>
    </row>
    <row r="121" spans="1:3" x14ac:dyDescent="0.25">
      <c r="A121">
        <v>97302</v>
      </c>
      <c r="B121">
        <v>361</v>
      </c>
      <c r="C121">
        <v>0.56147899999999995</v>
      </c>
    </row>
    <row r="122" spans="1:3" x14ac:dyDescent="0.25">
      <c r="A122">
        <v>97302</v>
      </c>
      <c r="B122">
        <v>362</v>
      </c>
      <c r="C122">
        <v>0.589449</v>
      </c>
    </row>
    <row r="123" spans="1:3" x14ac:dyDescent="0.25">
      <c r="A123">
        <v>97302</v>
      </c>
      <c r="B123">
        <v>363</v>
      </c>
      <c r="C123">
        <v>1.8816550000000001</v>
      </c>
    </row>
    <row r="124" spans="1:3" x14ac:dyDescent="0.25">
      <c r="A124">
        <v>97302</v>
      </c>
      <c r="B124">
        <v>365</v>
      </c>
      <c r="C124">
        <v>1.137E-3</v>
      </c>
    </row>
    <row r="125" spans="1:3" x14ac:dyDescent="0.25">
      <c r="A125">
        <v>97302</v>
      </c>
      <c r="B125">
        <v>366</v>
      </c>
      <c r="C125">
        <v>0.85375699999999999</v>
      </c>
    </row>
    <row r="126" spans="1:3" x14ac:dyDescent="0.25">
      <c r="A126">
        <v>97302</v>
      </c>
      <c r="B126">
        <v>368</v>
      </c>
      <c r="C126">
        <v>1.8867370000000001</v>
      </c>
    </row>
    <row r="127" spans="1:3" x14ac:dyDescent="0.25">
      <c r="A127">
        <v>97302</v>
      </c>
      <c r="B127">
        <v>373</v>
      </c>
      <c r="C127">
        <v>7.9771999999999996E-2</v>
      </c>
    </row>
    <row r="128" spans="1:3" x14ac:dyDescent="0.25">
      <c r="A128">
        <v>97302</v>
      </c>
      <c r="B128">
        <v>381</v>
      </c>
      <c r="C128">
        <v>0.18331600000000001</v>
      </c>
    </row>
    <row r="129" spans="1:3" x14ac:dyDescent="0.25">
      <c r="A129">
        <v>97302</v>
      </c>
      <c r="B129">
        <v>395</v>
      </c>
      <c r="C129">
        <v>1.1194000000000001E-2</v>
      </c>
    </row>
    <row r="130" spans="1:3" x14ac:dyDescent="0.25">
      <c r="A130">
        <v>97302</v>
      </c>
      <c r="B130">
        <v>430</v>
      </c>
      <c r="C130">
        <v>0.50292300000000001</v>
      </c>
    </row>
    <row r="131" spans="1:3" x14ac:dyDescent="0.25">
      <c r="A131">
        <v>97302</v>
      </c>
      <c r="B131">
        <v>431</v>
      </c>
      <c r="C131">
        <v>15.683624999999999</v>
      </c>
    </row>
    <row r="132" spans="1:3" x14ac:dyDescent="0.25">
      <c r="A132">
        <v>97302</v>
      </c>
      <c r="B132">
        <v>432</v>
      </c>
      <c r="C132">
        <v>8.7234029999999994</v>
      </c>
    </row>
    <row r="133" spans="1:3" x14ac:dyDescent="0.25">
      <c r="A133">
        <v>97302</v>
      </c>
      <c r="B133">
        <v>433</v>
      </c>
      <c r="C133">
        <v>3.9759060000000002</v>
      </c>
    </row>
    <row r="134" spans="1:3" x14ac:dyDescent="0.25">
      <c r="A134">
        <v>97302</v>
      </c>
      <c r="B134">
        <v>434</v>
      </c>
      <c r="C134">
        <v>2.8991799999999999</v>
      </c>
    </row>
    <row r="135" spans="1:3" x14ac:dyDescent="0.25">
      <c r="A135">
        <v>97302</v>
      </c>
      <c r="B135">
        <v>435</v>
      </c>
      <c r="C135">
        <v>9.0990509999999993</v>
      </c>
    </row>
    <row r="136" spans="1:3" x14ac:dyDescent="0.25">
      <c r="A136">
        <v>97302</v>
      </c>
      <c r="B136">
        <v>436</v>
      </c>
      <c r="C136">
        <v>7.2017810000000004</v>
      </c>
    </row>
    <row r="137" spans="1:3" x14ac:dyDescent="0.25">
      <c r="A137">
        <v>97302</v>
      </c>
      <c r="B137">
        <v>442</v>
      </c>
      <c r="C137">
        <v>0.37709900000000002</v>
      </c>
    </row>
    <row r="138" spans="1:3" x14ac:dyDescent="0.25">
      <c r="A138">
        <v>97303</v>
      </c>
      <c r="B138">
        <v>42</v>
      </c>
      <c r="C138">
        <v>9.2320000000000006E-3</v>
      </c>
    </row>
    <row r="139" spans="1:3" x14ac:dyDescent="0.25">
      <c r="A139">
        <v>97303</v>
      </c>
      <c r="B139">
        <v>43</v>
      </c>
      <c r="C139">
        <v>5.8222000000000003E-2</v>
      </c>
    </row>
    <row r="140" spans="1:3" x14ac:dyDescent="0.25">
      <c r="A140">
        <v>97303</v>
      </c>
      <c r="B140">
        <v>80</v>
      </c>
      <c r="C140">
        <v>17.445077000000001</v>
      </c>
    </row>
    <row r="141" spans="1:3" x14ac:dyDescent="0.25">
      <c r="A141">
        <v>97303</v>
      </c>
      <c r="B141">
        <v>81</v>
      </c>
      <c r="C141">
        <v>5.9164349999999999</v>
      </c>
    </row>
    <row r="142" spans="1:3" x14ac:dyDescent="0.25">
      <c r="A142">
        <v>97303</v>
      </c>
      <c r="B142">
        <v>82</v>
      </c>
      <c r="C142">
        <v>3.605604</v>
      </c>
    </row>
    <row r="143" spans="1:3" x14ac:dyDescent="0.25">
      <c r="A143">
        <v>97303</v>
      </c>
      <c r="B143">
        <v>83</v>
      </c>
      <c r="C143">
        <v>3.588152</v>
      </c>
    </row>
    <row r="144" spans="1:3" x14ac:dyDescent="0.25">
      <c r="A144">
        <v>97303</v>
      </c>
      <c r="B144">
        <v>84</v>
      </c>
      <c r="C144">
        <v>2.8701449999999999</v>
      </c>
    </row>
    <row r="145" spans="1:3" x14ac:dyDescent="0.25">
      <c r="A145">
        <v>97303</v>
      </c>
      <c r="B145">
        <v>85</v>
      </c>
      <c r="C145">
        <v>1.856786</v>
      </c>
    </row>
    <row r="146" spans="1:3" x14ac:dyDescent="0.25">
      <c r="A146">
        <v>97303</v>
      </c>
      <c r="B146">
        <v>86</v>
      </c>
      <c r="C146">
        <v>3.05226</v>
      </c>
    </row>
    <row r="147" spans="1:3" x14ac:dyDescent="0.25">
      <c r="A147">
        <v>97303</v>
      </c>
      <c r="B147">
        <v>87</v>
      </c>
      <c r="C147">
        <v>1.7470840000000001</v>
      </c>
    </row>
    <row r="148" spans="1:3" x14ac:dyDescent="0.25">
      <c r="A148">
        <v>97303</v>
      </c>
      <c r="B148">
        <v>88</v>
      </c>
      <c r="C148">
        <v>1.6429769999999999</v>
      </c>
    </row>
    <row r="149" spans="1:3" x14ac:dyDescent="0.25">
      <c r="A149">
        <v>97303</v>
      </c>
      <c r="B149">
        <v>89</v>
      </c>
      <c r="C149">
        <v>1.21167</v>
      </c>
    </row>
    <row r="150" spans="1:3" x14ac:dyDescent="0.25">
      <c r="A150">
        <v>97303</v>
      </c>
      <c r="B150">
        <v>90</v>
      </c>
      <c r="C150">
        <v>0.360101</v>
      </c>
    </row>
    <row r="151" spans="1:3" x14ac:dyDescent="0.25">
      <c r="A151">
        <v>97303</v>
      </c>
      <c r="B151">
        <v>91</v>
      </c>
      <c r="C151">
        <v>0.82292200000000004</v>
      </c>
    </row>
    <row r="152" spans="1:3" x14ac:dyDescent="0.25">
      <c r="A152">
        <v>97303</v>
      </c>
      <c r="B152">
        <v>92</v>
      </c>
      <c r="C152">
        <v>1.822816</v>
      </c>
    </row>
    <row r="153" spans="1:3" x14ac:dyDescent="0.25">
      <c r="A153">
        <v>97303</v>
      </c>
      <c r="B153">
        <v>94</v>
      </c>
      <c r="C153">
        <v>0.86962899999999999</v>
      </c>
    </row>
    <row r="154" spans="1:3" x14ac:dyDescent="0.25">
      <c r="A154">
        <v>97303</v>
      </c>
      <c r="B154">
        <v>95</v>
      </c>
      <c r="C154">
        <v>0.828345</v>
      </c>
    </row>
    <row r="155" spans="1:3" x14ac:dyDescent="0.25">
      <c r="A155">
        <v>97303</v>
      </c>
      <c r="B155">
        <v>100</v>
      </c>
      <c r="C155">
        <v>0.93980600000000003</v>
      </c>
    </row>
    <row r="156" spans="1:3" x14ac:dyDescent="0.25">
      <c r="A156">
        <v>97303</v>
      </c>
      <c r="B156">
        <v>103</v>
      </c>
      <c r="C156">
        <v>1.0355529999999999</v>
      </c>
    </row>
    <row r="157" spans="1:3" x14ac:dyDescent="0.25">
      <c r="A157">
        <v>97303</v>
      </c>
      <c r="B157">
        <v>104</v>
      </c>
      <c r="C157">
        <v>0.76305199999999995</v>
      </c>
    </row>
    <row r="158" spans="1:3" x14ac:dyDescent="0.25">
      <c r="A158">
        <v>97303</v>
      </c>
      <c r="B158">
        <v>107</v>
      </c>
      <c r="C158">
        <v>1.3622799999999999</v>
      </c>
    </row>
    <row r="159" spans="1:3" x14ac:dyDescent="0.25">
      <c r="A159">
        <v>97303</v>
      </c>
      <c r="B159">
        <v>110</v>
      </c>
      <c r="C159">
        <v>0.80323</v>
      </c>
    </row>
    <row r="160" spans="1:3" x14ac:dyDescent="0.25">
      <c r="A160">
        <v>97303</v>
      </c>
      <c r="B160">
        <v>111</v>
      </c>
      <c r="C160">
        <v>1.029987</v>
      </c>
    </row>
    <row r="161" spans="1:3" x14ac:dyDescent="0.25">
      <c r="A161">
        <v>97303</v>
      </c>
      <c r="B161">
        <v>112</v>
      </c>
      <c r="C161">
        <v>1.0749280000000001</v>
      </c>
    </row>
    <row r="162" spans="1:3" x14ac:dyDescent="0.25">
      <c r="A162">
        <v>97303</v>
      </c>
      <c r="B162">
        <v>114</v>
      </c>
      <c r="C162">
        <v>0.98919699999999999</v>
      </c>
    </row>
    <row r="163" spans="1:3" x14ac:dyDescent="0.25">
      <c r="A163">
        <v>97303</v>
      </c>
      <c r="B163">
        <v>116</v>
      </c>
      <c r="C163">
        <v>1.1466590000000001</v>
      </c>
    </row>
    <row r="164" spans="1:3" x14ac:dyDescent="0.25">
      <c r="A164">
        <v>97303</v>
      </c>
      <c r="B164">
        <v>117</v>
      </c>
      <c r="C164">
        <v>0.89366100000000004</v>
      </c>
    </row>
    <row r="165" spans="1:3" x14ac:dyDescent="0.25">
      <c r="A165">
        <v>97303</v>
      </c>
      <c r="B165">
        <v>118</v>
      </c>
      <c r="C165">
        <v>0.62037399999999998</v>
      </c>
    </row>
    <row r="166" spans="1:3" x14ac:dyDescent="0.25">
      <c r="A166">
        <v>97303</v>
      </c>
      <c r="B166">
        <v>120</v>
      </c>
      <c r="C166">
        <v>1.8202210000000001</v>
      </c>
    </row>
    <row r="167" spans="1:3" x14ac:dyDescent="0.25">
      <c r="A167">
        <v>97303</v>
      </c>
      <c r="B167">
        <v>124</v>
      </c>
      <c r="C167">
        <v>0.62178599999999995</v>
      </c>
    </row>
    <row r="168" spans="1:3" x14ac:dyDescent="0.25">
      <c r="A168">
        <v>97303</v>
      </c>
      <c r="B168">
        <v>125</v>
      </c>
      <c r="C168">
        <v>0.43310700000000002</v>
      </c>
    </row>
    <row r="169" spans="1:3" x14ac:dyDescent="0.25">
      <c r="A169">
        <v>97303</v>
      </c>
      <c r="B169">
        <v>126</v>
      </c>
      <c r="C169">
        <v>0.27187600000000001</v>
      </c>
    </row>
    <row r="170" spans="1:3" x14ac:dyDescent="0.25">
      <c r="A170">
        <v>97303</v>
      </c>
      <c r="B170">
        <v>128</v>
      </c>
      <c r="C170">
        <v>0.901837</v>
      </c>
    </row>
    <row r="171" spans="1:3" x14ac:dyDescent="0.25">
      <c r="A171">
        <v>97303</v>
      </c>
      <c r="B171">
        <v>129</v>
      </c>
      <c r="C171">
        <v>6.1671999999999998E-2</v>
      </c>
    </row>
    <row r="172" spans="1:3" x14ac:dyDescent="0.25">
      <c r="A172">
        <v>97303</v>
      </c>
      <c r="B172">
        <v>131</v>
      </c>
      <c r="C172">
        <v>1.1818E-2</v>
      </c>
    </row>
    <row r="173" spans="1:3" x14ac:dyDescent="0.25">
      <c r="A173">
        <v>97303</v>
      </c>
      <c r="B173">
        <v>135</v>
      </c>
      <c r="C173">
        <v>4.6540000000000002E-3</v>
      </c>
    </row>
    <row r="174" spans="1:3" x14ac:dyDescent="0.25">
      <c r="A174">
        <v>97303</v>
      </c>
      <c r="B174">
        <v>211</v>
      </c>
      <c r="C174">
        <v>3.3887E-2</v>
      </c>
    </row>
    <row r="175" spans="1:3" x14ac:dyDescent="0.25">
      <c r="A175">
        <v>97303</v>
      </c>
      <c r="B175">
        <v>222</v>
      </c>
      <c r="C175">
        <v>9.2230000000000003E-3</v>
      </c>
    </row>
    <row r="176" spans="1:3" x14ac:dyDescent="0.25">
      <c r="A176">
        <v>97303</v>
      </c>
      <c r="B176">
        <v>223</v>
      </c>
      <c r="C176">
        <v>0.154997</v>
      </c>
    </row>
    <row r="177" spans="1:3" x14ac:dyDescent="0.25">
      <c r="A177">
        <v>97303</v>
      </c>
      <c r="B177">
        <v>224</v>
      </c>
      <c r="C177">
        <v>2.6840000000000002E-3</v>
      </c>
    </row>
    <row r="178" spans="1:3" x14ac:dyDescent="0.25">
      <c r="A178">
        <v>97303</v>
      </c>
      <c r="B178">
        <v>225</v>
      </c>
      <c r="C178">
        <v>1.5280000000000001E-3</v>
      </c>
    </row>
    <row r="179" spans="1:3" x14ac:dyDescent="0.25">
      <c r="A179">
        <v>97303</v>
      </c>
      <c r="B179">
        <v>226</v>
      </c>
      <c r="C179">
        <v>0.38683000000000001</v>
      </c>
    </row>
    <row r="180" spans="1:3" x14ac:dyDescent="0.25">
      <c r="A180">
        <v>97303</v>
      </c>
      <c r="B180">
        <v>227</v>
      </c>
      <c r="C180">
        <v>4.6E-5</v>
      </c>
    </row>
    <row r="181" spans="1:3" x14ac:dyDescent="0.25">
      <c r="A181">
        <v>97303</v>
      </c>
      <c r="B181">
        <v>443</v>
      </c>
      <c r="C181">
        <v>1.8269660000000001</v>
      </c>
    </row>
    <row r="182" spans="1:3" x14ac:dyDescent="0.25">
      <c r="A182">
        <v>97303</v>
      </c>
      <c r="B182">
        <v>444</v>
      </c>
      <c r="C182">
        <v>2.138922</v>
      </c>
    </row>
    <row r="183" spans="1:3" x14ac:dyDescent="0.25">
      <c r="A183">
        <v>97304</v>
      </c>
      <c r="B183">
        <v>31</v>
      </c>
      <c r="C183">
        <v>4.481617</v>
      </c>
    </row>
    <row r="184" spans="1:3" x14ac:dyDescent="0.25">
      <c r="A184">
        <v>97304</v>
      </c>
      <c r="B184">
        <v>32</v>
      </c>
      <c r="C184">
        <v>6.3176779999999999</v>
      </c>
    </row>
    <row r="185" spans="1:3" x14ac:dyDescent="0.25">
      <c r="A185">
        <v>97304</v>
      </c>
      <c r="B185">
        <v>33</v>
      </c>
      <c r="C185">
        <v>2.760221</v>
      </c>
    </row>
    <row r="186" spans="1:3" x14ac:dyDescent="0.25">
      <c r="A186">
        <v>97304</v>
      </c>
      <c r="B186">
        <v>34</v>
      </c>
      <c r="C186">
        <v>2.86592</v>
      </c>
    </row>
    <row r="187" spans="1:3" x14ac:dyDescent="0.25">
      <c r="A187">
        <v>97304</v>
      </c>
      <c r="B187">
        <v>35</v>
      </c>
      <c r="C187">
        <v>1.371364</v>
      </c>
    </row>
    <row r="188" spans="1:3" x14ac:dyDescent="0.25">
      <c r="A188">
        <v>97304</v>
      </c>
      <c r="B188">
        <v>36</v>
      </c>
      <c r="C188">
        <v>5.1581130000000002</v>
      </c>
    </row>
    <row r="189" spans="1:3" x14ac:dyDescent="0.25">
      <c r="A189">
        <v>97304</v>
      </c>
      <c r="B189">
        <v>37</v>
      </c>
      <c r="C189">
        <v>0.72679000000000005</v>
      </c>
    </row>
    <row r="190" spans="1:3" x14ac:dyDescent="0.25">
      <c r="A190">
        <v>97304</v>
      </c>
      <c r="B190">
        <v>38</v>
      </c>
      <c r="C190">
        <v>1.0743229999999999</v>
      </c>
    </row>
    <row r="191" spans="1:3" x14ac:dyDescent="0.25">
      <c r="A191">
        <v>97304</v>
      </c>
      <c r="B191">
        <v>39</v>
      </c>
      <c r="C191">
        <v>1.6809050000000001</v>
      </c>
    </row>
    <row r="192" spans="1:3" x14ac:dyDescent="0.25">
      <c r="A192">
        <v>97304</v>
      </c>
      <c r="B192">
        <v>40</v>
      </c>
      <c r="C192">
        <v>0.59597</v>
      </c>
    </row>
    <row r="193" spans="1:3" x14ac:dyDescent="0.25">
      <c r="A193">
        <v>97304</v>
      </c>
      <c r="B193">
        <v>41</v>
      </c>
      <c r="C193">
        <v>0.72135499999999997</v>
      </c>
    </row>
    <row r="194" spans="1:3" x14ac:dyDescent="0.25">
      <c r="A194">
        <v>97304</v>
      </c>
      <c r="B194">
        <v>42</v>
      </c>
      <c r="C194">
        <v>1.542046</v>
      </c>
    </row>
    <row r="195" spans="1:3" x14ac:dyDescent="0.25">
      <c r="A195">
        <v>97304</v>
      </c>
      <c r="B195">
        <v>43</v>
      </c>
      <c r="C195">
        <v>3.7206869999999999</v>
      </c>
    </row>
    <row r="196" spans="1:3" x14ac:dyDescent="0.25">
      <c r="A196">
        <v>97304</v>
      </c>
      <c r="B196">
        <v>44</v>
      </c>
      <c r="C196">
        <v>0.42194399999999999</v>
      </c>
    </row>
    <row r="197" spans="1:3" x14ac:dyDescent="0.25">
      <c r="A197">
        <v>97304</v>
      </c>
      <c r="B197">
        <v>45</v>
      </c>
      <c r="C197">
        <v>0.93518000000000001</v>
      </c>
    </row>
    <row r="198" spans="1:3" x14ac:dyDescent="0.25">
      <c r="A198">
        <v>97304</v>
      </c>
      <c r="B198">
        <v>47</v>
      </c>
      <c r="C198">
        <v>0.228074</v>
      </c>
    </row>
    <row r="199" spans="1:3" x14ac:dyDescent="0.25">
      <c r="A199">
        <v>97304</v>
      </c>
      <c r="B199">
        <v>48</v>
      </c>
      <c r="C199">
        <v>0.10488699999999999</v>
      </c>
    </row>
    <row r="200" spans="1:3" x14ac:dyDescent="0.25">
      <c r="A200">
        <v>97304</v>
      </c>
      <c r="B200">
        <v>49</v>
      </c>
      <c r="C200">
        <v>0.48670099999999999</v>
      </c>
    </row>
    <row r="201" spans="1:3" x14ac:dyDescent="0.25">
      <c r="A201">
        <v>97304</v>
      </c>
      <c r="B201">
        <v>50</v>
      </c>
      <c r="C201">
        <v>0.85621199999999997</v>
      </c>
    </row>
    <row r="202" spans="1:3" x14ac:dyDescent="0.25">
      <c r="A202">
        <v>97304</v>
      </c>
      <c r="B202">
        <v>51</v>
      </c>
      <c r="C202">
        <v>0.61203399999999997</v>
      </c>
    </row>
    <row r="203" spans="1:3" x14ac:dyDescent="0.25">
      <c r="A203">
        <v>97304</v>
      </c>
      <c r="B203">
        <v>52</v>
      </c>
      <c r="C203">
        <v>0.58389500000000005</v>
      </c>
    </row>
    <row r="204" spans="1:3" x14ac:dyDescent="0.25">
      <c r="A204">
        <v>97304</v>
      </c>
      <c r="B204">
        <v>53</v>
      </c>
      <c r="C204">
        <v>0.20049</v>
      </c>
    </row>
    <row r="205" spans="1:3" x14ac:dyDescent="0.25">
      <c r="A205">
        <v>97304</v>
      </c>
      <c r="B205">
        <v>54</v>
      </c>
      <c r="C205">
        <v>0.89173800000000003</v>
      </c>
    </row>
    <row r="206" spans="1:3" x14ac:dyDescent="0.25">
      <c r="A206">
        <v>97304</v>
      </c>
      <c r="B206">
        <v>55</v>
      </c>
      <c r="C206">
        <v>0.28456399999999998</v>
      </c>
    </row>
    <row r="207" spans="1:3" x14ac:dyDescent="0.25">
      <c r="A207">
        <v>97304</v>
      </c>
      <c r="B207">
        <v>56</v>
      </c>
      <c r="C207">
        <v>0.90393900000000005</v>
      </c>
    </row>
    <row r="208" spans="1:3" x14ac:dyDescent="0.25">
      <c r="A208">
        <v>97304</v>
      </c>
      <c r="B208">
        <v>61</v>
      </c>
      <c r="C208">
        <v>0.62656999999999996</v>
      </c>
    </row>
    <row r="209" spans="1:3" x14ac:dyDescent="0.25">
      <c r="A209">
        <v>97304</v>
      </c>
      <c r="B209">
        <v>64</v>
      </c>
      <c r="C209">
        <v>0.24716299999999999</v>
      </c>
    </row>
    <row r="210" spans="1:3" x14ac:dyDescent="0.25">
      <c r="A210">
        <v>97304</v>
      </c>
      <c r="B210">
        <v>65</v>
      </c>
      <c r="C210">
        <v>0.19051000000000001</v>
      </c>
    </row>
    <row r="211" spans="1:3" x14ac:dyDescent="0.25">
      <c r="A211">
        <v>97304</v>
      </c>
      <c r="B211">
        <v>66</v>
      </c>
      <c r="C211">
        <v>0.510822</v>
      </c>
    </row>
    <row r="212" spans="1:3" x14ac:dyDescent="0.25">
      <c r="A212">
        <v>97304</v>
      </c>
      <c r="B212">
        <v>67</v>
      </c>
      <c r="C212">
        <v>0.62819199999999997</v>
      </c>
    </row>
    <row r="213" spans="1:3" x14ac:dyDescent="0.25">
      <c r="A213">
        <v>97304</v>
      </c>
      <c r="B213">
        <v>70</v>
      </c>
      <c r="C213">
        <v>0.38240499999999999</v>
      </c>
    </row>
    <row r="214" spans="1:3" x14ac:dyDescent="0.25">
      <c r="A214">
        <v>97304</v>
      </c>
      <c r="B214">
        <v>71</v>
      </c>
      <c r="C214">
        <v>0.94637199999999999</v>
      </c>
    </row>
    <row r="215" spans="1:3" x14ac:dyDescent="0.25">
      <c r="A215">
        <v>97304</v>
      </c>
      <c r="B215">
        <v>74</v>
      </c>
      <c r="C215">
        <v>0.17050000000000001</v>
      </c>
    </row>
    <row r="216" spans="1:3" x14ac:dyDescent="0.25">
      <c r="A216">
        <v>97304</v>
      </c>
      <c r="B216">
        <v>75</v>
      </c>
      <c r="C216">
        <v>0.17866299999999999</v>
      </c>
    </row>
    <row r="217" spans="1:3" x14ac:dyDescent="0.25">
      <c r="A217">
        <v>97304</v>
      </c>
      <c r="B217">
        <v>76</v>
      </c>
      <c r="C217">
        <v>7.6054999999999998E-2</v>
      </c>
    </row>
    <row r="218" spans="1:3" x14ac:dyDescent="0.25">
      <c r="A218">
        <v>97304</v>
      </c>
      <c r="B218">
        <v>77</v>
      </c>
      <c r="C218">
        <v>5.6798000000000001E-2</v>
      </c>
    </row>
    <row r="219" spans="1:3" x14ac:dyDescent="0.25">
      <c r="A219">
        <v>97304</v>
      </c>
      <c r="B219">
        <v>78</v>
      </c>
      <c r="C219">
        <v>0.17331099999999999</v>
      </c>
    </row>
    <row r="220" spans="1:3" x14ac:dyDescent="0.25">
      <c r="A220">
        <v>97304</v>
      </c>
      <c r="B220">
        <v>80</v>
      </c>
      <c r="C220">
        <v>3.5799999999999998E-3</v>
      </c>
    </row>
    <row r="221" spans="1:3" x14ac:dyDescent="0.25">
      <c r="A221">
        <v>97304</v>
      </c>
      <c r="B221">
        <v>81</v>
      </c>
      <c r="C221">
        <v>9.3852000000000005E-2</v>
      </c>
    </row>
    <row r="222" spans="1:3" x14ac:dyDescent="0.25">
      <c r="A222">
        <v>97304</v>
      </c>
      <c r="B222">
        <v>111</v>
      </c>
      <c r="C222">
        <v>4.4999999999999999E-4</v>
      </c>
    </row>
    <row r="223" spans="1:3" x14ac:dyDescent="0.25">
      <c r="A223">
        <v>97304</v>
      </c>
      <c r="B223">
        <v>120</v>
      </c>
      <c r="C223">
        <v>2.336E-3</v>
      </c>
    </row>
    <row r="224" spans="1:3" x14ac:dyDescent="0.25">
      <c r="A224">
        <v>97304</v>
      </c>
      <c r="B224">
        <v>124</v>
      </c>
      <c r="C224">
        <v>3.3E-3</v>
      </c>
    </row>
    <row r="225" spans="1:3" x14ac:dyDescent="0.25">
      <c r="A225">
        <v>97304</v>
      </c>
      <c r="B225">
        <v>227</v>
      </c>
      <c r="C225">
        <v>1.9771E-2</v>
      </c>
    </row>
    <row r="226" spans="1:3" x14ac:dyDescent="0.25">
      <c r="A226">
        <v>97304</v>
      </c>
      <c r="B226">
        <v>238</v>
      </c>
      <c r="C226">
        <v>2.7890000000000002E-2</v>
      </c>
    </row>
    <row r="227" spans="1:3" x14ac:dyDescent="0.25">
      <c r="A227">
        <v>97304</v>
      </c>
      <c r="B227">
        <v>249</v>
      </c>
      <c r="C227">
        <v>2.2269999999999998E-3</v>
      </c>
    </row>
    <row r="228" spans="1:3" x14ac:dyDescent="0.25">
      <c r="A228">
        <v>97304</v>
      </c>
      <c r="B228">
        <v>435</v>
      </c>
      <c r="C228">
        <v>8.6820000000000005E-3</v>
      </c>
    </row>
    <row r="229" spans="1:3" x14ac:dyDescent="0.25">
      <c r="A229">
        <v>97304</v>
      </c>
      <c r="B229">
        <v>436</v>
      </c>
      <c r="C229">
        <v>4.5494E-2</v>
      </c>
    </row>
    <row r="230" spans="1:3" x14ac:dyDescent="0.25">
      <c r="A230">
        <v>97304</v>
      </c>
      <c r="B230">
        <v>447</v>
      </c>
      <c r="C230">
        <v>7.0334999999999995E-2</v>
      </c>
    </row>
    <row r="231" spans="1:3" x14ac:dyDescent="0.25">
      <c r="A231">
        <v>97305</v>
      </c>
      <c r="B231">
        <v>84</v>
      </c>
      <c r="C231">
        <v>1.0612E-2</v>
      </c>
    </row>
    <row r="232" spans="1:3" x14ac:dyDescent="0.25">
      <c r="A232">
        <v>97305</v>
      </c>
      <c r="B232">
        <v>85</v>
      </c>
      <c r="C232">
        <v>5.2639999999999996E-3</v>
      </c>
    </row>
    <row r="233" spans="1:3" x14ac:dyDescent="0.25">
      <c r="A233">
        <v>97305</v>
      </c>
      <c r="B233">
        <v>86</v>
      </c>
      <c r="C233">
        <v>1.3544E-2</v>
      </c>
    </row>
    <row r="234" spans="1:3" x14ac:dyDescent="0.25">
      <c r="A234">
        <v>97305</v>
      </c>
      <c r="B234">
        <v>92</v>
      </c>
      <c r="C234">
        <v>4.0000000000000003E-5</v>
      </c>
    </row>
    <row r="235" spans="1:3" x14ac:dyDescent="0.25">
      <c r="A235">
        <v>97305</v>
      </c>
      <c r="B235">
        <v>129</v>
      </c>
      <c r="C235">
        <v>1.416064</v>
      </c>
    </row>
    <row r="236" spans="1:3" x14ac:dyDescent="0.25">
      <c r="A236">
        <v>97305</v>
      </c>
      <c r="B236">
        <v>130</v>
      </c>
      <c r="C236">
        <v>1.0161279999999999</v>
      </c>
    </row>
    <row r="237" spans="1:3" x14ac:dyDescent="0.25">
      <c r="A237">
        <v>97305</v>
      </c>
      <c r="B237">
        <v>131</v>
      </c>
      <c r="C237">
        <v>4.4852699999999999</v>
      </c>
    </row>
    <row r="238" spans="1:3" x14ac:dyDescent="0.25">
      <c r="A238">
        <v>97305</v>
      </c>
      <c r="B238">
        <v>132</v>
      </c>
      <c r="C238">
        <v>4.6101080000000003</v>
      </c>
    </row>
    <row r="239" spans="1:3" x14ac:dyDescent="0.25">
      <c r="A239">
        <v>97305</v>
      </c>
      <c r="B239">
        <v>133</v>
      </c>
      <c r="C239">
        <v>6.845275</v>
      </c>
    </row>
    <row r="240" spans="1:3" x14ac:dyDescent="0.25">
      <c r="A240">
        <v>97305</v>
      </c>
      <c r="B240">
        <v>134</v>
      </c>
      <c r="C240">
        <v>0.45350200000000002</v>
      </c>
    </row>
    <row r="241" spans="1:3" x14ac:dyDescent="0.25">
      <c r="A241">
        <v>97305</v>
      </c>
      <c r="B241">
        <v>135</v>
      </c>
      <c r="C241">
        <v>1.105945</v>
      </c>
    </row>
    <row r="242" spans="1:3" x14ac:dyDescent="0.25">
      <c r="A242">
        <v>97305</v>
      </c>
      <c r="B242">
        <v>136</v>
      </c>
      <c r="C242">
        <v>0.54764500000000005</v>
      </c>
    </row>
    <row r="243" spans="1:3" x14ac:dyDescent="0.25">
      <c r="A243">
        <v>97305</v>
      </c>
      <c r="B243">
        <v>137</v>
      </c>
      <c r="C243">
        <v>0.87716000000000005</v>
      </c>
    </row>
    <row r="244" spans="1:3" x14ac:dyDescent="0.25">
      <c r="A244">
        <v>97305</v>
      </c>
      <c r="B244">
        <v>138</v>
      </c>
      <c r="C244">
        <v>1.642585</v>
      </c>
    </row>
    <row r="245" spans="1:3" x14ac:dyDescent="0.25">
      <c r="A245">
        <v>97305</v>
      </c>
      <c r="B245">
        <v>139</v>
      </c>
      <c r="C245">
        <v>2.463867</v>
      </c>
    </row>
    <row r="246" spans="1:3" x14ac:dyDescent="0.25">
      <c r="A246">
        <v>97305</v>
      </c>
      <c r="B246">
        <v>140</v>
      </c>
      <c r="C246">
        <v>1.288535</v>
      </c>
    </row>
    <row r="247" spans="1:3" x14ac:dyDescent="0.25">
      <c r="A247">
        <v>97305</v>
      </c>
      <c r="B247">
        <v>141</v>
      </c>
      <c r="C247">
        <v>0.56164700000000001</v>
      </c>
    </row>
    <row r="248" spans="1:3" x14ac:dyDescent="0.25">
      <c r="A248">
        <v>97305</v>
      </c>
      <c r="B248">
        <v>143</v>
      </c>
      <c r="C248">
        <v>0.60855000000000004</v>
      </c>
    </row>
    <row r="249" spans="1:3" x14ac:dyDescent="0.25">
      <c r="A249">
        <v>97305</v>
      </c>
      <c r="B249">
        <v>144</v>
      </c>
      <c r="C249">
        <v>0.18590499999999999</v>
      </c>
    </row>
    <row r="250" spans="1:3" x14ac:dyDescent="0.25">
      <c r="A250">
        <v>97305</v>
      </c>
      <c r="B250">
        <v>146</v>
      </c>
      <c r="C250">
        <v>0.70672699999999999</v>
      </c>
    </row>
    <row r="251" spans="1:3" x14ac:dyDescent="0.25">
      <c r="A251">
        <v>97305</v>
      </c>
      <c r="B251">
        <v>147</v>
      </c>
      <c r="C251">
        <v>1.408666</v>
      </c>
    </row>
    <row r="252" spans="1:3" x14ac:dyDescent="0.25">
      <c r="A252">
        <v>97305</v>
      </c>
      <c r="B252">
        <v>148</v>
      </c>
      <c r="C252">
        <v>0.70305799999999996</v>
      </c>
    </row>
    <row r="253" spans="1:3" x14ac:dyDescent="0.25">
      <c r="A253">
        <v>97305</v>
      </c>
      <c r="B253">
        <v>149</v>
      </c>
      <c r="C253">
        <v>0.81705300000000003</v>
      </c>
    </row>
    <row r="254" spans="1:3" x14ac:dyDescent="0.25">
      <c r="A254">
        <v>97305</v>
      </c>
      <c r="B254">
        <v>150</v>
      </c>
      <c r="C254">
        <v>0.63003699999999996</v>
      </c>
    </row>
    <row r="255" spans="1:3" x14ac:dyDescent="0.25">
      <c r="A255">
        <v>97305</v>
      </c>
      <c r="B255">
        <v>151</v>
      </c>
      <c r="C255">
        <v>0.12920200000000001</v>
      </c>
    </row>
    <row r="256" spans="1:3" x14ac:dyDescent="0.25">
      <c r="A256">
        <v>97305</v>
      </c>
      <c r="B256">
        <v>152</v>
      </c>
      <c r="C256">
        <v>1.9367760000000001</v>
      </c>
    </row>
    <row r="257" spans="1:3" x14ac:dyDescent="0.25">
      <c r="A257">
        <v>97305</v>
      </c>
      <c r="B257">
        <v>153</v>
      </c>
      <c r="C257">
        <v>3.1161449999999999</v>
      </c>
    </row>
    <row r="258" spans="1:3" x14ac:dyDescent="0.25">
      <c r="A258">
        <v>97305</v>
      </c>
      <c r="B258">
        <v>154</v>
      </c>
      <c r="C258">
        <v>1.082214</v>
      </c>
    </row>
    <row r="259" spans="1:3" x14ac:dyDescent="0.25">
      <c r="A259">
        <v>97305</v>
      </c>
      <c r="B259">
        <v>155</v>
      </c>
      <c r="C259">
        <v>0.65187600000000001</v>
      </c>
    </row>
    <row r="260" spans="1:3" x14ac:dyDescent="0.25">
      <c r="A260">
        <v>97305</v>
      </c>
      <c r="B260">
        <v>156</v>
      </c>
      <c r="C260">
        <v>0.40027400000000002</v>
      </c>
    </row>
    <row r="261" spans="1:3" x14ac:dyDescent="0.25">
      <c r="A261">
        <v>97305</v>
      </c>
      <c r="B261">
        <v>158</v>
      </c>
      <c r="C261">
        <v>0.67259100000000005</v>
      </c>
    </row>
    <row r="262" spans="1:3" x14ac:dyDescent="0.25">
      <c r="A262">
        <v>97305</v>
      </c>
      <c r="B262">
        <v>162</v>
      </c>
      <c r="C262">
        <v>0.30085099999999998</v>
      </c>
    </row>
    <row r="263" spans="1:3" x14ac:dyDescent="0.25">
      <c r="A263">
        <v>97305</v>
      </c>
      <c r="B263">
        <v>164</v>
      </c>
      <c r="C263">
        <v>0.312807</v>
      </c>
    </row>
    <row r="264" spans="1:3" x14ac:dyDescent="0.25">
      <c r="A264">
        <v>97305</v>
      </c>
      <c r="B264">
        <v>168</v>
      </c>
      <c r="C264">
        <v>0.51106099999999999</v>
      </c>
    </row>
    <row r="265" spans="1:3" x14ac:dyDescent="0.25">
      <c r="A265">
        <v>97305</v>
      </c>
      <c r="B265">
        <v>169</v>
      </c>
      <c r="C265">
        <v>0.39963700000000002</v>
      </c>
    </row>
    <row r="266" spans="1:3" x14ac:dyDescent="0.25">
      <c r="A266">
        <v>97305</v>
      </c>
      <c r="B266">
        <v>170</v>
      </c>
      <c r="C266">
        <v>8.4900000000000004E-4</v>
      </c>
    </row>
    <row r="267" spans="1:3" x14ac:dyDescent="0.25">
      <c r="A267">
        <v>97305</v>
      </c>
      <c r="B267">
        <v>171</v>
      </c>
      <c r="C267">
        <v>1.248E-3</v>
      </c>
    </row>
    <row r="268" spans="1:3" x14ac:dyDescent="0.25">
      <c r="A268">
        <v>97305</v>
      </c>
      <c r="B268">
        <v>172</v>
      </c>
      <c r="C268">
        <v>1.2799999999999999E-4</v>
      </c>
    </row>
    <row r="269" spans="1:3" x14ac:dyDescent="0.25">
      <c r="A269">
        <v>97305</v>
      </c>
      <c r="B269">
        <v>173</v>
      </c>
      <c r="C269">
        <v>1.0253E-2</v>
      </c>
    </row>
    <row r="270" spans="1:3" x14ac:dyDescent="0.25">
      <c r="A270">
        <v>97305</v>
      </c>
      <c r="B270">
        <v>211</v>
      </c>
      <c r="C270">
        <v>4.3969999999999999E-3</v>
      </c>
    </row>
    <row r="271" spans="1:3" x14ac:dyDescent="0.25">
      <c r="A271">
        <v>97305</v>
      </c>
      <c r="B271">
        <v>212</v>
      </c>
      <c r="C271">
        <v>2.787E-3</v>
      </c>
    </row>
    <row r="272" spans="1:3" x14ac:dyDescent="0.25">
      <c r="A272">
        <v>97305</v>
      </c>
      <c r="B272">
        <v>213</v>
      </c>
      <c r="C272">
        <v>5.8040000000000001E-3</v>
      </c>
    </row>
    <row r="273" spans="1:3" x14ac:dyDescent="0.25">
      <c r="A273">
        <v>97305</v>
      </c>
      <c r="B273">
        <v>214</v>
      </c>
      <c r="C273">
        <v>3.1080000000000001E-3</v>
      </c>
    </row>
    <row r="274" spans="1:3" x14ac:dyDescent="0.25">
      <c r="A274">
        <v>97305</v>
      </c>
      <c r="B274">
        <v>284</v>
      </c>
      <c r="C274">
        <v>6.6270000000000001E-3</v>
      </c>
    </row>
    <row r="275" spans="1:3" x14ac:dyDescent="0.25">
      <c r="A275">
        <v>97305</v>
      </c>
      <c r="B275">
        <v>286</v>
      </c>
      <c r="C275">
        <v>2.0249999999999999E-3</v>
      </c>
    </row>
    <row r="276" spans="1:3" x14ac:dyDescent="0.25">
      <c r="A276">
        <v>97306</v>
      </c>
      <c r="B276">
        <v>354</v>
      </c>
      <c r="C276">
        <v>5.2899999999999996E-4</v>
      </c>
    </row>
    <row r="277" spans="1:3" x14ac:dyDescent="0.25">
      <c r="A277">
        <v>97306</v>
      </c>
      <c r="B277">
        <v>357</v>
      </c>
      <c r="C277">
        <v>0.119736</v>
      </c>
    </row>
    <row r="278" spans="1:3" x14ac:dyDescent="0.25">
      <c r="A278">
        <v>97306</v>
      </c>
      <c r="B278">
        <v>363</v>
      </c>
      <c r="C278">
        <v>2.2425E-2</v>
      </c>
    </row>
    <row r="279" spans="1:3" x14ac:dyDescent="0.25">
      <c r="A279">
        <v>97306</v>
      </c>
      <c r="B279">
        <v>365</v>
      </c>
      <c r="C279">
        <v>0.363902</v>
      </c>
    </row>
    <row r="280" spans="1:3" x14ac:dyDescent="0.25">
      <c r="A280">
        <v>97306</v>
      </c>
      <c r="B280">
        <v>366</v>
      </c>
      <c r="C280">
        <v>0.21057400000000001</v>
      </c>
    </row>
    <row r="281" spans="1:3" x14ac:dyDescent="0.25">
      <c r="A281">
        <v>97306</v>
      </c>
      <c r="B281">
        <v>368</v>
      </c>
      <c r="C281">
        <v>0.389737</v>
      </c>
    </row>
    <row r="282" spans="1:3" x14ac:dyDescent="0.25">
      <c r="A282">
        <v>97306</v>
      </c>
      <c r="B282">
        <v>373</v>
      </c>
      <c r="C282">
        <v>2.2207949999999999</v>
      </c>
    </row>
    <row r="283" spans="1:3" x14ac:dyDescent="0.25">
      <c r="A283">
        <v>97306</v>
      </c>
      <c r="B283">
        <v>374</v>
      </c>
      <c r="C283">
        <v>1.3291580000000001</v>
      </c>
    </row>
    <row r="284" spans="1:3" x14ac:dyDescent="0.25">
      <c r="A284">
        <v>97306</v>
      </c>
      <c r="B284">
        <v>376</v>
      </c>
      <c r="C284">
        <v>0.49965199999999999</v>
      </c>
    </row>
    <row r="285" spans="1:3" x14ac:dyDescent="0.25">
      <c r="A285">
        <v>97306</v>
      </c>
      <c r="B285">
        <v>378</v>
      </c>
      <c r="C285">
        <v>1.1388320000000001</v>
      </c>
    </row>
    <row r="286" spans="1:3" x14ac:dyDescent="0.25">
      <c r="A286">
        <v>97306</v>
      </c>
      <c r="B286">
        <v>379</v>
      </c>
      <c r="C286">
        <v>0.69050699999999998</v>
      </c>
    </row>
    <row r="287" spans="1:3" x14ac:dyDescent="0.25">
      <c r="A287">
        <v>97306</v>
      </c>
      <c r="B287">
        <v>380</v>
      </c>
      <c r="C287">
        <v>1.3974819999999999</v>
      </c>
    </row>
    <row r="288" spans="1:3" x14ac:dyDescent="0.25">
      <c r="A288">
        <v>97306</v>
      </c>
      <c r="B288">
        <v>381</v>
      </c>
      <c r="C288">
        <v>2.5179999999999998E-3</v>
      </c>
    </row>
    <row r="289" spans="1:3" x14ac:dyDescent="0.25">
      <c r="A289">
        <v>97306</v>
      </c>
      <c r="B289">
        <v>382</v>
      </c>
      <c r="C289">
        <v>1.0865830000000001</v>
      </c>
    </row>
    <row r="290" spans="1:3" x14ac:dyDescent="0.25">
      <c r="A290">
        <v>97306</v>
      </c>
      <c r="B290">
        <v>383</v>
      </c>
      <c r="C290">
        <v>1.1112390000000001</v>
      </c>
    </row>
    <row r="291" spans="1:3" x14ac:dyDescent="0.25">
      <c r="A291">
        <v>97306</v>
      </c>
      <c r="B291">
        <v>384</v>
      </c>
      <c r="C291">
        <v>0.75859600000000005</v>
      </c>
    </row>
    <row r="292" spans="1:3" x14ac:dyDescent="0.25">
      <c r="A292">
        <v>97306</v>
      </c>
      <c r="B292">
        <v>388</v>
      </c>
      <c r="C292">
        <v>0.65593400000000002</v>
      </c>
    </row>
    <row r="293" spans="1:3" x14ac:dyDescent="0.25">
      <c r="A293">
        <v>97306</v>
      </c>
      <c r="B293">
        <v>389</v>
      </c>
      <c r="C293">
        <v>1.019933</v>
      </c>
    </row>
    <row r="294" spans="1:3" x14ac:dyDescent="0.25">
      <c r="A294">
        <v>97306</v>
      </c>
      <c r="B294">
        <v>390</v>
      </c>
      <c r="C294">
        <v>1.66052</v>
      </c>
    </row>
    <row r="295" spans="1:3" x14ac:dyDescent="0.25">
      <c r="A295">
        <v>97306</v>
      </c>
      <c r="B295">
        <v>411</v>
      </c>
      <c r="C295">
        <v>6.3199999999999997E-4</v>
      </c>
    </row>
    <row r="296" spans="1:3" x14ac:dyDescent="0.25">
      <c r="A296">
        <v>97306</v>
      </c>
      <c r="B296">
        <v>420</v>
      </c>
      <c r="C296">
        <v>9.6849999999999992E-3</v>
      </c>
    </row>
    <row r="297" spans="1:3" x14ac:dyDescent="0.25">
      <c r="A297">
        <v>97306</v>
      </c>
      <c r="B297">
        <v>421</v>
      </c>
      <c r="C297">
        <v>0.88579600000000003</v>
      </c>
    </row>
    <row r="298" spans="1:3" x14ac:dyDescent="0.25">
      <c r="A298">
        <v>97306</v>
      </c>
      <c r="B298">
        <v>422</v>
      </c>
      <c r="C298">
        <v>3.2635730000000001</v>
      </c>
    </row>
    <row r="299" spans="1:3" x14ac:dyDescent="0.25">
      <c r="A299">
        <v>97306</v>
      </c>
      <c r="B299">
        <v>423</v>
      </c>
      <c r="C299">
        <v>6.7667520000000003</v>
      </c>
    </row>
    <row r="300" spans="1:3" x14ac:dyDescent="0.25">
      <c r="A300">
        <v>97306</v>
      </c>
      <c r="B300">
        <v>424</v>
      </c>
      <c r="C300">
        <v>10.398826</v>
      </c>
    </row>
    <row r="301" spans="1:3" x14ac:dyDescent="0.25">
      <c r="A301">
        <v>97306</v>
      </c>
      <c r="B301">
        <v>426</v>
      </c>
      <c r="C301">
        <v>2.3680140000000001</v>
      </c>
    </row>
    <row r="302" spans="1:3" x14ac:dyDescent="0.25">
      <c r="A302">
        <v>97306</v>
      </c>
      <c r="B302">
        <v>427</v>
      </c>
      <c r="C302">
        <v>0.88871500000000003</v>
      </c>
    </row>
    <row r="303" spans="1:3" x14ac:dyDescent="0.25">
      <c r="A303">
        <v>97306</v>
      </c>
      <c r="B303">
        <v>428</v>
      </c>
      <c r="C303">
        <v>1.9472</v>
      </c>
    </row>
    <row r="304" spans="1:3" x14ac:dyDescent="0.25">
      <c r="A304">
        <v>97306</v>
      </c>
      <c r="B304">
        <v>429</v>
      </c>
      <c r="C304">
        <v>0.90458700000000003</v>
      </c>
    </row>
    <row r="305" spans="1:3" x14ac:dyDescent="0.25">
      <c r="A305">
        <v>97306</v>
      </c>
      <c r="B305">
        <v>430</v>
      </c>
      <c r="C305">
        <v>0.64155600000000002</v>
      </c>
    </row>
    <row r="306" spans="1:3" x14ac:dyDescent="0.25">
      <c r="A306">
        <v>97306</v>
      </c>
      <c r="B306">
        <v>431</v>
      </c>
      <c r="C306">
        <v>0.24764700000000001</v>
      </c>
    </row>
    <row r="307" spans="1:3" x14ac:dyDescent="0.25">
      <c r="A307">
        <v>97306</v>
      </c>
      <c r="B307">
        <v>432</v>
      </c>
      <c r="C307">
        <v>0.173761</v>
      </c>
    </row>
    <row r="308" spans="1:3" x14ac:dyDescent="0.25">
      <c r="A308">
        <v>97306</v>
      </c>
      <c r="B308">
        <v>437</v>
      </c>
      <c r="C308">
        <v>7.3703469999999998</v>
      </c>
    </row>
    <row r="309" spans="1:3" x14ac:dyDescent="0.25">
      <c r="A309">
        <v>97306</v>
      </c>
      <c r="B309">
        <v>450</v>
      </c>
      <c r="C309">
        <v>1.177586</v>
      </c>
    </row>
    <row r="310" spans="1:3" x14ac:dyDescent="0.25">
      <c r="A310">
        <v>97306</v>
      </c>
      <c r="B310">
        <v>451</v>
      </c>
      <c r="C310">
        <v>6.5499999999999998E-4</v>
      </c>
    </row>
    <row r="311" spans="1:3" x14ac:dyDescent="0.25">
      <c r="A311">
        <v>97310</v>
      </c>
      <c r="B311">
        <v>238</v>
      </c>
      <c r="C311">
        <v>1.316238</v>
      </c>
    </row>
    <row r="312" spans="1:3" x14ac:dyDescent="0.25">
      <c r="A312">
        <v>97310</v>
      </c>
      <c r="B312">
        <v>246</v>
      </c>
      <c r="C312">
        <v>57.567419000000001</v>
      </c>
    </row>
    <row r="313" spans="1:3" x14ac:dyDescent="0.25">
      <c r="A313">
        <v>97310</v>
      </c>
      <c r="B313">
        <v>249</v>
      </c>
      <c r="C313">
        <v>3.9647730000000001</v>
      </c>
    </row>
    <row r="314" spans="1:3" x14ac:dyDescent="0.25">
      <c r="A314">
        <v>97310</v>
      </c>
      <c r="B314">
        <v>260</v>
      </c>
      <c r="C314">
        <v>37.151561000000001</v>
      </c>
    </row>
    <row r="315" spans="1:3" x14ac:dyDescent="0.25">
      <c r="A315">
        <v>97312</v>
      </c>
      <c r="B315">
        <v>261</v>
      </c>
      <c r="C315">
        <v>100.000032</v>
      </c>
    </row>
    <row r="316" spans="1:3" x14ac:dyDescent="0.25">
      <c r="A316">
        <v>97317</v>
      </c>
      <c r="B316">
        <v>153</v>
      </c>
      <c r="C316">
        <v>2.601E-3</v>
      </c>
    </row>
    <row r="317" spans="1:3" x14ac:dyDescent="0.25">
      <c r="A317">
        <v>97317</v>
      </c>
      <c r="B317">
        <v>169</v>
      </c>
      <c r="C317">
        <v>4.1200000000000004E-3</v>
      </c>
    </row>
    <row r="318" spans="1:3" x14ac:dyDescent="0.25">
      <c r="A318">
        <v>97317</v>
      </c>
      <c r="B318">
        <v>170</v>
      </c>
      <c r="C318">
        <v>1.490615</v>
      </c>
    </row>
    <row r="319" spans="1:3" x14ac:dyDescent="0.25">
      <c r="A319">
        <v>97317</v>
      </c>
      <c r="B319">
        <v>171</v>
      </c>
      <c r="C319">
        <v>0.67635699999999999</v>
      </c>
    </row>
    <row r="320" spans="1:3" x14ac:dyDescent="0.25">
      <c r="A320">
        <v>97317</v>
      </c>
      <c r="B320">
        <v>172</v>
      </c>
      <c r="C320">
        <v>7.3940000000000004E-3</v>
      </c>
    </row>
    <row r="321" spans="1:3" x14ac:dyDescent="0.25">
      <c r="A321">
        <v>97317</v>
      </c>
      <c r="B321">
        <v>180</v>
      </c>
      <c r="C321">
        <v>2.7669999999999999E-3</v>
      </c>
    </row>
    <row r="322" spans="1:3" x14ac:dyDescent="0.25">
      <c r="A322">
        <v>97317</v>
      </c>
      <c r="B322">
        <v>185</v>
      </c>
      <c r="C322">
        <v>1.5283709999999999</v>
      </c>
    </row>
    <row r="323" spans="1:3" x14ac:dyDescent="0.25">
      <c r="A323">
        <v>97317</v>
      </c>
      <c r="B323">
        <v>186</v>
      </c>
      <c r="C323">
        <v>3.2789999999999998E-3</v>
      </c>
    </row>
    <row r="324" spans="1:3" x14ac:dyDescent="0.25">
      <c r="A324">
        <v>97317</v>
      </c>
      <c r="B324">
        <v>189</v>
      </c>
      <c r="C324">
        <v>6.6909999999999999E-3</v>
      </c>
    </row>
    <row r="325" spans="1:3" x14ac:dyDescent="0.25">
      <c r="A325">
        <v>97317</v>
      </c>
      <c r="B325">
        <v>193</v>
      </c>
      <c r="C325">
        <v>0.59749799999999997</v>
      </c>
    </row>
    <row r="326" spans="1:3" x14ac:dyDescent="0.25">
      <c r="A326">
        <v>97317</v>
      </c>
      <c r="B326">
        <v>194</v>
      </c>
      <c r="C326">
        <v>0.67073199999999999</v>
      </c>
    </row>
    <row r="327" spans="1:3" x14ac:dyDescent="0.25">
      <c r="A327">
        <v>97317</v>
      </c>
      <c r="B327">
        <v>196</v>
      </c>
      <c r="C327">
        <v>2.6054119999999998</v>
      </c>
    </row>
    <row r="328" spans="1:3" x14ac:dyDescent="0.25">
      <c r="A328">
        <v>97317</v>
      </c>
      <c r="B328">
        <v>200</v>
      </c>
      <c r="C328">
        <v>0.27232899999999999</v>
      </c>
    </row>
    <row r="329" spans="1:3" x14ac:dyDescent="0.25">
      <c r="A329">
        <v>97317</v>
      </c>
      <c r="B329">
        <v>204</v>
      </c>
      <c r="C329">
        <v>0.32217299999999999</v>
      </c>
    </row>
    <row r="330" spans="1:3" x14ac:dyDescent="0.25">
      <c r="A330">
        <v>97317</v>
      </c>
      <c r="B330">
        <v>205</v>
      </c>
      <c r="C330">
        <v>1.287755</v>
      </c>
    </row>
    <row r="331" spans="1:3" x14ac:dyDescent="0.25">
      <c r="A331">
        <v>97317</v>
      </c>
      <c r="B331">
        <v>206</v>
      </c>
      <c r="C331">
        <v>2.0290530000000002</v>
      </c>
    </row>
    <row r="332" spans="1:3" x14ac:dyDescent="0.25">
      <c r="A332">
        <v>97317</v>
      </c>
      <c r="B332">
        <v>207</v>
      </c>
      <c r="C332">
        <v>7.2766149999999996</v>
      </c>
    </row>
    <row r="333" spans="1:3" x14ac:dyDescent="0.25">
      <c r="A333">
        <v>97317</v>
      </c>
      <c r="B333">
        <v>354</v>
      </c>
      <c r="C333">
        <v>6.3229999999999996E-3</v>
      </c>
    </row>
    <row r="334" spans="1:3" x14ac:dyDescent="0.25">
      <c r="A334">
        <v>97317</v>
      </c>
      <c r="B334">
        <v>373</v>
      </c>
      <c r="C334">
        <v>9.1E-4</v>
      </c>
    </row>
    <row r="335" spans="1:3" x14ac:dyDescent="0.25">
      <c r="A335">
        <v>97317</v>
      </c>
      <c r="B335">
        <v>388</v>
      </c>
      <c r="C335">
        <v>4.6999999999999997E-5</v>
      </c>
    </row>
    <row r="336" spans="1:3" x14ac:dyDescent="0.25">
      <c r="A336">
        <v>97317</v>
      </c>
      <c r="B336">
        <v>389</v>
      </c>
      <c r="C336">
        <v>4.0969999999999999E-3</v>
      </c>
    </row>
    <row r="337" spans="1:3" x14ac:dyDescent="0.25">
      <c r="A337">
        <v>97317</v>
      </c>
      <c r="B337">
        <v>395</v>
      </c>
      <c r="C337">
        <v>9.4827589999999997</v>
      </c>
    </row>
    <row r="338" spans="1:3" x14ac:dyDescent="0.25">
      <c r="A338">
        <v>97317</v>
      </c>
      <c r="B338">
        <v>396</v>
      </c>
      <c r="C338">
        <v>0.57498099999999996</v>
      </c>
    </row>
    <row r="339" spans="1:3" x14ac:dyDescent="0.25">
      <c r="A339">
        <v>97317</v>
      </c>
      <c r="B339">
        <v>411</v>
      </c>
      <c r="C339">
        <v>1.0609500000000001</v>
      </c>
    </row>
    <row r="340" spans="1:3" x14ac:dyDescent="0.25">
      <c r="A340">
        <v>97317</v>
      </c>
      <c r="B340">
        <v>414</v>
      </c>
      <c r="C340">
        <v>1.960216</v>
      </c>
    </row>
    <row r="341" spans="1:3" x14ac:dyDescent="0.25">
      <c r="A341">
        <v>97317</v>
      </c>
      <c r="B341">
        <v>415</v>
      </c>
      <c r="C341">
        <v>3.9025159999999999</v>
      </c>
    </row>
    <row r="342" spans="1:3" x14ac:dyDescent="0.25">
      <c r="A342">
        <v>97317</v>
      </c>
      <c r="B342">
        <v>416</v>
      </c>
      <c r="C342">
        <v>3.3204999999999998E-2</v>
      </c>
    </row>
    <row r="343" spans="1:3" x14ac:dyDescent="0.25">
      <c r="A343">
        <v>97317</v>
      </c>
      <c r="B343">
        <v>417</v>
      </c>
      <c r="C343">
        <v>3.4740000000000001E-3</v>
      </c>
    </row>
    <row r="344" spans="1:3" x14ac:dyDescent="0.25">
      <c r="A344">
        <v>97317</v>
      </c>
      <c r="B344">
        <v>418</v>
      </c>
      <c r="C344">
        <v>2.0040789999999999</v>
      </c>
    </row>
    <row r="345" spans="1:3" x14ac:dyDescent="0.25">
      <c r="A345">
        <v>97317</v>
      </c>
      <c r="B345">
        <v>419</v>
      </c>
      <c r="C345">
        <v>3.7702209999999998</v>
      </c>
    </row>
    <row r="346" spans="1:3" x14ac:dyDescent="0.25">
      <c r="A346">
        <v>97317</v>
      </c>
      <c r="B346">
        <v>420</v>
      </c>
      <c r="C346">
        <v>3.2807680000000001</v>
      </c>
    </row>
    <row r="347" spans="1:3" x14ac:dyDescent="0.25">
      <c r="A347">
        <v>97317</v>
      </c>
      <c r="B347">
        <v>421</v>
      </c>
      <c r="C347">
        <v>2.4000000000000001E-5</v>
      </c>
    </row>
    <row r="348" spans="1:3" x14ac:dyDescent="0.25">
      <c r="A348">
        <v>97317</v>
      </c>
      <c r="B348">
        <v>450</v>
      </c>
      <c r="C348">
        <v>3.7100000000000002E-4</v>
      </c>
    </row>
    <row r="349" spans="1:3" x14ac:dyDescent="0.25">
      <c r="A349">
        <v>97317</v>
      </c>
      <c r="B349">
        <v>451</v>
      </c>
      <c r="C349">
        <v>1.1643380000000001</v>
      </c>
    </row>
    <row r="350" spans="1:3" x14ac:dyDescent="0.25">
      <c r="A350">
        <v>97325</v>
      </c>
      <c r="B350">
        <v>418</v>
      </c>
      <c r="C350">
        <v>0.189245</v>
      </c>
    </row>
    <row r="351" spans="1:3" x14ac:dyDescent="0.25">
      <c r="A351">
        <v>97351</v>
      </c>
      <c r="B351">
        <v>36</v>
      </c>
      <c r="C351">
        <v>9.7799999999999992E-4</v>
      </c>
    </row>
    <row r="352" spans="1:3" x14ac:dyDescent="0.25">
      <c r="A352">
        <v>97351</v>
      </c>
      <c r="B352">
        <v>37</v>
      </c>
      <c r="C352">
        <v>0.42315700000000001</v>
      </c>
    </row>
    <row r="353" spans="1:3" x14ac:dyDescent="0.25">
      <c r="A353">
        <v>97351</v>
      </c>
      <c r="B353">
        <v>38</v>
      </c>
      <c r="C353">
        <v>1.729E-2</v>
      </c>
    </row>
    <row r="354" spans="1:3" x14ac:dyDescent="0.25">
      <c r="A354">
        <v>97351</v>
      </c>
      <c r="B354">
        <v>432</v>
      </c>
      <c r="C354">
        <v>1.9798E-2</v>
      </c>
    </row>
    <row r="355" spans="1:3" x14ac:dyDescent="0.25">
      <c r="A355">
        <v>97351</v>
      </c>
      <c r="B355">
        <v>435</v>
      </c>
      <c r="C355">
        <v>6.5600000000000001E-4</v>
      </c>
    </row>
    <row r="356" spans="1:3" x14ac:dyDescent="0.25">
      <c r="A356">
        <v>97352</v>
      </c>
      <c r="B356">
        <v>437</v>
      </c>
      <c r="C356">
        <v>8.7550000000000006E-3</v>
      </c>
    </row>
    <row r="357" spans="1:3" x14ac:dyDescent="0.25">
      <c r="A357">
        <v>97371</v>
      </c>
      <c r="B357">
        <v>36</v>
      </c>
      <c r="C357">
        <v>3.0639999999999999E-3</v>
      </c>
    </row>
    <row r="358" spans="1:3" x14ac:dyDescent="0.25">
      <c r="A358">
        <v>97392</v>
      </c>
      <c r="B358">
        <v>395</v>
      </c>
      <c r="C358">
        <v>7.3999999999999996E-5</v>
      </c>
    </row>
    <row r="359" spans="1:3" x14ac:dyDescent="0.25">
      <c r="A359">
        <v>97392</v>
      </c>
      <c r="B359">
        <v>415</v>
      </c>
      <c r="C359">
        <v>0.93997399999999998</v>
      </c>
    </row>
    <row r="360" spans="1:3" x14ac:dyDescent="0.25">
      <c r="A360">
        <v>97392</v>
      </c>
      <c r="B360">
        <v>416</v>
      </c>
      <c r="C360">
        <v>2.4708299999999999</v>
      </c>
    </row>
    <row r="361" spans="1:3" x14ac:dyDescent="0.25">
      <c r="A361">
        <v>97392</v>
      </c>
      <c r="B361">
        <v>417</v>
      </c>
      <c r="C361">
        <v>1.479268</v>
      </c>
    </row>
    <row r="362" spans="1:3" x14ac:dyDescent="0.25">
      <c r="A362">
        <v>97392</v>
      </c>
      <c r="B362">
        <v>419</v>
      </c>
      <c r="C362">
        <v>6.9903000000000007E-2</v>
      </c>
    </row>
    <row r="363" spans="1:3" x14ac:dyDescent="0.25">
      <c r="A363">
        <v>97392</v>
      </c>
      <c r="B363">
        <v>420</v>
      </c>
      <c r="C363">
        <v>0.10174800000000001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1202CD09DFE408CCF057E277DB148" ma:contentTypeVersion="14" ma:contentTypeDescription="Create a new document." ma:contentTypeScope="" ma:versionID="f799534d4ae8cd6aa7346c4ba82b5fb4">
  <xsd:schema xmlns:xsd="http://www.w3.org/2001/XMLSchema" xmlns:xs="http://www.w3.org/2001/XMLSchema" xmlns:p="http://schemas.microsoft.com/office/2006/metadata/properties" xmlns:ns2="ebcdca94-3690-4e88-92de-b264c0be5985" xmlns:ns3="8dc3765a-a79c-483e-9a79-efcff38435da" targetNamespace="http://schemas.microsoft.com/office/2006/metadata/properties" ma:root="true" ma:fieldsID="919115e41f9bdc2af1931abccb8fc1c1" ns2:_="" ns3:_="">
    <xsd:import namespace="ebcdca94-3690-4e88-92de-b264c0be5985"/>
    <xsd:import namespace="8dc3765a-a79c-483e-9a79-efcff3843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ca94-3690-4e88-92de-b264c0be5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1770257-8aa5-473d-8b97-0f0439c11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3765a-a79c-483e-9a79-efcff3843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86397c6-f970-492d-99e6-a45da9c45f00}" ma:internalName="TaxCatchAll" ma:showField="CatchAllData" ma:web="8dc3765a-a79c-483e-9a79-efcff3843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dca94-3690-4e88-92de-b264c0be5985">
      <Terms xmlns="http://schemas.microsoft.com/office/infopath/2007/PartnerControls"/>
    </lcf76f155ced4ddcb4097134ff3c332f>
    <TaxCatchAll xmlns="8dc3765a-a79c-483e-9a79-efcff38435da" xsi:nil="true"/>
  </documentManagement>
</p:properties>
</file>

<file path=customXml/itemProps1.xml><?xml version="1.0" encoding="utf-8"?>
<ds:datastoreItem xmlns:ds="http://schemas.openxmlformats.org/officeDocument/2006/customXml" ds:itemID="{AF19AD99-5121-4D37-8037-C9C68520A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cdca94-3690-4e88-92de-b264c0be5985"/>
    <ds:schemaRef ds:uri="8dc3765a-a79c-483e-9a79-efcff3843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DED75C-C1FE-418D-82F9-BACB73BCBC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855801-7A83-448C-B8C0-CCDF6A3C7A92}">
  <ds:schemaRefs>
    <ds:schemaRef ds:uri="8dc3765a-a79c-483e-9a79-efcff38435da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ebcdca94-3690-4e88-92de-b264c0be598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TAZ to Census</vt:lpstr>
      <vt:lpstr>TAZ2005 to Bzone</vt:lpstr>
      <vt:lpstr>TAZ to Bzone</vt:lpstr>
      <vt:lpstr>TAZ to Azone</vt:lpstr>
      <vt:lpstr>Census to Bzone</vt:lpstr>
      <vt:lpstr>Bzone to Census</vt:lpstr>
      <vt:lpstr>Latch</vt:lpstr>
      <vt:lpstr>Tract 2010 to Bzone</vt:lpstr>
      <vt:lpstr>Bzone to Tract 2010</vt:lpstr>
      <vt:lpstr>Bzone to Tract 2020</vt:lpstr>
      <vt:lpstr>Census2013 to Bzone</vt:lpstr>
      <vt:lpstr>Bzone to UGB</vt:lpstr>
      <vt:lpstr>Census to Azone</vt:lpstr>
      <vt:lpstr>VE</vt:lpstr>
      <vt:lpstr>Sheet1</vt:lpstr>
      <vt:lpstr>VE to Census 2000</vt:lpstr>
      <vt:lpstr>Census to Census 2000</vt:lpstr>
      <vt:lpstr>PlaceTypes</vt:lpstr>
      <vt:lpstr>Bzone to Zip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2023-11-27T21:33:18Z</dcterms:created>
  <dcterms:modified xsi:type="dcterms:W3CDTF">2024-10-09T17:53:46Z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0x010100AB31202CD09DFE408CCF057E277DB148</vt:lpwstr>
  </property>
  <property fmtid="{D5CDD505-2E9C-101B-9397-08002B2CF9AE}" pid="3" name="MediaServiceImageTags">
    <vt:lpwstr/>
  </property>
</Properties>
</file>